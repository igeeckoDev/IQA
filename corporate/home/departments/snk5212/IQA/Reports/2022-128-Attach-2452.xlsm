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1736\Desktop\2022-128 Orange County Lighting\"/>
    </mc:Choice>
  </mc:AlternateContent>
  <xr:revisionPtr revIDLastSave="0" documentId="13_ncr:1_{D033CC88-6191-484B-99F9-CB88348A7BED}" xr6:coauthVersionLast="47" xr6:coauthVersionMax="47" xr10:uidLastSave="{00000000-0000-0000-0000-000000000000}"/>
  <bookViews>
    <workbookView xWindow="-120" yWindow="-120" windowWidth="29040" windowHeight="15840"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17025'!$Q$2:$Q$84</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<sst xmlns="http://schemas.openxmlformats.org/spreadsheetml/2006/main" count="1184" uniqueCount="938">
  <si>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</si>
  <si>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</si>
  <si>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</si>
  <si>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</si>
  <si>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</si>
  <si>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</si>
  <si>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</si>
  <si>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</si>
  <si>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</si>
  <si>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</si>
  <si>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</si>
  <si>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</si>
  <si>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</si>
  <si>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</si>
  <si>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</si>
  <si>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</si>
  <si>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</si>
  <si>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</si>
  <si>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</si>
  <si>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</si>
  <si>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</si>
  <si>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</si>
  <si>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</si>
  <si>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</si>
  <si>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</si>
  <si>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</si>
  <si>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</si>
  <si>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</si>
  <si>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</si>
  <si>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</si>
  <si>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</si>
  <si>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</si>
  <si>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</si>
  <si>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</si>
  <si>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</si>
  <si>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</si>
  <si>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</si>
  <si>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</si>
  <si>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</si>
  <si>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</si>
  <si>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</si>
  <si>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</si>
  <si>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</si>
  <si>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</si>
  <si>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</si>
  <si>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</si>
  <si>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</si>
  <si>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</si>
  <si>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</si>
  <si>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</si>
  <si>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</si>
  <si>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</si>
  <si>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</si>
  <si>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</si>
  <si>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</si>
  <si>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</si>
  <si>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</si>
  <si>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</si>
  <si>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</si>
  <si>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</si>
  <si>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</si>
  <si>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</si>
  <si>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</si>
  <si>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</si>
  <si>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</si>
  <si>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</si>
  <si>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</si>
  <si>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</si>
  <si>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</si>
  <si>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</si>
  <si>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</si>
  <si>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</si>
  <si>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</si>
  <si>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</si>
  <si>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</si>
  <si>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</si>
  <si>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</si>
  <si>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</si>
  <si>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</si>
  <si>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</si>
  <si>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</si>
  <si>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</si>
  <si>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</si>
  <si>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</si>
  <si>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</si>
  <si>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</si>
  <si>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</si>
  <si>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</si>
  <si>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</si>
  <si>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</si>
  <si>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</si>
  <si>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</si>
  <si>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</si>
  <si>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</si>
  <si>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</si>
  <si>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</si>
  <si>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</si>
  <si>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</si>
  <si>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</si>
  <si>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</si>
  <si>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</si>
  <si>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</si>
  <si>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</si>
  <si>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</si>
  <si>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</si>
  <si>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</si>
  <si>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</si>
  <si>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</si>
  <si>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</si>
  <si>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</si>
  <si>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</si>
  <si>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</si>
  <si>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</si>
  <si>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</si>
  <si>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</si>
  <si>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</si>
  <si>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</si>
  <si>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</si>
  <si>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</si>
  <si>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</si>
  <si>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</si>
  <si>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</si>
  <si>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</si>
  <si>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</si>
  <si>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</si>
  <si>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</si>
  <si>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</si>
  <si>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</si>
  <si>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</si>
  <si>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</si>
  <si>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</si>
  <si>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</si>
  <si>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</si>
  <si>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</si>
  <si>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</si>
  <si>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</si>
  <si>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</si>
  <si>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</si>
  <si>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</si>
  <si>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</si>
  <si>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</si>
  <si>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</si>
  <si>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</si>
  <si>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</si>
  <si>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</si>
  <si>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</si>
  <si>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</si>
  <si>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</si>
  <si>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</si>
  <si>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</si>
  <si>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</si>
  <si>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</si>
  <si>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</si>
  <si>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</si>
  <si>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</si>
  <si>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</si>
  <si>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</si>
  <si>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</si>
  <si>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</si>
  <si>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</si>
  <si>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</si>
  <si>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</si>
  <si>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</si>
  <si>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</si>
  <si>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</si>
  <si>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</si>
  <si>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</si>
  <si>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</si>
  <si>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</si>
  <si>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</si>
  <si>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</si>
  <si>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</si>
  <si>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</si>
  <si>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</si>
  <si>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</si>
  <si>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</si>
  <si>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</si>
  <si>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</si>
  <si>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</si>
  <si>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</si>
  <si>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</si>
  <si>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</si>
  <si>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</si>
  <si>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</si>
  <si>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</si>
  <si>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</si>
  <si>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</si>
  <si>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</si>
  <si>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</si>
  <si>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</si>
  <si>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</si>
  <si>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</si>
  <si>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</si>
  <si>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</si>
  <si>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</si>
  <si>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</si>
  <si>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</si>
  <si>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</si>
  <si>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</si>
  <si>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</si>
  <si>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</si>
  <si>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</si>
  <si>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</si>
  <si>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</si>
  <si>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</si>
  <si>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</si>
  <si>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</si>
  <si>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</si>
  <si>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</si>
  <si>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</si>
  <si>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</si>
  <si>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</si>
  <si>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</si>
  <si>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</si>
  <si>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</si>
  <si>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</si>
  <si>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</si>
  <si>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</si>
  <si>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</si>
  <si>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</si>
  <si>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</si>
  <si>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</si>
  <si>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</si>
  <si>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</si>
  <si>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</si>
  <si>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</si>
  <si>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</si>
  <si>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</si>
  <si>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</si>
  <si>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</si>
  <si>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</si>
  <si>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</si>
  <si>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</si>
  <si>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</si>
  <si>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</si>
  <si>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</si>
  <si>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</si>
  <si>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</si>
  <si>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</si>
  <si>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</si>
  <si>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</si>
  <si>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</si>
  <si>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</si>
  <si>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</si>
  <si>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</si>
  <si>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</si>
  <si>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</si>
  <si>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</si>
  <si>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</si>
  <si>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</si>
  <si>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</si>
  <si>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</si>
  <si>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</si>
  <si>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</si>
  <si>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</si>
  <si>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</si>
  <si>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</si>
  <si>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</si>
  <si>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</si>
  <si>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</si>
  <si>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</si>
  <si>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</si>
  <si>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</si>
  <si>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</si>
  <si>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</si>
  <si>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</si>
  <si>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</si>
  <si>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</si>
  <si>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</si>
  <si>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</si>
  <si>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</si>
  <si>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</si>
  <si>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</si>
  <si>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</si>
  <si>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</si>
  <si>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</si>
  <si>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</si>
  <si>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</si>
  <si>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</si>
  <si>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</si>
  <si>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</si>
  <si>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</si>
  <si>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</si>
  <si>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</si>
  <si>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</si>
  <si>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</si>
  <si>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</si>
  <si>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</si>
  <si>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</si>
  <si>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</si>
  <si>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</si>
  <si>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</si>
  <si>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</si>
  <si>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</si>
  <si>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</si>
  <si>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</si>
  <si>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</si>
  <si>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</si>
  <si>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</si>
  <si>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</si>
  <si>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</si>
  <si>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</si>
  <si>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</si>
  <si>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</si>
  <si>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</si>
  <si>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</si>
  <si>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</si>
  <si>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</si>
  <si>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</si>
  <si>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</si>
  <si>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</si>
  <si>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</si>
  <si>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</si>
  <si>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</si>
  <si>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</si>
  <si>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</si>
  <si>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</si>
  <si>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</si>
  <si>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</si>
  <si>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</si>
  <si>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</si>
  <si>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</si>
  <si>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</si>
  <si>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</si>
  <si>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</si>
  <si>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</si>
  <si>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</si>
  <si>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</si>
  <si>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</si>
  <si>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</si>
  <si>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</si>
  <si>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</si>
  <si>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</si>
  <si>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</si>
  <si>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</si>
  <si>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</si>
  <si>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</si>
  <si>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</si>
  <si>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</si>
  <si>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</si>
  <si>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</si>
  <si>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</si>
  <si>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</si>
  <si>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</si>
  <si>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</si>
  <si>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</si>
  <si>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</si>
  <si>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</si>
  <si>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</si>
  <si>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</si>
  <si>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</si>
  <si>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</si>
  <si>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</si>
  <si>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</si>
  <si>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</si>
  <si>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</si>
  <si>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</si>
  <si>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</si>
  <si>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</si>
  <si>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</si>
  <si>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</si>
  <si>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</si>
  <si>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</si>
  <si>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</si>
  <si>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</si>
  <si>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</si>
  <si>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</si>
  <si>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</si>
  <si>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</si>
  <si>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</si>
  <si>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</si>
  <si>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</si>
  <si>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</si>
  <si>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</si>
  <si>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</si>
  <si>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</si>
  <si>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</si>
  <si>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</si>
  <si>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</si>
  <si>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</si>
  <si>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</si>
  <si>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</si>
  <si>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</si>
  <si>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</si>
  <si>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</si>
  <si>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</si>
  <si>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</si>
  <si>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</si>
  <si>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</si>
  <si>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</si>
  <si>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</si>
  <si>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</si>
  <si>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</si>
  <si>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</si>
  <si>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</si>
  <si>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</si>
  <si>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</si>
  <si>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</si>
  <si>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</si>
  <si>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</si>
  <si>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</si>
  <si>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</si>
  <si>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</si>
  <si>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</si>
  <si>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</si>
  <si>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</si>
  <si>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</si>
  <si>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</si>
  <si>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</si>
  <si>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</si>
  <si>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</si>
  <si>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</si>
  <si>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</si>
  <si>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</si>
  <si>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</si>
  <si>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</si>
  <si>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</si>
  <si>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</si>
  <si>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</si>
  <si>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</si>
  <si>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</si>
  <si>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</si>
  <si>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</si>
  <si>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</si>
  <si>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</si>
  <si>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</si>
  <si>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</si>
  <si>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</si>
  <si>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</si>
  <si>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</si>
  <si>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</si>
  <si>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</si>
  <si>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</si>
  <si>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</si>
  <si>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</si>
  <si>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</si>
  <si>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</si>
  <si>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</si>
  <si>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</si>
  <si>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</si>
  <si>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</si>
  <si>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</si>
  <si>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</si>
  <si>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</si>
  <si>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</si>
  <si>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</si>
  <si>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</si>
  <si>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</si>
  <si>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</si>
  <si>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</si>
  <si>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</si>
  <si>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</si>
  <si>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</si>
  <si>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</si>
  <si>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</si>
  <si>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</si>
  <si>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</si>
  <si>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</si>
  <si>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</si>
  <si>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</si>
  <si>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</si>
  <si>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</si>
  <si>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</si>
  <si>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</si>
  <si>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</si>
  <si>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</si>
  <si>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</si>
  <si>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</si>
  <si>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</si>
  <si>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</si>
  <si>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</si>
  <si>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</si>
  <si>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</si>
  <si>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</si>
  <si>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</si>
  <si>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</si>
  <si>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</si>
  <si>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</si>
  <si>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</si>
  <si>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</si>
  <si>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</si>
  <si>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</si>
  <si>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</si>
  <si>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</si>
  <si>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</si>
  <si>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</si>
  <si>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</si>
  <si>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</si>
  <si>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</si>
  <si>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</si>
  <si>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</si>
  <si>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</si>
  <si>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</si>
  <si>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</si>
  <si>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</si>
  <si>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</si>
  <si>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</si>
  <si>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</si>
  <si>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</si>
  <si>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</si>
  <si>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</si>
  <si>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</si>
  <si>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</si>
  <si>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</si>
  <si>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</si>
  <si>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</si>
  <si>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</si>
  <si>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</si>
  <si>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</si>
  <si>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</si>
  <si>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</si>
  <si>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</si>
  <si>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</si>
  <si>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</si>
  <si>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</si>
  <si>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</si>
  <si>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</si>
  <si>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</si>
  <si>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</si>
  <si>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</si>
  <si>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</si>
  <si>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</si>
  <si>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</si>
  <si>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</si>
  <si>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</si>
  <si>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</si>
  <si>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</si>
  <si>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</si>
  <si>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</si>
  <si>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</si>
  <si>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</si>
  <si>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</si>
  <si>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</si>
  <si>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</si>
  <si>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</si>
  <si>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</si>
  <si>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</si>
  <si>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</si>
  <si>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</si>
  <si>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</si>
  <si>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</si>
  <si>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</si>
  <si>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</si>
  <si>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</si>
  <si>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</si>
  <si>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</si>
  <si>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</si>
  <si>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</si>
  <si>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</si>
  <si>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</si>
  <si>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</si>
  <si>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</si>
  <si>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</si>
  <si>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</si>
  <si>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</si>
  <si>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</si>
  <si>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</si>
  <si>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</si>
  <si>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</si>
  <si>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</si>
  <si>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</si>
  <si>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</si>
  <si>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</si>
  <si>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</si>
  <si>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</si>
  <si>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</si>
  <si>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</si>
  <si>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</si>
  <si>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</si>
  <si>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</si>
  <si>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</si>
  <si>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</si>
  <si>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</si>
  <si>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</si>
  <si>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</si>
  <si>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</si>
  <si>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</si>
  <si>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</si>
  <si>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</si>
  <si>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</si>
  <si>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</si>
  <si>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</si>
  <si>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</si>
  <si>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</si>
  <si>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</si>
  <si>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</si>
  <si>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</si>
  <si>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</si>
  <si>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</si>
  <si>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</si>
  <si>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</si>
  <si>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</si>
  <si>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</si>
  <si>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</si>
  <si>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</si>
  <si>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</si>
  <si>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</si>
  <si>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</si>
  <si>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</si>
  <si>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</si>
  <si>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</si>
  <si>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</si>
  <si>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</si>
  <si>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</si>
  <si>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</si>
  <si>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</si>
  <si>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</si>
  <si>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</si>
  <si>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</si>
  <si>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</si>
  <si>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</si>
  <si>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</si>
  <si>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</si>
  <si>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</si>
  <si>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</si>
  <si>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</si>
  <si>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</si>
  <si>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</si>
  <si>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</si>
  <si>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</si>
  <si>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</si>
  <si>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</si>
  <si>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</si>
  <si>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</si>
  <si>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</si>
  <si>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</si>
  <si>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</si>
  <si>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</si>
  <si>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</si>
  <si>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</si>
  <si>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</si>
  <si>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</si>
  <si>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</si>
  <si>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</si>
  <si>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</si>
  <si>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</si>
  <si>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</si>
  <si>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</si>
  <si>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</si>
  <si>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</si>
  <si>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</si>
  <si>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</si>
  <si>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</si>
  <si>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</si>
  <si>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</si>
  <si>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</si>
  <si>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</si>
  <si>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</si>
  <si>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</si>
  <si>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</si>
  <si>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</si>
  <si>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</si>
  <si>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</si>
  <si>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</si>
  <si>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</si>
  <si>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</si>
  <si>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</si>
  <si>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</si>
  <si>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</si>
  <si>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</si>
  <si>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</si>
  <si>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</si>
  <si>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</si>
  <si>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</si>
  <si>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</si>
  <si>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</si>
  <si>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</si>
  <si>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</si>
  <si>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</si>
  <si>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</si>
  <si>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</si>
  <si>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</si>
  <si>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</si>
  <si>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</si>
  <si>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</si>
  <si>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</si>
  <si>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</si>
  <si>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</si>
  <si>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</si>
  <si>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</si>
  <si>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</si>
  <si>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</si>
  <si>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</si>
  <si>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</si>
  <si>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</si>
  <si>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</si>
  <si>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</si>
  <si>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</si>
  <si>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</si>
  <si>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</si>
  <si>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</si>
  <si>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</si>
  <si>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</si>
  <si>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</si>
  <si>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</si>
  <si>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</si>
  <si>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</si>
  <si>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</si>
  <si>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</si>
  <si>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</si>
  <si>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</si>
  <si>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</si>
  <si>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</si>
  <si>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</si>
  <si>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</si>
  <si>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</si>
  <si>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</si>
  <si>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</si>
  <si>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</si>
  <si>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</si>
  <si>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</si>
  <si>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</si>
  <si>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</si>
  <si>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</si>
  <si>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</si>
  <si>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</si>
  <si>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</si>
  <si>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</si>
  <si>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</si>
  <si>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</si>
  <si>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</si>
  <si>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</si>
  <si>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</si>
  <si>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</si>
  <si>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</si>
  <si>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</si>
  <si>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</si>
  <si>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</si>
  <si>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</si>
  <si>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</si>
  <si>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</si>
  <si>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</si>
  <si>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</si>
  <si>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</si>
  <si>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</si>
  <si>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</si>
  <si>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</si>
  <si>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</si>
  <si>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</si>
  <si>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</si>
  <si>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</si>
  <si>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</si>
  <si>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</si>
  <si>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</si>
  <si>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</si>
  <si>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</si>
  <si>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</si>
  <si>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</si>
  <si>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</si>
  <si>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</si>
  <si>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</si>
  <si>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</si>
  <si>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</si>
  <si>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</si>
  <si>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</si>
  <si>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</si>
  <si>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</si>
  <si>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</si>
  <si>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</si>
  <si>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</si>
  <si>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</si>
  <si>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</si>
  <si>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</si>
  <si>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</si>
  <si>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</si>
  <si>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</si>
  <si>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</si>
  <si>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</si>
  <si>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</si>
  <si>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</si>
  <si>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</si>
  <si>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</si>
  <si>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</si>
  <si>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</si>
  <si>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</si>
  <si>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</si>
  <si>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</si>
  <si>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</si>
  <si>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</si>
  <si>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</si>
  <si>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</si>
  <si>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</si>
  <si>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</si>
  <si>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</si>
  <si>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</si>
  <si>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</si>
  <si>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</si>
  <si>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</si>
  <si>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</si>
  <si>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</si>
  <si>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</si>
  <si>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</si>
  <si>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</si>
  <si>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</si>
  <si>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</si>
  <si>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</si>
  <si>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</si>
  <si>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</si>
  <si>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</si>
  <si>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</si>
  <si>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</si>
  <si>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</si>
  <si>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</si>
  <si>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</si>
  <si>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</si>
  <si>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</si>
  <si>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</si>
  <si>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</si>
  <si>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</si>
  <si>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</si>
  <si>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</si>
  <si>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</si>
  <si>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</si>
  <si>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</si>
  <si>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</si>
  <si>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</si>
  <si>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</si>
  <si>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</si>
  <si>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</si>
  <si>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</si>
  <si>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</si>
  <si>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</si>
  <si>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</si>
  <si>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</si>
  <si>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</si>
  <si>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</si>
  <si>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</si>
  <si>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</si>
  <si>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</si>
  <si>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</si>
  <si>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</si>
  <si>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</si>
  <si>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</si>
  <si>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</si>
  <si>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</si>
  <si>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</si>
  <si>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</si>
  <si>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</si>
  <si>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</si>
  <si>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</si>
  <si>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</si>
  <si>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</si>
  <si>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</si>
  <si>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United States - Allentown, United States - Orange County</t>
  </si>
  <si>
    <t xml:space="preserve">Policy-ULID-000492; Issue 20.0 (00-LC-P0040) </t>
  </si>
  <si>
    <t>Standard Operating Procedure-ULID-001015; Issue 27.0 (00-QA-S0006)</t>
  </si>
  <si>
    <t>Policy-ULID-000489;Issue 16.0 (00-LC-P0028)
Standard Operation Procedures-ULID-008236; Issue 4.0 (87-LO-S0850)</t>
  </si>
  <si>
    <t>Standard Operation Procedures-ULID-008243;Issue 6.0 (87-LO-S0858)
Policy-ULID-000494; Issue 7.0 (00-LC-P0851)
Policy-ULID-000495; Issue 4.0 (00-LC-P0852)</t>
  </si>
  <si>
    <t>Standard Operation Procedures-ULID-008240; Issue 6.0 (87-LO-S0855)
Policy-ULID-000494; Issue 7.0 (00-LC-P0851)
Policy-ULID-000495; Issue 4.0 (00-LC-P0852)</t>
  </si>
  <si>
    <t>Policy - ULID-008235;Issue 12.1 (87-LO-P0852)
Policy-ULID-000494; Issue 7.0 (00-LC-P0851)
Policy-ULID-000495; Issue 4.0 (00-LC-P0852)</t>
  </si>
  <si>
    <t>Standard Operation Procedures-ULID-008246; Issue 4.0 (87-LO-S0861)
Policy ULID-000488; Issue 9.0 (00-LC-P0026)
Standard Operation Procedures-ULID-008242; Issue 5.0 (87-LO-S0857)
Policy-ULID-000494; Issue 7.0 (00-LC-P0851)
Policy-ULID-000495; Issue 4.0 (00-LC-P0852)</t>
  </si>
  <si>
    <t>Policy-ULID-000491;Issue 23.0 (00-LC-P0031)
Policy-ULID-000494; Issue 7.0 (00-LC-P0851)
Policy-ULID-000495; Issue 4.0 (00-LC-P0852)</t>
  </si>
  <si>
    <t>Policy-ULID-000487; Issue 14.2 (00-LC-P0025) 
Policy-ULID-004350; Issue 7.0 (00-FM-P0851) 
Policy-ULID-000494; Issue 7.0 (00-LC-P0851)</t>
  </si>
  <si>
    <t>Standard Operation Procedures-ULID-000687; Issue 17.0 (00-LO-S0855)
Standard Operation Procedures-ULID-008244; Issue 5.0 (87-LO-S0859)
Policy-ULID-000494; Issue 7.0 (00-LC-P0851)
Policy-ULID-000495; Issue 4.0 (00-LC-P0852)</t>
  </si>
  <si>
    <t>Policy-ULID-000494; Issue 7.0 (00-LC-P0851)
Policy-ULID-000495; Issue 4.0 (00-LC-P0852)
Standard Operation Procedures-ULID-008238; Issue 6.0) (87-LO-S0853)
Standard Operation Procedures-ULID-008239; Issue 6.0 (87-LO-S0854)
Standard Operation Procedures-ULID-008241; Issue 5.0 (87-LO-S0856)
Policy-ULID-001010;Issue 5.0 (00-QA-P0026)</t>
  </si>
  <si>
    <r>
      <t xml:space="preserve">Policy-ULID-000493;Issue 10.0 (00-LC-P0046)
</t>
    </r>
    <r>
      <rPr>
        <sz val="11"/>
        <rFont val="Calibri"/>
        <family val="2"/>
        <scheme val="minor"/>
      </rPr>
      <t>Standard Operation Procedures-ULID-004161; Issue 45.0 (00-CS-S0012)</t>
    </r>
  </si>
  <si>
    <t>Lab follows ISO/IEC 17025 Option A; through 00-LC-P0851 and 00-LC-P0852</t>
  </si>
  <si>
    <t>Austin Duff - 44495</t>
  </si>
  <si>
    <t>2021 Allentown and Orange County MR</t>
  </si>
  <si>
    <t>GCAR database captures "Findings" and observations" adequately as per requirements.</t>
  </si>
  <si>
    <t>Policy-ULID-000492; Issue 20.0 (00-LC-P0040) 
Standard Operating Procedure-ULID-001015; Issue 27.0 (00-QA-S0006)</t>
  </si>
  <si>
    <t>"Preventive Actions and Continuous Improvements" excel spreadsheet.
"ISO 17025_2017 Risks - Allentown and OC" excel spreadsheet.</t>
  </si>
  <si>
    <t>Both spreadsheets had several entries for both Allentown and OC located in the their shared "SharePoint" site.</t>
  </si>
  <si>
    <t>N/A</t>
  </si>
  <si>
    <t xml:space="preserve">
IES LM-79-08</t>
  </si>
  <si>
    <t>Policy-ULID-000494; Issue 7.0 (00-LC-P0851)
Policy-ULID-000495; Issue 4.0 (00-LC-P0852)
Standard Operation Procedures-ULID-000681; Issue 3.0 (00-LO-S0406)</t>
  </si>
  <si>
    <t>UL Organizational Chart for both Allentown and Orange County (Brea).  
Both sites are under the UL Verification Inc. Legal entity.
Technicians reduced from 3 to 2.</t>
  </si>
  <si>
    <t xml:space="preserve">PA001, PA002, PA007, PA012, PS026, TM006, TM011, TM016, </t>
  </si>
  <si>
    <t>CS002, WS001, GM002, IS003, PA001, PA002, PA007, PS012, PS026, TM006, TM011, TM016, Thermocouples (Type J),Labsphere software, Complete test report 4.22,</t>
  </si>
  <si>
    <t xml:space="preserve">Sample 4174953
Sample 4189118
Sample 4196851 </t>
  </si>
  <si>
    <t xml:space="preserve">(a) MoU SphereColorQuantities_UL_RevC
(b) Model6440 Goniophotometer Intensity
(c) MoU Integrating Sphere_UL_LLC
(d) Goniospectroradiometer_Calibration Uncertainty_Xitron2801RevC
(e ) Integrating_Sphere_Calibration UncertaintyRevD
(f) UL_Goniophotometer_CalibrationRevB 
</t>
  </si>
  <si>
    <t>CAR 203922762 - Verified as effective.
Budgets reviewed are in the MoU SharePoint site.</t>
  </si>
  <si>
    <t>Interlab comparison process - Ongoing organized by John O Farrell btw. (BREA, Allentown, 3 sites in China, Brazil and India).</t>
  </si>
  <si>
    <t xml:space="preserve">2021 UL Photometric Laboratory Intercomparison Program </t>
  </si>
  <si>
    <t xml:space="preserve">Policy-ULID-000489;Issue 16.0 (00-LC-P0028)
Standard Operation Procedures-ULID-008241;Issue 5.0 (87-LO-S0856)
Policy-ULID-000494; Issue 7.0 (00-LC-P0851)
Policy-ULID-000495; Issue 4.0 (00-LC-P0852) </t>
  </si>
  <si>
    <t>Allentown/OC SharePoint site
2021 UL Photometric Laboratory Intercomparison Program.</t>
  </si>
  <si>
    <r>
      <rPr>
        <sz val="11"/>
        <rFont val="Calibri"/>
        <family val="2"/>
        <scheme val="minor"/>
      </rPr>
      <t>UL Organization Chart
Standard Operation Procedures-ULID-007782; Issue 3.0 (59-LO-S0850)</t>
    </r>
    <r>
      <rPr>
        <sz val="11"/>
        <color theme="1"/>
        <rFont val="Calibri"/>
        <family val="2"/>
        <scheme val="minor"/>
      </rPr>
      <t xml:space="preserve">
Policy-ULID-000494; Issue 7.0 (00-LC-P0851)
Policy-ULID-000495; Issue 4.0 (00-LC-P0852)</t>
    </r>
  </si>
  <si>
    <t>Labsphere software,
Complete test report 4.22
Allentown/OC Sharepoint site
Allentown and OC Shared drive</t>
  </si>
  <si>
    <t>Feedback from Customer Advocacy</t>
  </si>
  <si>
    <t>Controlled access, Gonio rooms painted to eliminate reflection, calibrated power supplies used in lab. Certain test areas insulated from light, sound and vibration (Semi Anechoic chamber"), Curtains to separate areas</t>
  </si>
  <si>
    <t>Integrating spheres calibrated monthly - Constant checks.
Validity of results process done in a way to meet all accredited disciplines. 
Functional checks on equipment after calibration.</t>
  </si>
  <si>
    <t>Performance Report templates stored in site Shared drives.
Documents pulled from ULDC or DCS as needed.
Standards and aditional templates from governing bodies or approved sites e.g. EPA, UL, IHS, etc.</t>
  </si>
  <si>
    <t xml:space="preserve">(1) Allentown and OC SharePoint site.
(2) Projects in local Shared drives.
(3) Quotes, samples and test reports in ECM.
(4) assets, consumables, calibration records, etc. in MET team and local site.
(5) Austin Duff and William Escobar Competencies - Lab Operation SharePoint site, TCD, Qualification records. 
(6) OC and Allentown Mou budgets, 
(7) Sample 4174953
(8) Sample 4189118
(9) Sample 4196851 
</t>
  </si>
  <si>
    <r>
      <t xml:space="preserve">Report generator "Complete Report 4.22.xlsm 
Test report for SloanLED - Photobiological Safety Test Report (Order #: 13976126.02).
</t>
    </r>
    <r>
      <rPr>
        <sz val="11"/>
        <rFont val="Calibri"/>
        <family val="2"/>
        <scheme val="minor"/>
      </rPr>
      <t>Test Report for Sun Valley Lighting</t>
    </r>
  </si>
  <si>
    <t>All sections considered and if no details, lab still added an acknowledgement note. Showing it was discussed.</t>
  </si>
  <si>
    <t>LM79 and IEC 62778</t>
  </si>
  <si>
    <t>Active projects - Explained the testing as was in process</t>
  </si>
  <si>
    <t>Active projects</t>
  </si>
  <si>
    <t>Services provided by approved vendors, with results traceable to SI units.</t>
  </si>
  <si>
    <t xml:space="preserve">UL 1598 - Temperature test </t>
  </si>
  <si>
    <t>Quote request process for Sun Valley and Hawthorne Hydroponics.</t>
  </si>
  <si>
    <t xml:space="preserve">Order #:13990595 - SunValley Lighting
Order #:13968323 - Hawthorne Hydroponics LLC.
</t>
  </si>
  <si>
    <r>
      <rPr>
        <sz val="11"/>
        <rFont val="Calibri"/>
        <family val="2"/>
        <scheme val="minor"/>
      </rPr>
      <t>Standard Operation Procedures-ULID-008240; Issue 6.0 (87-LO-S0855)</t>
    </r>
    <r>
      <rPr>
        <sz val="11"/>
        <color theme="1"/>
        <rFont val="Calibri"/>
        <family val="2"/>
        <scheme val="minor"/>
      </rPr>
      <t xml:space="preserve">
Policy-ULID-000494; Issue 7.0 (00-LC-P0851)
Policy-ULID-000495; Issue 4.0 (00-LC-P0852)</t>
    </r>
  </si>
  <si>
    <t>Allentown/OC SharePoint site, Allentown/OC quality manual, DCS, Quality management system training material, Management review, lab monthly meetings, etc.</t>
  </si>
  <si>
    <t>Internal audit handled by Corporate Quality.</t>
  </si>
  <si>
    <t>Standard Operating Procedure-ULID-001014; Issue 20.0 (00-QA-S0004)</t>
  </si>
  <si>
    <t>LMS Training - Standards of business conduct acknowledgement.</t>
  </si>
  <si>
    <t>Jeffrey Lockner - 30219</t>
  </si>
  <si>
    <t>Wendoly Gonzalez - 44503
Manuel  Alexandre - 13205</t>
  </si>
  <si>
    <t>LMS Training - Standards of business conduct acknowledgement , reviewed during last years audit.</t>
  </si>
  <si>
    <t xml:space="preserve">UL Organizational Chart in MS Teams.
Job descriptions in HR SharePoint site.
</t>
  </si>
  <si>
    <t>Technical competency database (TCD)
Qualification records (82-LO-F0856 form), 
2020 Competency records</t>
  </si>
  <si>
    <t>Standard Operation Procedures-ULID-008237; Issue 5.0 (87-LO-S0851)
Policy-ULID-000494; Issue 7.0 (00-LC-P0851)
Policy-ULID-000495; Issue 4.0 (00-LC-P0852)</t>
  </si>
  <si>
    <t>Calibration services from Transcat (ILAC) recognized.
Thermocouples - From Pacific Test &amp; Measurement.
Most equipment due at one time hence a request is sent to Transcat.</t>
  </si>
  <si>
    <t>Samples belonging to:
4174953 - Sloan LED
4189118 - Sun Valley Lighting
4196851 - Hawthorne Hydroponics LLC.</t>
  </si>
  <si>
    <t>Jeffrey Lockner - 30219
Manuel Alexandre - 13205</t>
  </si>
  <si>
    <t>Jeffrery Lockner - 30219</t>
  </si>
  <si>
    <t>Zachary Mooney - 29499
Jeffrey Lockner - 30219
Manuel Alexandre - 13205</t>
  </si>
  <si>
    <t>Jeffrey Lockner - 30219
Austin Duff - 44495
William Escobar - 10601
Manuel Alexandre - 13205</t>
  </si>
  <si>
    <r>
      <t xml:space="preserve">Standard Operation Procedures-ULID-008239;Issue 6.0 (87-LO-S0854)
Standard Operation Procedures-ULID-008241;Issue 5.0 (87-LO-S0856) 
</t>
    </r>
    <r>
      <rPr>
        <sz val="11"/>
        <rFont val="Calibri"/>
        <family val="2"/>
        <scheme val="minor"/>
      </rPr>
      <t>Standard Operation Procedures-ULID-008238; Issue 6.0) (87-LO-S0853).</t>
    </r>
    <r>
      <rPr>
        <sz val="11"/>
        <color theme="1"/>
        <rFont val="Calibri"/>
        <family val="2"/>
        <scheme val="minor"/>
      </rPr>
      <t xml:space="preserve">
Policy-ULID-000494; Issue 7.0 (00-LC-P0851)
Policy-ULID-000495; Issue 4.0 (00-LC-P0852)</t>
    </r>
  </si>
  <si>
    <t>Report generator "Complete Report 4.22.xlsm - Datasheet template that has a macro to convert to a final test report.
Test report for SloanLED - Photobiological Safety Test Report (Order #: 13976126.02).
SunValley Lighting and Hawthorne test reports were still in progress.</t>
  </si>
  <si>
    <t>Standard Operation Procedures-ULID-000496; Issue 14.0 (00-LC-S0278)</t>
  </si>
  <si>
    <t>Austin Duff - 44495
Jeffrey Lockner - 30219</t>
  </si>
  <si>
    <r>
      <t xml:space="preserve">No recent examples of non-conformances, but explained through the process.
</t>
    </r>
    <r>
      <rPr>
        <sz val="11"/>
        <rFont val="Calibri"/>
        <family val="2"/>
        <scheme val="minor"/>
      </rPr>
      <t>CAR 203922764 verified as effective</t>
    </r>
  </si>
  <si>
    <t>CAR 203922763 verified as effective.
Offsite logs are handled by NBK. Security and access restrictions evident for the communication rm.</t>
  </si>
  <si>
    <t xml:space="preserve">Site shared drive(s), NVLAP site, SharePoint site, ULDC or DCS, EPA, UL, IHS, etc.
</t>
  </si>
  <si>
    <t>Allentown and OC SharePoint site.
Local Shared drives.
Quotes, samples and test reports in ECM.
assets, consumables, calibration records, etc. in MET team and local site.
Competencies - Lab Operation SharePoint site, TCD.
Qualification records, MoU budgets, etc. in Laboratory Operations SharePoint site.</t>
  </si>
  <si>
    <t>Austin Duff - 44495
William Escobar - 10601
Manuel Alexandre - 13205</t>
  </si>
  <si>
    <t>Auditor Name: Brian Mahoney</t>
  </si>
  <si>
    <t>Audit Date Range: 10/18/2022 to 10/20/2022</t>
  </si>
  <si>
    <t>Manuel Alexandre- 13205
Jeffrey Lockner - 30219</t>
  </si>
  <si>
    <t>Dennis Kabana- 31744, Brandon Wehbey- 31666</t>
  </si>
  <si>
    <t>United States - Orange County, United States - Allentown</t>
  </si>
  <si>
    <t>Reviewed records for Austin Duff, Dennis Kabana</t>
  </si>
  <si>
    <t>Manuel Alexandre - 13205
Jeffrey Lockner - 30219</t>
  </si>
  <si>
    <t xml:space="preserve">
Lab Tour</t>
  </si>
  <si>
    <t>Policy-ULID-004142 (00-CE-P0852)
Policy-ULID-000516 (00-LE-P0001)
Policy-ULID-000517 (00-LE-P0026)                                 Policy-ULID-000519 (00-LE-P0030)</t>
  </si>
  <si>
    <t>Policy-ULID-004350 (00-FM-P0851)
Policy-ULID-000207 (00-HR-S0052)
Policy-ULID-000434 (00-IT-P0406)
Policy-ULID-000520 (00-LE-P0400); Issue 6.0</t>
  </si>
  <si>
    <t>Audit #: IQA 2022-128, 73</t>
  </si>
  <si>
    <t xml:space="preserve">
Jeffrey Lockner - 30219</t>
  </si>
  <si>
    <t>Jeffrey Lockner- 30219
Manuel Alexandre - 13205</t>
  </si>
  <si>
    <t>No complaints in 2022</t>
  </si>
  <si>
    <t>Management review</t>
  </si>
  <si>
    <t xml:space="preserve">
Jeffrey Lockner - 30219
Manuel Alexandre - 13205</t>
  </si>
  <si>
    <t>Bavak Shah</t>
  </si>
  <si>
    <t>Order 14530497</t>
  </si>
  <si>
    <t>Active project</t>
  </si>
  <si>
    <t>Mock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</si>
</sst>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3" borderId="1" xfId="0" applyFill="1" applyBorder="1" applyAlignment="1">
      <alignment wrapText="1"/>
    </xf>
  </cellXfs>
  <cellStyles count="1">
    <cellStyle name="Normal" xfId="0" builtinId="0"/>
  </cellStyles>
  <dxfs count="10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I3"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822</v>
      </c>
      <c r="B1" s="45" t="s">
        <v>833</v>
      </c>
      <c r="D1" s="46" t="s">
        <v>834</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0"/>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0"/>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0"/>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0"/>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0"/>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30"/>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0"/>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0"/>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0"/>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0"/>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0"/>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0"/>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0"/>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0"/>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0"/>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0"/>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0"/>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0"/>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c r="K25" s="30"/>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0"/>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0"/>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05" priority="60">
      <formula>COUNTBLANK($F3)</formula>
    </cfRule>
  </conditionalFormatting>
  <conditionalFormatting sqref="I7 I27:I32">
    <cfRule type="expression" dxfId="104" priority="58">
      <formula>COUNTBLANK($I7)</formula>
    </cfRule>
  </conditionalFormatting>
  <conditionalFormatting sqref="G3:G32">
    <cfRule type="expression" dxfId="103" priority="50">
      <formula>COUNTBLANK($G3)</formula>
    </cfRule>
  </conditionalFormatting>
  <conditionalFormatting sqref="H3:H32">
    <cfRule type="expression" dxfId="102" priority="49">
      <formula>COUNTBLANK($H3)</formula>
    </cfRule>
  </conditionalFormatting>
  <conditionalFormatting sqref="A3">
    <cfRule type="expression" dxfId="101" priority="40">
      <formula>COUNTBLANK($F3:$H3)</formula>
    </cfRule>
  </conditionalFormatting>
  <conditionalFormatting sqref="I11:I12">
    <cfRule type="expression" dxfId="100" priority="36">
      <formula>COUNTBLANK($I11)</formula>
    </cfRule>
  </conditionalFormatting>
  <conditionalFormatting sqref="I14:I18">
    <cfRule type="expression" dxfId="99" priority="35">
      <formula>COUNTBLANK($I14)</formula>
    </cfRule>
  </conditionalFormatting>
  <conditionalFormatting sqref="K3:K32">
    <cfRule type="expression" dxfId="98" priority="11">
      <formula>COUNTBLANK($K3)</formula>
    </cfRule>
  </conditionalFormatting>
  <conditionalFormatting sqref="A3">
    <cfRule type="expression" dxfId="97" priority="12">
      <formula>$K3="Not Audited"</formula>
    </cfRule>
    <cfRule type="expression" dxfId="96" priority="13">
      <formula>$K3="Not Applicable"</formula>
    </cfRule>
  </conditionalFormatting>
  <conditionalFormatting sqref="A4:A32">
    <cfRule type="expression" dxfId="95" priority="3">
      <formula>COUNTBLANK($F4:$I4)</formula>
    </cfRule>
  </conditionalFormatting>
  <conditionalFormatting sqref="A4:A32">
    <cfRule type="expression" dxfId="94" priority="1">
      <formula>$K4="Not Audited"</formula>
    </cfRule>
    <cfRule type="expression" dxfId="93"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tabSelected="1" zoomScale="110" zoomScaleNormal="110" workbookViewId="0">
      <pane xSplit="1" ySplit="2" topLeftCell="B3" activePane="bottomRight" state="frozen"/>
      <selection pane="topRight" activeCell="B1" sqref="B1"/>
      <selection pane="bottomLeft" activeCell="A2" sqref="A2"/>
      <selection pane="bottomRight" activeCell="J29" sqref="J29"/>
    </sheetView>
  </sheetViews>
  <sheetFormatPr defaultColWidth="9.140625" defaultRowHeight="15" x14ac:dyDescent="0.25"/>
  <cols>
    <col min="1" max="1" width="60.28515625" customWidth="1"/>
    <col min="2" max="6" width="30.7109375" customWidth="1"/>
    <col min="7" max="7" width="51.28515625" customWidth="1"/>
    <col min="8" max="8" width="41.28515625" customWidth="1"/>
    <col min="9"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928</v>
      </c>
      <c r="B1" s="45" t="s">
        <v>918</v>
      </c>
      <c r="D1" s="46" t="s">
        <v>919</v>
      </c>
      <c r="E1" s="45"/>
      <c r="F1" s="47"/>
      <c r="G1" s="47"/>
      <c r="H1" s="47"/>
      <c r="I1" s="47"/>
      <c r="J1" s="47"/>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60" x14ac:dyDescent="0.25">
      <c r="A3" s="2" t="s">
        <v>29</v>
      </c>
      <c r="B3" s="1" t="s">
        <v>827</v>
      </c>
      <c r="C3" s="1" t="s">
        <v>843</v>
      </c>
      <c r="D3" s="1" t="s">
        <v>576</v>
      </c>
      <c r="E3" s="1" t="s">
        <v>787</v>
      </c>
      <c r="F3" s="1" t="s">
        <v>920</v>
      </c>
      <c r="G3" s="1" t="s">
        <v>926</v>
      </c>
      <c r="H3" s="1" t="s">
        <v>896</v>
      </c>
      <c r="I3" s="14"/>
      <c r="J3" s="1"/>
      <c r="K3" s="30" t="s">
        <v>148</v>
      </c>
      <c r="L3" s="1"/>
      <c r="M3" s="9"/>
      <c r="N3" s="9"/>
      <c r="O3" s="9"/>
      <c r="P3" s="8" t="s">
        <v>101</v>
      </c>
      <c r="Q3" s="11" t="s">
        <v>35</v>
      </c>
      <c r="R3" s="11" t="s">
        <v>132</v>
      </c>
    </row>
    <row r="4" spans="1:18" s="3" customFormat="1" ht="60" x14ac:dyDescent="0.25">
      <c r="A4" s="2" t="s">
        <v>30</v>
      </c>
      <c r="B4" s="1" t="s">
        <v>827</v>
      </c>
      <c r="C4" s="1" t="s">
        <v>843</v>
      </c>
      <c r="D4" s="1" t="s">
        <v>576</v>
      </c>
      <c r="E4" s="1" t="s">
        <v>787</v>
      </c>
      <c r="F4" s="1" t="s">
        <v>921</v>
      </c>
      <c r="G4" s="1" t="s">
        <v>927</v>
      </c>
      <c r="H4" s="1" t="s">
        <v>899</v>
      </c>
      <c r="I4" s="14"/>
      <c r="J4" s="1"/>
      <c r="K4" s="30" t="s">
        <v>148</v>
      </c>
      <c r="L4" s="1"/>
      <c r="M4" s="9"/>
      <c r="N4" s="9"/>
      <c r="O4" s="9"/>
      <c r="P4" s="8" t="s">
        <v>62</v>
      </c>
      <c r="Q4" s="11" t="s">
        <v>36</v>
      </c>
      <c r="R4" s="11"/>
    </row>
    <row r="5" spans="1:18" s="3" customFormat="1" ht="90" x14ac:dyDescent="0.25">
      <c r="A5" s="2" t="s">
        <v>28</v>
      </c>
      <c r="B5" s="1" t="s">
        <v>827</v>
      </c>
      <c r="C5" s="1" t="s">
        <v>843</v>
      </c>
      <c r="D5" s="1" t="s">
        <v>576</v>
      </c>
      <c r="E5" s="1" t="s">
        <v>787</v>
      </c>
      <c r="F5" s="1" t="s">
        <v>929</v>
      </c>
      <c r="G5" s="1" t="s">
        <v>876</v>
      </c>
      <c r="H5" s="1" t="s">
        <v>900</v>
      </c>
      <c r="I5" s="14"/>
      <c r="J5" s="1" t="s">
        <v>866</v>
      </c>
      <c r="K5" s="30" t="s">
        <v>148</v>
      </c>
      <c r="L5" s="1"/>
      <c r="M5" s="9"/>
      <c r="N5" s="9"/>
      <c r="O5" s="9"/>
      <c r="P5" s="8" t="s">
        <v>101</v>
      </c>
      <c r="Q5" s="8" t="s">
        <v>37</v>
      </c>
      <c r="R5" s="11"/>
    </row>
    <row r="6" spans="1:18" s="3" customFormat="1" ht="90" x14ac:dyDescent="0.25">
      <c r="A6" s="2" t="s">
        <v>2</v>
      </c>
      <c r="B6" s="1" t="s">
        <v>827</v>
      </c>
      <c r="C6" s="1" t="s">
        <v>922</v>
      </c>
      <c r="D6" s="1" t="s">
        <v>576</v>
      </c>
      <c r="E6" s="1" t="s">
        <v>787</v>
      </c>
      <c r="F6" s="1" t="s">
        <v>920</v>
      </c>
      <c r="G6" s="1" t="s">
        <v>853</v>
      </c>
      <c r="H6" s="1" t="s">
        <v>901</v>
      </c>
      <c r="I6" s="1">
        <v>2</v>
      </c>
      <c r="J6" s="1" t="s">
        <v>923</v>
      </c>
      <c r="K6" s="30" t="s">
        <v>148</v>
      </c>
      <c r="L6" s="52"/>
      <c r="M6" s="9"/>
      <c r="N6" s="9"/>
      <c r="O6" s="9"/>
      <c r="P6" s="8" t="s">
        <v>101</v>
      </c>
      <c r="Q6" s="8" t="s">
        <v>32</v>
      </c>
      <c r="R6" s="11" t="s">
        <v>131</v>
      </c>
    </row>
    <row r="7" spans="1:18" s="3" customFormat="1" ht="120" x14ac:dyDescent="0.25">
      <c r="A7" s="2" t="s">
        <v>1</v>
      </c>
      <c r="B7" s="1" t="s">
        <v>827</v>
      </c>
      <c r="C7" s="1" t="s">
        <v>922</v>
      </c>
      <c r="D7" s="1" t="s">
        <v>576</v>
      </c>
      <c r="E7" s="1" t="s">
        <v>787</v>
      </c>
      <c r="F7" s="1" t="s">
        <v>924</v>
      </c>
      <c r="G7" s="1" t="s">
        <v>852</v>
      </c>
      <c r="H7" s="1" t="s">
        <v>925</v>
      </c>
      <c r="I7" s="1">
        <v>3</v>
      </c>
      <c r="J7" s="1" t="s">
        <v>879</v>
      </c>
      <c r="K7" s="30" t="s">
        <v>148</v>
      </c>
      <c r="L7" s="1"/>
      <c r="M7" s="9"/>
      <c r="N7" s="9"/>
      <c r="O7" s="9"/>
      <c r="P7" s="8" t="s">
        <v>101</v>
      </c>
      <c r="Q7" s="11" t="s">
        <v>33</v>
      </c>
      <c r="R7" s="11"/>
    </row>
    <row r="8" spans="1:18" s="3" customFormat="1" ht="75" x14ac:dyDescent="0.25">
      <c r="A8" s="2" t="s">
        <v>5</v>
      </c>
      <c r="B8" s="1" t="s">
        <v>827</v>
      </c>
      <c r="C8" s="1" t="s">
        <v>922</v>
      </c>
      <c r="D8" s="1" t="s">
        <v>576</v>
      </c>
      <c r="E8" s="1" t="s">
        <v>787</v>
      </c>
      <c r="F8" s="1" t="s">
        <v>905</v>
      </c>
      <c r="G8" s="1" t="s">
        <v>851</v>
      </c>
      <c r="H8" s="1" t="s">
        <v>868</v>
      </c>
      <c r="I8" s="1">
        <v>15</v>
      </c>
      <c r="J8" s="13" t="s">
        <v>888</v>
      </c>
      <c r="K8" s="30" t="s">
        <v>148</v>
      </c>
      <c r="L8" s="1"/>
      <c r="M8" s="9"/>
      <c r="N8" s="9"/>
      <c r="O8" s="9"/>
      <c r="P8" s="8" t="s">
        <v>101</v>
      </c>
      <c r="Q8" s="8" t="s">
        <v>43</v>
      </c>
      <c r="R8" s="11" t="s">
        <v>140</v>
      </c>
    </row>
    <row r="9" spans="1:18" s="3" customFormat="1" ht="105" x14ac:dyDescent="0.25">
      <c r="A9" s="2" t="s">
        <v>17</v>
      </c>
      <c r="B9" s="1" t="s">
        <v>827</v>
      </c>
      <c r="C9" s="1" t="s">
        <v>922</v>
      </c>
      <c r="D9" s="1" t="s">
        <v>576</v>
      </c>
      <c r="E9" s="1" t="s">
        <v>787</v>
      </c>
      <c r="F9" s="1" t="s">
        <v>897</v>
      </c>
      <c r="G9" s="1" t="s">
        <v>850</v>
      </c>
      <c r="H9" s="1" t="s">
        <v>867</v>
      </c>
      <c r="I9" s="1">
        <v>10</v>
      </c>
      <c r="J9" s="13" t="s">
        <v>903</v>
      </c>
      <c r="K9" s="30" t="s">
        <v>148</v>
      </c>
      <c r="L9" s="1"/>
      <c r="M9" s="9"/>
      <c r="N9" s="9"/>
      <c r="O9" s="9"/>
      <c r="P9" s="8" t="s">
        <v>101</v>
      </c>
      <c r="Q9" s="8" t="s">
        <v>34</v>
      </c>
      <c r="R9" s="11"/>
    </row>
    <row r="10" spans="1:18" s="3" customFormat="1" ht="30" x14ac:dyDescent="0.25">
      <c r="A10" s="2" t="s">
        <v>16</v>
      </c>
      <c r="B10" s="1" t="s">
        <v>827</v>
      </c>
      <c r="C10" s="1" t="s">
        <v>922</v>
      </c>
      <c r="D10" s="1" t="s">
        <v>576</v>
      </c>
      <c r="E10" s="1" t="s">
        <v>787</v>
      </c>
      <c r="F10" s="1"/>
      <c r="G10" s="1"/>
      <c r="H10" s="1"/>
      <c r="I10" s="31"/>
      <c r="J10" s="13"/>
      <c r="K10" s="30" t="s">
        <v>841</v>
      </c>
      <c r="L10" s="1"/>
      <c r="M10" s="9"/>
      <c r="N10" s="9"/>
      <c r="O10" s="9"/>
      <c r="P10" s="8" t="s">
        <v>101</v>
      </c>
      <c r="Q10" s="8" t="s">
        <v>38</v>
      </c>
      <c r="R10" s="11">
        <v>4.5</v>
      </c>
    </row>
    <row r="11" spans="1:18" s="3" customFormat="1" ht="60" x14ac:dyDescent="0.25">
      <c r="A11" s="2" t="s">
        <v>4</v>
      </c>
      <c r="B11" s="1" t="s">
        <v>827</v>
      </c>
      <c r="C11" s="1" t="s">
        <v>922</v>
      </c>
      <c r="D11" s="1" t="s">
        <v>576</v>
      </c>
      <c r="E11" s="1" t="s">
        <v>787</v>
      </c>
      <c r="F11" s="1" t="s">
        <v>898</v>
      </c>
      <c r="G11" s="1" t="s">
        <v>902</v>
      </c>
      <c r="H11" s="1" t="s">
        <v>891</v>
      </c>
      <c r="I11" s="1">
        <v>2</v>
      </c>
      <c r="J11" s="13" t="s">
        <v>890</v>
      </c>
      <c r="K11" s="30" t="s">
        <v>148</v>
      </c>
      <c r="L11" s="1"/>
      <c r="M11" s="9"/>
      <c r="N11" s="9"/>
      <c r="O11" s="9"/>
      <c r="P11" s="7" t="s">
        <v>62</v>
      </c>
      <c r="Q11" s="7" t="s">
        <v>39</v>
      </c>
      <c r="R11" s="11"/>
    </row>
    <row r="12" spans="1:18" s="3" customFormat="1" ht="75" x14ac:dyDescent="0.25">
      <c r="A12" s="2" t="s">
        <v>7</v>
      </c>
      <c r="B12" s="1" t="s">
        <v>827</v>
      </c>
      <c r="C12" s="1" t="s">
        <v>922</v>
      </c>
      <c r="D12" s="1" t="s">
        <v>576</v>
      </c>
      <c r="E12" s="1" t="s">
        <v>787</v>
      </c>
      <c r="F12" s="1" t="s">
        <v>917</v>
      </c>
      <c r="G12" s="1" t="s">
        <v>847</v>
      </c>
      <c r="H12" s="1" t="s">
        <v>869</v>
      </c>
      <c r="I12" s="1">
        <v>3</v>
      </c>
      <c r="J12" s="13" t="s">
        <v>904</v>
      </c>
      <c r="K12" s="30" t="s">
        <v>148</v>
      </c>
      <c r="L12" s="1"/>
      <c r="M12" s="9"/>
      <c r="N12" s="9"/>
      <c r="O12" s="9"/>
      <c r="P12" s="8" t="s">
        <v>101</v>
      </c>
      <c r="Q12" s="12" t="s">
        <v>40</v>
      </c>
      <c r="R12" s="11"/>
    </row>
    <row r="13" spans="1:18" s="3" customFormat="1" ht="180" x14ac:dyDescent="0.25">
      <c r="A13" s="2" t="s">
        <v>19</v>
      </c>
      <c r="B13" s="1" t="s">
        <v>827</v>
      </c>
      <c r="C13" s="1" t="s">
        <v>922</v>
      </c>
      <c r="D13" s="1" t="s">
        <v>576</v>
      </c>
      <c r="E13" s="1" t="s">
        <v>787</v>
      </c>
      <c r="F13" s="1" t="s">
        <v>908</v>
      </c>
      <c r="G13" s="1" t="s">
        <v>909</v>
      </c>
      <c r="H13" s="1" t="s">
        <v>883</v>
      </c>
      <c r="I13" s="1">
        <v>3</v>
      </c>
      <c r="J13" s="1" t="s">
        <v>910</v>
      </c>
      <c r="K13" s="30" t="s">
        <v>148</v>
      </c>
      <c r="L13" s="1"/>
      <c r="M13" s="9"/>
      <c r="N13" s="9"/>
      <c r="O13" s="9"/>
      <c r="P13" s="8" t="s">
        <v>101</v>
      </c>
      <c r="Q13" s="8" t="s">
        <v>50</v>
      </c>
      <c r="R13" s="11" t="s">
        <v>135</v>
      </c>
    </row>
    <row r="14" spans="1:18" s="3" customFormat="1" ht="135" x14ac:dyDescent="0.25">
      <c r="A14" s="2" t="s">
        <v>9</v>
      </c>
      <c r="B14" s="1" t="s">
        <v>827</v>
      </c>
      <c r="C14" s="1" t="s">
        <v>843</v>
      </c>
      <c r="D14" s="1" t="s">
        <v>576</v>
      </c>
      <c r="E14" s="1" t="s">
        <v>787</v>
      </c>
      <c r="F14" s="1" t="s">
        <v>897</v>
      </c>
      <c r="G14" s="1" t="s">
        <v>911</v>
      </c>
      <c r="H14" s="1" t="s">
        <v>870</v>
      </c>
      <c r="I14" s="14"/>
      <c r="J14" s="1" t="s">
        <v>871</v>
      </c>
      <c r="K14" s="30" t="s">
        <v>148</v>
      </c>
      <c r="L14" s="1"/>
      <c r="M14" s="9"/>
      <c r="N14" s="9"/>
      <c r="O14" s="9"/>
      <c r="P14" s="8" t="s">
        <v>101</v>
      </c>
      <c r="Q14" s="8" t="s">
        <v>42</v>
      </c>
      <c r="R14" s="11"/>
    </row>
    <row r="15" spans="1:18" s="3" customFormat="1" ht="135" x14ac:dyDescent="0.25">
      <c r="A15" s="2" t="s">
        <v>10</v>
      </c>
      <c r="B15" s="1" t="s">
        <v>827</v>
      </c>
      <c r="C15" s="1" t="s">
        <v>843</v>
      </c>
      <c r="D15" s="1" t="s">
        <v>576</v>
      </c>
      <c r="E15" s="1" t="s">
        <v>787</v>
      </c>
      <c r="F15" s="1" t="s">
        <v>897</v>
      </c>
      <c r="G15" s="53" t="s">
        <v>874</v>
      </c>
      <c r="H15" s="1" t="s">
        <v>875</v>
      </c>
      <c r="I15" s="14"/>
      <c r="J15" s="1" t="s">
        <v>880</v>
      </c>
      <c r="K15" s="30" t="s">
        <v>148</v>
      </c>
      <c r="L15" s="1"/>
      <c r="M15" s="9"/>
      <c r="N15" s="9"/>
      <c r="O15" s="9"/>
      <c r="P15" s="8" t="s">
        <v>101</v>
      </c>
      <c r="Q15" s="8" t="s">
        <v>41</v>
      </c>
      <c r="R15" s="11"/>
    </row>
    <row r="16" spans="1:18" s="3" customFormat="1" ht="60" x14ac:dyDescent="0.25">
      <c r="A16" s="2" t="s">
        <v>11</v>
      </c>
      <c r="B16" s="1" t="s">
        <v>827</v>
      </c>
      <c r="C16" s="1" t="s">
        <v>843</v>
      </c>
      <c r="D16" s="1" t="s">
        <v>576</v>
      </c>
      <c r="E16" s="1" t="s">
        <v>787</v>
      </c>
      <c r="F16" s="1" t="s">
        <v>897</v>
      </c>
      <c r="G16" s="1" t="s">
        <v>865</v>
      </c>
      <c r="H16" s="1" t="s">
        <v>873</v>
      </c>
      <c r="I16" s="14"/>
      <c r="J16" s="1" t="s">
        <v>872</v>
      </c>
      <c r="K16" s="30" t="s">
        <v>148</v>
      </c>
      <c r="L16" s="1"/>
      <c r="M16" s="9"/>
      <c r="N16" s="9"/>
      <c r="O16" s="9"/>
      <c r="P16" s="8" t="s">
        <v>101</v>
      </c>
      <c r="Q16" s="8" t="s">
        <v>44</v>
      </c>
      <c r="R16" s="11"/>
    </row>
    <row r="17" spans="1:18" s="3" customFormat="1" ht="90" x14ac:dyDescent="0.25">
      <c r="A17" s="2" t="s">
        <v>12</v>
      </c>
      <c r="B17" s="1" t="s">
        <v>827</v>
      </c>
      <c r="C17" s="1" t="s">
        <v>843</v>
      </c>
      <c r="D17" s="1" t="s">
        <v>576</v>
      </c>
      <c r="E17" s="1" t="s">
        <v>787</v>
      </c>
      <c r="F17" s="1" t="s">
        <v>912</v>
      </c>
      <c r="G17" s="1" t="s">
        <v>846</v>
      </c>
      <c r="H17" s="1" t="s">
        <v>863</v>
      </c>
      <c r="I17" s="14"/>
      <c r="J17" s="1" t="s">
        <v>913</v>
      </c>
      <c r="K17" s="30" t="s">
        <v>148</v>
      </c>
      <c r="L17" s="1"/>
      <c r="M17" s="9"/>
      <c r="N17" s="9"/>
      <c r="O17" s="9"/>
      <c r="P17" s="8" t="s">
        <v>101</v>
      </c>
      <c r="Q17" s="8" t="s">
        <v>45</v>
      </c>
      <c r="R17" s="11" t="s">
        <v>138</v>
      </c>
    </row>
    <row r="18" spans="1:18" s="3" customFormat="1" ht="105" x14ac:dyDescent="0.25">
      <c r="A18" s="2" t="s">
        <v>13</v>
      </c>
      <c r="B18" s="1" t="s">
        <v>827</v>
      </c>
      <c r="C18" s="1" t="s">
        <v>469</v>
      </c>
      <c r="D18" s="1" t="s">
        <v>576</v>
      </c>
      <c r="E18" s="1" t="s">
        <v>787</v>
      </c>
      <c r="F18" s="1" t="s">
        <v>897</v>
      </c>
      <c r="G18" s="1" t="s">
        <v>892</v>
      </c>
      <c r="H18" s="1" t="s">
        <v>877</v>
      </c>
      <c r="I18" s="14"/>
      <c r="J18" s="1" t="s">
        <v>914</v>
      </c>
      <c r="K18" s="30" t="s">
        <v>148</v>
      </c>
      <c r="L18" s="1"/>
      <c r="M18" s="9"/>
      <c r="N18" s="9"/>
      <c r="O18" s="9"/>
      <c r="P18" s="8" t="s">
        <v>101</v>
      </c>
      <c r="Q18" s="8" t="s">
        <v>51</v>
      </c>
      <c r="R18" s="11"/>
    </row>
    <row r="19" spans="1:18" s="3" customFormat="1" ht="45" x14ac:dyDescent="0.25">
      <c r="A19" s="2" t="s">
        <v>21</v>
      </c>
      <c r="B19" s="1" t="s">
        <v>827</v>
      </c>
      <c r="C19" s="1" t="s">
        <v>843</v>
      </c>
      <c r="D19" s="1" t="s">
        <v>576</v>
      </c>
      <c r="E19" s="1" t="s">
        <v>787</v>
      </c>
      <c r="F19" s="1" t="s">
        <v>930</v>
      </c>
      <c r="G19" s="1" t="s">
        <v>855</v>
      </c>
      <c r="H19" s="1" t="s">
        <v>878</v>
      </c>
      <c r="I19" s="14"/>
      <c r="J19" s="1" t="s">
        <v>931</v>
      </c>
      <c r="K19" s="30" t="s">
        <v>148</v>
      </c>
      <c r="L19" s="1"/>
      <c r="M19" s="9"/>
      <c r="N19" s="9"/>
      <c r="O19" s="9"/>
      <c r="P19" s="7" t="s">
        <v>62</v>
      </c>
      <c r="Q19" s="7" t="s">
        <v>52</v>
      </c>
      <c r="R19" s="11"/>
    </row>
    <row r="20" spans="1:18" s="3" customFormat="1" ht="30" x14ac:dyDescent="0.25">
      <c r="A20" s="2" t="s">
        <v>6</v>
      </c>
      <c r="B20" s="1" t="s">
        <v>827</v>
      </c>
      <c r="C20" s="1"/>
      <c r="D20" s="1" t="s">
        <v>576</v>
      </c>
      <c r="E20" s="1"/>
      <c r="F20" s="1"/>
      <c r="G20" s="1"/>
      <c r="H20" s="1"/>
      <c r="I20" s="14"/>
      <c r="J20" s="1"/>
      <c r="K20" s="30" t="s">
        <v>841</v>
      </c>
      <c r="L20" s="1"/>
      <c r="M20" s="9"/>
      <c r="N20" s="9"/>
      <c r="O20" s="9"/>
      <c r="P20" s="8" t="s">
        <v>101</v>
      </c>
      <c r="Q20" s="8" t="s">
        <v>46</v>
      </c>
      <c r="R20" s="11"/>
    </row>
    <row r="21" spans="1:18" s="3" customFormat="1" ht="75" x14ac:dyDescent="0.25">
      <c r="A21" s="2" t="s">
        <v>3</v>
      </c>
      <c r="B21" s="1" t="s">
        <v>827</v>
      </c>
      <c r="C21" s="1" t="s">
        <v>843</v>
      </c>
      <c r="D21" s="1" t="s">
        <v>576</v>
      </c>
      <c r="E21" s="1" t="s">
        <v>787</v>
      </c>
      <c r="F21" s="1" t="s">
        <v>924</v>
      </c>
      <c r="G21" s="1" t="s">
        <v>849</v>
      </c>
      <c r="H21" s="1" t="s">
        <v>893</v>
      </c>
      <c r="I21" s="14"/>
      <c r="J21" s="1" t="s">
        <v>856</v>
      </c>
      <c r="K21" s="30" t="s">
        <v>148</v>
      </c>
      <c r="L21" s="1"/>
      <c r="M21" s="9"/>
      <c r="N21" s="9"/>
      <c r="O21" s="9"/>
      <c r="P21" s="8" t="s">
        <v>101</v>
      </c>
      <c r="Q21" s="8" t="s">
        <v>53</v>
      </c>
      <c r="R21" s="11" t="s">
        <v>133</v>
      </c>
    </row>
    <row r="22" spans="1:18" s="3" customFormat="1" ht="120" x14ac:dyDescent="0.25">
      <c r="A22" s="2" t="s">
        <v>18</v>
      </c>
      <c r="B22" s="1" t="s">
        <v>827</v>
      </c>
      <c r="C22" s="1" t="s">
        <v>843</v>
      </c>
      <c r="D22" s="1" t="s">
        <v>576</v>
      </c>
      <c r="E22" s="1" t="s">
        <v>787</v>
      </c>
      <c r="F22" s="1" t="s">
        <v>906</v>
      </c>
      <c r="G22" s="1" t="s">
        <v>848</v>
      </c>
      <c r="H22" s="1" t="s">
        <v>915</v>
      </c>
      <c r="I22" s="14"/>
      <c r="J22" s="1" t="s">
        <v>881</v>
      </c>
      <c r="K22" s="30" t="s">
        <v>148</v>
      </c>
      <c r="L22" s="1"/>
      <c r="M22" s="9"/>
      <c r="N22" s="9"/>
      <c r="O22" s="9"/>
      <c r="P22" s="8" t="s">
        <v>62</v>
      </c>
      <c r="Q22" s="8" t="s">
        <v>47</v>
      </c>
      <c r="R22" s="11" t="s">
        <v>139</v>
      </c>
    </row>
    <row r="23" spans="1:18" s="3" customFormat="1" ht="195" x14ac:dyDescent="0.25">
      <c r="A23" s="2" t="s">
        <v>8</v>
      </c>
      <c r="B23" s="1" t="s">
        <v>827</v>
      </c>
      <c r="C23" s="1" t="s">
        <v>843</v>
      </c>
      <c r="D23" s="1" t="s">
        <v>576</v>
      </c>
      <c r="E23" s="1" t="s">
        <v>787</v>
      </c>
      <c r="F23" s="1" t="s">
        <v>897</v>
      </c>
      <c r="G23" s="1" t="s">
        <v>854</v>
      </c>
      <c r="H23" s="1" t="s">
        <v>882</v>
      </c>
      <c r="I23" s="14"/>
      <c r="J23" s="1" t="s">
        <v>916</v>
      </c>
      <c r="K23" s="30" t="s">
        <v>148</v>
      </c>
      <c r="L23" s="1"/>
      <c r="M23" s="9"/>
      <c r="N23" s="9"/>
      <c r="O23" s="9"/>
      <c r="P23" s="8" t="s">
        <v>62</v>
      </c>
      <c r="Q23" s="8" t="s">
        <v>31</v>
      </c>
      <c r="R23" s="11"/>
    </row>
    <row r="24" spans="1:18" s="3" customFormat="1" ht="45" x14ac:dyDescent="0.25">
      <c r="A24" s="2" t="s">
        <v>14</v>
      </c>
      <c r="B24" s="1" t="s">
        <v>827</v>
      </c>
      <c r="C24" s="1" t="s">
        <v>469</v>
      </c>
      <c r="D24" s="1" t="s">
        <v>576</v>
      </c>
      <c r="E24" s="1" t="s">
        <v>787</v>
      </c>
      <c r="F24" s="1" t="s">
        <v>907</v>
      </c>
      <c r="G24" s="1" t="s">
        <v>845</v>
      </c>
      <c r="H24" s="1" t="s">
        <v>932</v>
      </c>
      <c r="I24" s="14"/>
      <c r="J24" s="1" t="s">
        <v>859</v>
      </c>
      <c r="K24" s="30" t="s">
        <v>148</v>
      </c>
      <c r="L24" s="1"/>
      <c r="M24" s="9"/>
      <c r="N24" s="9"/>
      <c r="O24" s="9"/>
      <c r="P24" s="8" t="s">
        <v>62</v>
      </c>
      <c r="Q24" s="8" t="s">
        <v>48</v>
      </c>
      <c r="R24" s="11"/>
    </row>
    <row r="25" spans="1:18" s="3" customFormat="1" ht="30" x14ac:dyDescent="0.25">
      <c r="A25" s="2" t="s">
        <v>0</v>
      </c>
      <c r="B25" s="1" t="s">
        <v>827</v>
      </c>
      <c r="C25" s="1"/>
      <c r="D25" s="1"/>
      <c r="E25" s="1"/>
      <c r="F25" s="1"/>
      <c r="G25" s="1" t="s">
        <v>895</v>
      </c>
      <c r="H25" s="1"/>
      <c r="I25" s="14"/>
      <c r="J25" s="1" t="s">
        <v>894</v>
      </c>
      <c r="K25" s="30" t="s">
        <v>840</v>
      </c>
      <c r="L25" s="1"/>
      <c r="M25" s="9"/>
      <c r="N25" s="9"/>
      <c r="O25" s="9"/>
      <c r="P25" s="8" t="s">
        <v>62</v>
      </c>
      <c r="Q25" s="8" t="s">
        <v>49</v>
      </c>
      <c r="R25" s="11"/>
    </row>
    <row r="26" spans="1:18" s="3" customFormat="1" ht="75" x14ac:dyDescent="0.25">
      <c r="A26" s="2" t="s">
        <v>54</v>
      </c>
      <c r="B26" s="1" t="s">
        <v>827</v>
      </c>
      <c r="C26" s="1" t="s">
        <v>843</v>
      </c>
      <c r="D26" s="1" t="s">
        <v>576</v>
      </c>
      <c r="E26" s="1" t="s">
        <v>787</v>
      </c>
      <c r="F26" s="1" t="s">
        <v>924</v>
      </c>
      <c r="G26" s="1" t="s">
        <v>860</v>
      </c>
      <c r="H26" s="1" t="s">
        <v>861</v>
      </c>
      <c r="I26" s="14"/>
      <c r="J26" s="1" t="s">
        <v>862</v>
      </c>
      <c r="K26" s="30" t="s">
        <v>148</v>
      </c>
      <c r="L26" s="1"/>
      <c r="M26" s="9"/>
      <c r="N26" s="9"/>
      <c r="O26" s="9"/>
      <c r="P26" s="8" t="s">
        <v>101</v>
      </c>
      <c r="Q26" s="8" t="s">
        <v>55</v>
      </c>
      <c r="R26" s="11"/>
    </row>
    <row r="27" spans="1:18" s="3" customFormat="1" ht="60" x14ac:dyDescent="0.25">
      <c r="A27" s="2" t="s">
        <v>15</v>
      </c>
      <c r="B27" s="1" t="s">
        <v>827</v>
      </c>
      <c r="C27" s="1" t="s">
        <v>843</v>
      </c>
      <c r="D27" s="1" t="s">
        <v>576</v>
      </c>
      <c r="E27" s="1" t="s">
        <v>787</v>
      </c>
      <c r="F27" s="1" t="s">
        <v>933</v>
      </c>
      <c r="G27" s="1" t="s">
        <v>844</v>
      </c>
      <c r="H27" s="1" t="s">
        <v>858</v>
      </c>
      <c r="I27" s="14"/>
      <c r="J27" s="1" t="s">
        <v>884</v>
      </c>
      <c r="K27" s="30" t="s">
        <v>148</v>
      </c>
      <c r="L27" s="1"/>
      <c r="M27" s="9"/>
      <c r="N27" s="9"/>
      <c r="O27" s="9"/>
      <c r="P27" s="8" t="s">
        <v>101</v>
      </c>
      <c r="Q27" s="8" t="s">
        <v>56</v>
      </c>
      <c r="R27" s="11"/>
    </row>
    <row r="28" spans="1:18" s="3" customFormat="1" ht="105" x14ac:dyDescent="0.25">
      <c r="A28" s="2" t="s">
        <v>20</v>
      </c>
      <c r="B28" s="1" t="s">
        <v>827</v>
      </c>
      <c r="C28" s="1" t="s">
        <v>469</v>
      </c>
      <c r="D28" s="1" t="s">
        <v>576</v>
      </c>
      <c r="E28" s="1" t="s">
        <v>787</v>
      </c>
      <c r="F28" s="1" t="s">
        <v>857</v>
      </c>
      <c r="G28" s="1" t="s">
        <v>889</v>
      </c>
      <c r="H28" s="1" t="s">
        <v>936</v>
      </c>
      <c r="I28" s="1">
        <v>1</v>
      </c>
      <c r="J28" s="13" t="s">
        <v>887</v>
      </c>
      <c r="K28" s="30" t="s">
        <v>148</v>
      </c>
      <c r="L28" s="1"/>
      <c r="M28" s="9"/>
      <c r="N28" s="9"/>
      <c r="O28" s="9"/>
      <c r="P28" s="8" t="s">
        <v>101</v>
      </c>
      <c r="Q28" s="8" t="s">
        <v>57</v>
      </c>
      <c r="R28" s="11" t="s">
        <v>134</v>
      </c>
    </row>
    <row r="29" spans="1:18" s="3" customFormat="1" ht="105" x14ac:dyDescent="0.25">
      <c r="A29" s="2" t="s">
        <v>20</v>
      </c>
      <c r="B29" s="1" t="s">
        <v>827</v>
      </c>
      <c r="C29" s="1" t="s">
        <v>469</v>
      </c>
      <c r="D29" s="1" t="s">
        <v>576</v>
      </c>
      <c r="E29" s="1" t="s">
        <v>787</v>
      </c>
      <c r="F29" s="1" t="s">
        <v>857</v>
      </c>
      <c r="G29" s="1" t="s">
        <v>885</v>
      </c>
      <c r="H29" s="1" t="s">
        <v>937</v>
      </c>
      <c r="I29" s="1">
        <v>1</v>
      </c>
      <c r="J29" s="13" t="s">
        <v>886</v>
      </c>
      <c r="K29" s="30" t="s">
        <v>148</v>
      </c>
      <c r="L29" s="1"/>
      <c r="M29" s="9"/>
      <c r="N29" s="9"/>
      <c r="O29" s="9"/>
      <c r="P29" s="8" t="s">
        <v>101</v>
      </c>
      <c r="Q29" s="8" t="s">
        <v>57</v>
      </c>
      <c r="R29" s="11" t="s">
        <v>134</v>
      </c>
    </row>
    <row r="30" spans="1:18" s="3" customFormat="1" ht="105" x14ac:dyDescent="0.25">
      <c r="A30" s="2" t="s">
        <v>20</v>
      </c>
      <c r="B30" s="1" t="s">
        <v>827</v>
      </c>
      <c r="C30" s="1" t="s">
        <v>469</v>
      </c>
      <c r="D30" s="1" t="s">
        <v>576</v>
      </c>
      <c r="E30" s="1" t="s">
        <v>787</v>
      </c>
      <c r="F30" s="1" t="s">
        <v>934</v>
      </c>
      <c r="G30" s="53" t="s">
        <v>864</v>
      </c>
      <c r="H30" s="1" t="s">
        <v>935</v>
      </c>
      <c r="I30" s="1">
        <v>1</v>
      </c>
      <c r="J30" s="13"/>
      <c r="K30" s="30" t="s">
        <v>148</v>
      </c>
      <c r="L30" s="1"/>
      <c r="M30" s="9"/>
      <c r="N30" s="9"/>
      <c r="O30" s="9"/>
      <c r="P30" s="8" t="s">
        <v>101</v>
      </c>
      <c r="Q30" s="8" t="s">
        <v>57</v>
      </c>
      <c r="R30" s="11" t="s">
        <v>134</v>
      </c>
    </row>
    <row r="31" spans="1:18" s="3" customFormat="1" ht="105" x14ac:dyDescent="0.25">
      <c r="A31" s="2" t="s">
        <v>20</v>
      </c>
      <c r="B31" s="1"/>
      <c r="C31" s="1"/>
      <c r="D31" s="1"/>
      <c r="E31" s="1"/>
      <c r="F31" s="54"/>
      <c r="G31" s="1"/>
      <c r="H31" s="1"/>
      <c r="I31" s="1"/>
      <c r="J31" s="13"/>
      <c r="K31" s="30"/>
      <c r="L31" s="1"/>
      <c r="M31" s="9"/>
      <c r="N31" s="9"/>
      <c r="O31" s="9"/>
      <c r="P31" s="8" t="s">
        <v>101</v>
      </c>
      <c r="Q31" s="8" t="s">
        <v>57</v>
      </c>
      <c r="R31" s="11" t="s">
        <v>134</v>
      </c>
    </row>
    <row r="32" spans="1:18" s="3" customFormat="1" ht="105" x14ac:dyDescent="0.25">
      <c r="A32" s="2" t="s">
        <v>20</v>
      </c>
      <c r="B32" s="1"/>
      <c r="C32" s="1"/>
      <c r="D32" s="1"/>
      <c r="E32" s="1"/>
      <c r="F32" s="1"/>
      <c r="G32" s="1"/>
      <c r="H32" s="1"/>
      <c r="I32" s="1"/>
      <c r="J32" s="13"/>
      <c r="K32" s="30"/>
      <c r="L32" s="1"/>
      <c r="M32" s="9"/>
      <c r="N32" s="9"/>
      <c r="O32" s="9"/>
      <c r="P32" s="8" t="s">
        <v>101</v>
      </c>
      <c r="Q32" s="8" t="s">
        <v>57</v>
      </c>
      <c r="R32" s="11" t="s">
        <v>134</v>
      </c>
    </row>
    <row r="33" spans="1:18" s="3" customFormat="1" ht="105" x14ac:dyDescent="0.25">
      <c r="A33" s="2" t="s">
        <v>20</v>
      </c>
      <c r="B33" s="1"/>
      <c r="C33" s="1"/>
      <c r="D33" s="1"/>
      <c r="E33" s="1"/>
      <c r="F33" s="1"/>
      <c r="G33" s="1"/>
      <c r="H33" s="1"/>
      <c r="I33" s="1"/>
      <c r="J33" s="13"/>
      <c r="K33" s="30"/>
      <c r="L33" s="1"/>
      <c r="M33" s="9"/>
      <c r="N33" s="9"/>
      <c r="O33" s="9"/>
      <c r="P33" s="8" t="s">
        <v>101</v>
      </c>
      <c r="Q33" s="8" t="s">
        <v>57</v>
      </c>
      <c r="R33" s="11" t="s">
        <v>134</v>
      </c>
    </row>
    <row r="34" spans="1:18" s="3" customFormat="1" ht="105" x14ac:dyDescent="0.25">
      <c r="A34" s="2" t="s">
        <v>20</v>
      </c>
      <c r="B34" s="1"/>
      <c r="C34" s="1"/>
      <c r="D34" s="1"/>
      <c r="E34" s="1"/>
      <c r="F34" s="1"/>
      <c r="G34" s="1"/>
      <c r="H34" s="1"/>
      <c r="I34" s="1"/>
      <c r="J34" s="13"/>
      <c r="K34" s="30"/>
      <c r="L34" s="1"/>
      <c r="M34" s="9"/>
      <c r="N34" s="9"/>
      <c r="O34" s="9"/>
      <c r="P34" s="8" t="s">
        <v>101</v>
      </c>
      <c r="Q34" s="8" t="s">
        <v>57</v>
      </c>
      <c r="R34" s="11" t="s">
        <v>134</v>
      </c>
    </row>
    <row r="35" spans="1:18" s="3" customFormat="1" ht="15.75" x14ac:dyDescent="0.25">
      <c r="A35" s="2"/>
      <c r="B35" s="1"/>
      <c r="C35" s="1"/>
      <c r="D35" s="1"/>
      <c r="E35" s="1"/>
      <c r="F35" s="1"/>
      <c r="G35" s="1"/>
      <c r="H35" s="1"/>
      <c r="I35" s="1"/>
      <c r="J35" s="1"/>
      <c r="K35" s="30"/>
      <c r="L35" s="1"/>
      <c r="M35" s="9"/>
      <c r="N35" s="9"/>
      <c r="O35" s="9"/>
      <c r="R35" s="11"/>
    </row>
    <row r="36" spans="1:18" s="3" customFormat="1" ht="15.75" x14ac:dyDescent="0.25">
      <c r="A36" s="2"/>
      <c r="B36" s="1"/>
      <c r="C36" s="1"/>
      <c r="D36" s="1"/>
      <c r="E36" s="1"/>
      <c r="F36" s="1"/>
      <c r="G36" s="1"/>
      <c r="H36" s="1"/>
      <c r="I36" s="1"/>
      <c r="J36" s="1"/>
      <c r="K36" s="30"/>
      <c r="L36" s="1"/>
      <c r="M36" s="9"/>
      <c r="N36" s="9"/>
      <c r="O36" s="9"/>
      <c r="R36" s="11"/>
    </row>
    <row r="37" spans="1:18" s="3" customFormat="1" ht="15.75" x14ac:dyDescent="0.25">
      <c r="A37" s="2"/>
      <c r="B37" s="1"/>
      <c r="C37" s="1"/>
      <c r="D37" s="1"/>
      <c r="E37" s="1"/>
      <c r="F37" s="1"/>
      <c r="G37" s="1"/>
      <c r="H37" s="1"/>
      <c r="I37" s="1"/>
      <c r="J37" s="1"/>
      <c r="K37" s="30"/>
      <c r="L37" s="1"/>
      <c r="M37" s="9"/>
      <c r="N37" s="9"/>
      <c r="O37" s="9"/>
      <c r="R37" s="11"/>
    </row>
    <row r="38" spans="1:18" s="3" customFormat="1" ht="15.75" x14ac:dyDescent="0.25">
      <c r="A38" s="2"/>
      <c r="B38" s="1"/>
      <c r="C38" s="1"/>
      <c r="D38" s="1"/>
      <c r="E38" s="1"/>
      <c r="F38" s="1"/>
      <c r="G38" s="1"/>
      <c r="H38" s="1"/>
      <c r="I38" s="1"/>
      <c r="J38" s="1"/>
      <c r="K38" s="30"/>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conditionalFormatting sqref="F3">
    <cfRule type="expression" dxfId="86" priority="177">
      <formula>COUNTBLANK($F3)</formula>
    </cfRule>
  </conditionalFormatting>
  <conditionalFormatting sqref="G3">
    <cfRule type="expression" dxfId="85" priority="171">
      <formula>COUNTBLANK($G3)</formula>
    </cfRule>
  </conditionalFormatting>
  <conditionalFormatting sqref="H3">
    <cfRule type="expression" dxfId="84" priority="169">
      <formula>COUNTBLANK($H3)</formula>
    </cfRule>
  </conditionalFormatting>
  <conditionalFormatting sqref="F4">
    <cfRule type="expression" dxfId="83" priority="165">
      <formula>COUNTBLANK($F4)</formula>
    </cfRule>
  </conditionalFormatting>
  <conditionalFormatting sqref="G4">
    <cfRule type="expression" dxfId="82" priority="164">
      <formula>COUNTBLANK($G4)</formula>
    </cfRule>
  </conditionalFormatting>
  <conditionalFormatting sqref="H4">
    <cfRule type="expression" dxfId="81" priority="163">
      <formula>COUNTBLANK($H4)</formula>
    </cfRule>
  </conditionalFormatting>
  <conditionalFormatting sqref="F5 F7:F27">
    <cfRule type="expression" dxfId="80" priority="162">
      <formula>COUNTBLANK($F5)</formula>
    </cfRule>
  </conditionalFormatting>
  <conditionalFormatting sqref="G5:G27">
    <cfRule type="expression" dxfId="79" priority="161">
      <formula>COUNTBLANK($G5)</formula>
    </cfRule>
  </conditionalFormatting>
  <conditionalFormatting sqref="H5:H27">
    <cfRule type="expression" dxfId="78" priority="160">
      <formula>COUNTBLANK($H5)</formula>
    </cfRule>
  </conditionalFormatting>
  <conditionalFormatting sqref="I6">
    <cfRule type="expression" dxfId="77" priority="159">
      <formula>COUNTBLANK($I6)</formula>
    </cfRule>
  </conditionalFormatting>
  <conditionalFormatting sqref="I7:I9">
    <cfRule type="expression" dxfId="76" priority="158">
      <formula>COUNTBLANK($I7)</formula>
    </cfRule>
  </conditionalFormatting>
  <conditionalFormatting sqref="I11:I13">
    <cfRule type="expression" dxfId="75" priority="157">
      <formula>COUNTBLANK($I11)</formula>
    </cfRule>
  </conditionalFormatting>
  <conditionalFormatting sqref="F29:F34">
    <cfRule type="expression" dxfId="74" priority="88">
      <formula>COUNTBLANK($F29)</formula>
    </cfRule>
  </conditionalFormatting>
  <conditionalFormatting sqref="G29:G34">
    <cfRule type="expression" dxfId="73" priority="87">
      <formula>COUNTBLANK($G29)</formula>
    </cfRule>
  </conditionalFormatting>
  <conditionalFormatting sqref="H29:H34">
    <cfRule type="expression" dxfId="72" priority="86">
      <formula>COUNTBLANK($H29)</formula>
    </cfRule>
  </conditionalFormatting>
  <conditionalFormatting sqref="I29:I34">
    <cfRule type="expression" dxfId="71" priority="85">
      <formula>COUNTBLANK($I29)</formula>
    </cfRule>
  </conditionalFormatting>
  <conditionalFormatting sqref="A3">
    <cfRule type="expression" dxfId="70" priority="71">
      <formula>COUNTBLANK($F3:$H3)</formula>
    </cfRule>
  </conditionalFormatting>
  <conditionalFormatting sqref="A3">
    <cfRule type="expression" dxfId="69" priority="69">
      <formula>$K3="Not Audited"</formula>
    </cfRule>
    <cfRule type="expression" dxfId="68" priority="70">
      <formula>$K3="Not Applicable"</formula>
    </cfRule>
  </conditionalFormatting>
  <conditionalFormatting sqref="K3:K27 K29:K34">
    <cfRule type="expression" dxfId="67" priority="62">
      <formula>COUNTBLANK($K3)</formula>
    </cfRule>
  </conditionalFormatting>
  <conditionalFormatting sqref="A6:A9 A11:A13 A28:A34">
    <cfRule type="expression" dxfId="66" priority="58">
      <formula>COUNTBLANK($F6:$I6)</formula>
    </cfRule>
  </conditionalFormatting>
  <conditionalFormatting sqref="A6:A9 A11:A13 A28:A34">
    <cfRule type="expression" dxfId="65" priority="56">
      <formula>$K6="Not Audited"</formula>
    </cfRule>
    <cfRule type="expression" dxfId="64" priority="57">
      <formula>$K6="Not Applicable"</formula>
    </cfRule>
  </conditionalFormatting>
  <conditionalFormatting sqref="A10">
    <cfRule type="expression" dxfId="63" priority="55">
      <formula>COUNTBLANK($F10:$H10)</formula>
    </cfRule>
  </conditionalFormatting>
  <conditionalFormatting sqref="A10">
    <cfRule type="expression" dxfId="62" priority="53">
      <formula>$K10="Not Audited"</formula>
    </cfRule>
    <cfRule type="expression" dxfId="61" priority="54">
      <formula>$K10="Not Applicable"</formula>
    </cfRule>
  </conditionalFormatting>
  <conditionalFormatting sqref="A15">
    <cfRule type="expression" dxfId="60" priority="52">
      <formula>COUNTBLANK($F15:$H15)</formula>
    </cfRule>
  </conditionalFormatting>
  <conditionalFormatting sqref="A15">
    <cfRule type="expression" dxfId="59" priority="50">
      <formula>$K15="Not Audited"</formula>
    </cfRule>
    <cfRule type="expression" dxfId="58" priority="51">
      <formula>$K15="Not Applicable"</formula>
    </cfRule>
  </conditionalFormatting>
  <conditionalFormatting sqref="A14">
    <cfRule type="expression" dxfId="57" priority="49">
      <formula>COUNTBLANK($F14:$H14)</formula>
    </cfRule>
  </conditionalFormatting>
  <conditionalFormatting sqref="A14">
    <cfRule type="expression" dxfId="56" priority="47">
      <formula>$K14="Not Audited"</formula>
    </cfRule>
    <cfRule type="expression" dxfId="55" priority="48">
      <formula>$K14="Not Applicable"</formula>
    </cfRule>
  </conditionalFormatting>
  <conditionalFormatting sqref="A16:A17">
    <cfRule type="expression" dxfId="54" priority="46">
      <formula>COUNTBLANK($F16:$H16)</formula>
    </cfRule>
  </conditionalFormatting>
  <conditionalFormatting sqref="A16:A17">
    <cfRule type="expression" dxfId="53" priority="44">
      <formula>$K16="Not Audited"</formula>
    </cfRule>
    <cfRule type="expression" dxfId="52" priority="45">
      <formula>$K16="Not Applicable"</formula>
    </cfRule>
  </conditionalFormatting>
  <conditionalFormatting sqref="A18">
    <cfRule type="expression" dxfId="51" priority="40">
      <formula>COUNTBLANK($F18:$H18)</formula>
    </cfRule>
  </conditionalFormatting>
  <conditionalFormatting sqref="A18">
    <cfRule type="expression" dxfId="50" priority="38">
      <formula>$K18="Not Audited"</formula>
    </cfRule>
    <cfRule type="expression" dxfId="49" priority="39">
      <formula>$K18="Not Applicable"</formula>
    </cfRule>
  </conditionalFormatting>
  <conditionalFormatting sqref="A19:A21">
    <cfRule type="expression" dxfId="48" priority="34">
      <formula>COUNTBLANK($F19:$H19)</formula>
    </cfRule>
  </conditionalFormatting>
  <conditionalFormatting sqref="A19:A21">
    <cfRule type="expression" dxfId="47" priority="32">
      <formula>$K19="Not Audited"</formula>
    </cfRule>
    <cfRule type="expression" dxfId="46" priority="33">
      <formula>$K19="Not Applicable"</formula>
    </cfRule>
  </conditionalFormatting>
  <conditionalFormatting sqref="A22:A24">
    <cfRule type="expression" dxfId="45" priority="31">
      <formula>COUNTBLANK($F22:$H22)</formula>
    </cfRule>
  </conditionalFormatting>
  <conditionalFormatting sqref="A22:A24">
    <cfRule type="expression" dxfId="44" priority="29">
      <formula>$K22="Not Audited"</formula>
    </cfRule>
    <cfRule type="expression" dxfId="43" priority="30">
      <formula>$K22="Not Applicable"</formula>
    </cfRule>
  </conditionalFormatting>
  <conditionalFormatting sqref="A25:A27">
    <cfRule type="expression" dxfId="42" priority="28">
      <formula>COUNTBLANK($F25:$H25)</formula>
    </cfRule>
  </conditionalFormatting>
  <conditionalFormatting sqref="A25:A27">
    <cfRule type="expression" dxfId="41" priority="26">
      <formula>$K25="Not Audited"</formula>
    </cfRule>
    <cfRule type="expression" dxfId="40" priority="27">
      <formula>$K25="Not Applicable"</formula>
    </cfRule>
  </conditionalFormatting>
  <conditionalFormatting sqref="A4">
    <cfRule type="expression" dxfId="39" priority="25">
      <formula>COUNTBLANK($F4:$H4)</formula>
    </cfRule>
  </conditionalFormatting>
  <conditionalFormatting sqref="A4">
    <cfRule type="expression" dxfId="38" priority="23">
      <formula>$K4="Not Audited"</formula>
    </cfRule>
    <cfRule type="expression" dxfId="37" priority="24">
      <formula>$K4="Not Applicable"</formula>
    </cfRule>
  </conditionalFormatting>
  <conditionalFormatting sqref="A5">
    <cfRule type="expression" dxfId="36" priority="22">
      <formula>COUNTBLANK($F5:$H5)</formula>
    </cfRule>
  </conditionalFormatting>
  <conditionalFormatting sqref="A5">
    <cfRule type="expression" dxfId="35" priority="20">
      <formula>$K5="Not Audited"</formula>
    </cfRule>
    <cfRule type="expression" dxfId="34" priority="21">
      <formula>$K5="Not Applicable"</formula>
    </cfRule>
  </conditionalFormatting>
  <conditionalFormatting sqref="F28">
    <cfRule type="expression" dxfId="33" priority="13">
      <formula>COUNTBLANK($F28)</formula>
    </cfRule>
  </conditionalFormatting>
  <conditionalFormatting sqref="G28">
    <cfRule type="expression" dxfId="32" priority="12">
      <formula>COUNTBLANK($G28)</formula>
    </cfRule>
  </conditionalFormatting>
  <conditionalFormatting sqref="H28">
    <cfRule type="expression" dxfId="31" priority="11">
      <formula>COUNTBLANK($H28)</formula>
    </cfRule>
  </conditionalFormatting>
  <conditionalFormatting sqref="I28">
    <cfRule type="expression" dxfId="30" priority="10">
      <formula>COUNTBLANK($I28)</formula>
    </cfRule>
  </conditionalFormatting>
  <conditionalFormatting sqref="K28">
    <cfRule type="expression" dxfId="29" priority="3">
      <formula>COUNTBLANK($K28)</formula>
    </cfRule>
  </conditionalFormatting>
  <conditionalFormatting sqref="F6">
    <cfRule type="expression" dxfId="28" priority="1">
      <formula>COUNTBLANK($F6)</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93" operator="equal" id="{3C23C214-D09F-4A2E-98A0-246DB1E2A1B9}">
            <xm:f>Sheet1!$A$5</xm:f>
            <x14:dxf>
              <fill>
                <patternFill>
                  <bgColor rgb="FFFF0000"/>
                </patternFill>
              </fill>
            </x14:dxf>
          </x14:cfRule>
          <x14:cfRule type="cellIs" priority="194" operator="equal" id="{1FFF80F4-0946-4783-B506-E753A6269362}">
            <xm:f>Sheet1!$A$4</xm:f>
            <x14:dxf>
              <fill>
                <patternFill>
                  <bgColor rgb="FFFFFF00"/>
                </patternFill>
              </fill>
            </x14:dxf>
          </x14:cfRule>
          <x14:cfRule type="cellIs" priority="195" operator="equal" id="{531DB53F-FEDE-4AB4-B5EB-1B167E7B5006}">
            <xm:f>Sheet1!$A$3</xm:f>
            <x14:dxf>
              <fill>
                <patternFill>
                  <bgColor theme="9" tint="0.59996337778862885"/>
                </patternFill>
              </fill>
            </x14:dxf>
          </x14:cfRule>
          <x14:cfRule type="cellIs" priority="196"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201" operator="equal" id="{DD9D8C0B-E118-4EDA-86CB-C24BB53513E3}">
            <xm:f>Sheet1!$A$7</xm:f>
            <x14:dxf>
              <fill>
                <patternFill>
                  <bgColor theme="5"/>
                </patternFill>
              </fill>
            </x14:dxf>
          </x14:cfRule>
          <x14:cfRule type="cellIs" priority="202" operator="equal" id="{03FA0D5D-273B-4B2A-92F7-11943347B225}">
            <xm:f>Sheet1!$A$6</xm:f>
            <x14:dxf>
              <fill>
                <patternFill>
                  <bgColor rgb="FF00B0F0"/>
                </patternFill>
              </fill>
            </x14:dxf>
          </x14:cfRule>
          <x14:cfRule type="cellIs" priority="203" operator="equal" id="{B3323DCA-6455-4080-96AD-FFC5D7B6922A}">
            <xm:f>Sheet1!$A$5</xm:f>
            <x14:dxf>
              <fill>
                <patternFill>
                  <bgColor rgb="FFFF0000"/>
                </patternFill>
              </fill>
            </x14:dxf>
          </x14:cfRule>
          <x14:cfRule type="cellIs" priority="204" operator="equal" id="{24C2B7C9-4BA8-45FA-877F-4B96336261BE}">
            <xm:f>Sheet1!$A$4</xm:f>
            <x14:dxf>
              <fill>
                <patternFill>
                  <bgColor rgb="FFFFFF00"/>
                </patternFill>
              </fill>
            </x14:dxf>
          </x14:cfRule>
          <x14:cfRule type="cellIs" priority="205" operator="equal" id="{94BBB2C3-4911-4C16-A6DC-80F592447786}">
            <xm:f>Sheet1!$A$3</xm:f>
            <x14:dxf>
              <fill>
                <patternFill>
                  <bgColor theme="9" tint="0.59996337778862885"/>
                </patternFill>
              </fill>
            </x14:dxf>
          </x14:cfRule>
          <x14:cfRule type="cellIs" priority="206" operator="equal" id="{01CDB396-BAD4-4854-B364-72E95820D3D4}">
            <xm:f>Sheet1!$A$2</xm:f>
            <x14:dxf>
              <fill>
                <patternFill>
                  <bgColor theme="9" tint="0.39994506668294322"/>
                </patternFill>
              </fill>
            </x14:dxf>
          </x14:cfRule>
          <xm:sqref>K4:K27 K29:K39</xm:sqref>
        </x14:conditionalFormatting>
        <x14:conditionalFormatting xmlns:xm="http://schemas.microsoft.com/office/excel/2006/main">
          <x14:cfRule type="cellIs" priority="63" operator="equal" id="{6F7E0579-96B6-4271-94CE-452DB74F50BE}">
            <xm:f>Sheet1!$A$7</xm:f>
            <x14:dxf>
              <fill>
                <patternFill>
                  <bgColor theme="5"/>
                </patternFill>
              </fill>
            </x14:dxf>
          </x14:cfRule>
          <x14:cfRule type="cellIs" priority="64" operator="equal" id="{40A3F120-6DBC-481C-B9F8-331116964E9B}">
            <xm:f>Sheet1!$A$6</xm:f>
            <x14:dxf>
              <fill>
                <patternFill>
                  <bgColor rgb="FF00B0F0"/>
                </patternFill>
              </fill>
            </x14:dxf>
          </x14:cfRule>
          <x14:cfRule type="cellIs" priority="65" operator="equal" id="{09A92345-2D60-4171-8CB9-95F7B4A7A710}">
            <xm:f>Sheet1!$A$5</xm:f>
            <x14:dxf>
              <fill>
                <patternFill>
                  <bgColor rgb="FFFF0000"/>
                </patternFill>
              </fill>
            </x14:dxf>
          </x14:cfRule>
          <x14:cfRule type="cellIs" priority="66" operator="equal" id="{14677CC0-D33D-40C9-90B0-3A0741EA278E}">
            <xm:f>Sheet1!$A$4</xm:f>
            <x14:dxf>
              <fill>
                <patternFill>
                  <bgColor rgb="FFFFFF00"/>
                </patternFill>
              </fill>
            </x14:dxf>
          </x14:cfRule>
          <x14:cfRule type="cellIs" priority="67" operator="equal" id="{359CCB9F-78E6-455B-8564-87B1BAD49624}">
            <xm:f>Sheet1!$A$3</xm:f>
            <x14:dxf>
              <fill>
                <patternFill>
                  <bgColor theme="9" tint="0.59996337778862885"/>
                </patternFill>
              </fill>
            </x14:dxf>
          </x14:cfRule>
          <x14:cfRule type="cellIs" priority="68" operator="equal" id="{0319C9EB-2A94-4E34-BB8A-56755EEEE381}">
            <xm:f>Sheet1!$A$2</xm:f>
            <x14:dxf>
              <fill>
                <patternFill>
                  <bgColor theme="9" tint="0.39994506668294322"/>
                </patternFill>
              </fill>
            </x14:dxf>
          </x14:cfRule>
          <xm:sqref>K3:K27 K29:K34</xm:sqref>
        </x14:conditionalFormatting>
        <x14:conditionalFormatting xmlns:xm="http://schemas.microsoft.com/office/excel/2006/main">
          <x14:cfRule type="cellIs" priority="14" operator="equal" id="{11CD4A77-C9BC-4667-A4B3-4CDCB7BE8710}">
            <xm:f>Sheet1!$A$7</xm:f>
            <x14:dxf>
              <fill>
                <patternFill>
                  <bgColor theme="5"/>
                </patternFill>
              </fill>
            </x14:dxf>
          </x14:cfRule>
          <x14:cfRule type="cellIs" priority="15" operator="equal" id="{BE50DA51-C7DB-4F34-BEAF-8079FDC02FEC}">
            <xm:f>Sheet1!$A$6</xm:f>
            <x14:dxf>
              <fill>
                <patternFill>
                  <bgColor rgb="FF00B0F0"/>
                </patternFill>
              </fill>
            </x14:dxf>
          </x14:cfRule>
          <x14:cfRule type="cellIs" priority="16" operator="equal" id="{22852DDA-8A11-4D4C-84A7-CB7D6167A360}">
            <xm:f>Sheet1!$A$5</xm:f>
            <x14:dxf>
              <fill>
                <patternFill>
                  <bgColor rgb="FFFF0000"/>
                </patternFill>
              </fill>
            </x14:dxf>
          </x14:cfRule>
          <x14:cfRule type="cellIs" priority="17" operator="equal" id="{FD17448A-7A84-4689-A99A-60B8B3374A97}">
            <xm:f>Sheet1!$A$4</xm:f>
            <x14:dxf>
              <fill>
                <patternFill>
                  <bgColor rgb="FFFFFF00"/>
                </patternFill>
              </fill>
            </x14:dxf>
          </x14:cfRule>
          <x14:cfRule type="cellIs" priority="18" operator="equal" id="{ED8C810D-B76F-49FD-B0D5-35A21BCBA5F4}">
            <xm:f>Sheet1!$A$3</xm:f>
            <x14:dxf>
              <fill>
                <patternFill>
                  <bgColor theme="9" tint="0.59996337778862885"/>
                </patternFill>
              </fill>
            </x14:dxf>
          </x14:cfRule>
          <x14:cfRule type="cellIs" priority="19" operator="equal" id="{499D75A1-1E5B-4BCE-8AB6-9366FA964D68}">
            <xm:f>Sheet1!$A$2</xm:f>
            <x14:dxf>
              <fill>
                <patternFill>
                  <bgColor theme="9" tint="0.39994506668294322"/>
                </patternFill>
              </fill>
            </x14:dxf>
          </x14:cfRule>
          <xm:sqref>K28</xm:sqref>
        </x14:conditionalFormatting>
        <x14:conditionalFormatting xmlns:xm="http://schemas.microsoft.com/office/excel/2006/main">
          <x14:cfRule type="cellIs" priority="4" operator="equal" id="{EC5EF233-0C9B-45A0-AC94-659339FE1315}">
            <xm:f>Sheet1!$A$7</xm:f>
            <x14:dxf>
              <fill>
                <patternFill>
                  <bgColor theme="5"/>
                </patternFill>
              </fill>
            </x14:dxf>
          </x14:cfRule>
          <x14:cfRule type="cellIs" priority="5" operator="equal" id="{96F5782A-5F10-48AF-9E18-859351F82A94}">
            <xm:f>Sheet1!$A$6</xm:f>
            <x14:dxf>
              <fill>
                <patternFill>
                  <bgColor rgb="FF00B0F0"/>
                </patternFill>
              </fill>
            </x14:dxf>
          </x14:cfRule>
          <x14:cfRule type="cellIs" priority="6" operator="equal" id="{1FF43C80-93CE-468E-9BC1-D2F6A2305E56}">
            <xm:f>Sheet1!$A$5</xm:f>
            <x14:dxf>
              <fill>
                <patternFill>
                  <bgColor rgb="FFFF0000"/>
                </patternFill>
              </fill>
            </x14:dxf>
          </x14:cfRule>
          <x14:cfRule type="cellIs" priority="7" operator="equal" id="{6D156159-C89B-4552-8C88-B77A249976CB}">
            <xm:f>Sheet1!$A$4</xm:f>
            <x14:dxf>
              <fill>
                <patternFill>
                  <bgColor rgb="FFFFFF00"/>
                </patternFill>
              </fill>
            </x14:dxf>
          </x14:cfRule>
          <x14:cfRule type="cellIs" priority="8" operator="equal" id="{ACC3E58E-B75F-4F44-A298-9170DE85D3C0}">
            <xm:f>Sheet1!$A$3</xm:f>
            <x14:dxf>
              <fill>
                <patternFill>
                  <bgColor theme="9" tint="0.59996337778862885"/>
                </patternFill>
              </fill>
            </x14:dxf>
          </x14:cfRule>
          <x14:cfRule type="cellIs" priority="9" operator="equal" id="{9C1A16AF-C75D-419C-87ED-7B51F380CBB2}">
            <xm:f>Sheet1!$A$2</xm:f>
            <x14:dxf>
              <fill>
                <patternFill>
                  <bgColor theme="9" tint="0.39994506668294322"/>
                </patternFill>
              </fill>
            </x14:dxf>
          </x14:cfRule>
          <xm:sqref>K28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E35:E39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C3:C34</xm:sqref>
        </x14:dataValidation>
        <x14:dataValidation type="list" allowBlank="1" showInputMessage="1" showErrorMessage="1" xr:uid="{B16B6EDA-AAEC-48C5-9FCD-8D2FF9B89115}">
          <x14:formula1>
            <xm:f>Sheet1!$A$2:$A$5</xm:f>
          </x14:formula1>
          <xm:sqref>L39</xm:sqref>
        </x14:dataValidation>
        <x14:dataValidation type="list" allowBlank="1" showInputMessage="1" showErrorMessage="1" xr:uid="{C12E3E95-256F-4AC2-A325-D543E4E043D6}">
          <x14:formula1>
            <xm:f>Sheet1!$A$2:$A$7</xm:f>
          </x14:formula1>
          <xm:sqref>K3:K39</xm:sqref>
        </x14:dataValidation>
        <x14:dataValidation type="list" allowBlank="1" showInputMessage="1" showErrorMessage="1" xr:uid="{A57D4C9A-4827-462B-9CB9-2277A35B6311}">
          <x14:formula1>
            <xm:f>Sheet1!$E$2:$E$49</xm:f>
          </x14:formula1>
          <xm:sqref>E3:E34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F4" sqref="F4"/>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74" zoomScale="130" zoomScaleNormal="130" workbookViewId="0">
      <selection activeCell="E88" sqref="E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8" t="s">
        <v>175</v>
      </c>
      <c r="D2" t="s">
        <v>495</v>
      </c>
      <c r="E2" t="s">
        <v>776</v>
      </c>
    </row>
    <row r="3" spans="1:6" x14ac:dyDescent="0.25">
      <c r="A3" s="25" t="s">
        <v>149</v>
      </c>
      <c r="B3" t="s">
        <v>828</v>
      </c>
      <c r="C3" s="38" t="s">
        <v>176</v>
      </c>
      <c r="D3" t="s">
        <v>496</v>
      </c>
      <c r="E3" t="s">
        <v>777</v>
      </c>
    </row>
    <row r="4" spans="1:6" x14ac:dyDescent="0.25">
      <c r="A4" s="26" t="s">
        <v>150</v>
      </c>
      <c r="B4" t="s">
        <v>829</v>
      </c>
      <c r="C4" s="38" t="s">
        <v>177</v>
      </c>
      <c r="D4" t="s">
        <v>497</v>
      </c>
      <c r="E4" t="s">
        <v>778</v>
      </c>
    </row>
    <row r="5" spans="1:6" x14ac:dyDescent="0.25">
      <c r="A5" s="27" t="s">
        <v>151</v>
      </c>
      <c r="B5" t="s">
        <v>830</v>
      </c>
      <c r="C5" s="38" t="s">
        <v>178</v>
      </c>
      <c r="D5" t="s">
        <v>498</v>
      </c>
      <c r="E5" t="s">
        <v>779</v>
      </c>
    </row>
    <row r="6" spans="1:6" x14ac:dyDescent="0.25">
      <c r="A6" s="51" t="s">
        <v>841</v>
      </c>
      <c r="B6" t="s">
        <v>831</v>
      </c>
      <c r="C6" s="38" t="s">
        <v>179</v>
      </c>
      <c r="D6" t="s">
        <v>499</v>
      </c>
      <c r="E6" t="s">
        <v>780</v>
      </c>
    </row>
    <row r="7" spans="1:6" x14ac:dyDescent="0.25">
      <c r="A7" s="50" t="s">
        <v>840</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842</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2022-11-08T20:33:05Z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