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150 Fremont\"/>
    </mc:Choice>
  </mc:AlternateContent>
  <xr:revisionPtr revIDLastSave="0" documentId="8_{B3CFF70F-B041-42AF-890E-8BB053BD4986}" xr6:coauthVersionLast="47" xr6:coauthVersionMax="47" xr10:uidLastSave="{00000000-0000-0000-0000-000000000000}"/>
  <bookViews>
    <workbookView xWindow="-120" yWindow="-120" windowWidth="29040" windowHeight="15840" firstSheet="1" activeTab="2" xr2:uid="{5426C36E-AAE0-45E3-9C4C-2C971D0504DB}"/>
  </bookViews>
  <sheets>
    <sheet name="ISO 17065" sheetId="13" state="hidden" r:id="rId1"/>
    <sheet name="Brian &amp; Neto" sheetId="15" r:id="rId2"/>
    <sheet name="Jeff" sheetId="10" r:id="rId3"/>
    <sheet name="Definition " sheetId="11" r:id="rId4"/>
    <sheet name="Sheet1" sheetId="14" state="hidden" r:id="rId5"/>
  </sheets>
  <definedNames>
    <definedName name="_xlnm._FilterDatabase" localSheetId="1" hidden="1">'Brian &amp; Neto'!$Q$2:$Q$80</definedName>
    <definedName name="_xlnm._FilterDatabase" localSheetId="0" hidden="1">'ISO 17065'!$A$2:$U$29</definedName>
    <definedName name="_xlnm._FilterDatabase" localSheetId="2" hidden="1">Jeff!$Q$2:$Q$84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tc={70E05E9F-1B6E-455B-83D1-3A62AA454E4F}</author>
    <author>tc={7EC99CEE-7A24-4168-86A7-CE1D2B0EE0BD}</author>
    <author>tc={D041B2D6-0E7A-4A13-B94D-4A0C5CA41984}</author>
  </authors>
  <commentList>
    <comment ref="Q28" authorId="0" shapeId="0" xr:uid="{70E05E9F-1B6E-455B-83D1-3A62AA454E4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7EC99CEE-7A24-4168-86A7-CE1D2B0EE0B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041B2D6-0E7A-4A13-B94D-4A0C5CA419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tc={E8074676-CFA9-4730-930B-E4AD761D52A2}</author>
    <author>tc={7B3C6DC8-4652-47B4-B0E5-538AAED6C545}</author>
    <author>tc={FE9F140C-B2E4-477C-843E-6471091F0CF9}</author>
    <author>tc={81744A01-4399-4542-8F84-47A67EC56CFE}</author>
    <author>tc={79ABE612-4D84-4078-9709-CDCAFFE572C0}</author>
    <author>tc={F87961D2-8E09-46DF-9F2B-04373D6E6315}</author>
  </authors>
  <commentList>
    <comment ref="Q28" authorId="0" shapeId="0" xr:uid="{E8074676-CFA9-4730-930B-E4AD761D52A2}">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7B3C6DC8-4652-47B4-B0E5-538AAED6C54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E9F140C-B2E4-477C-843E-6471091F0CF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81744A01-4399-4542-8F84-47A67EC56CF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79ABE612-4D84-4078-9709-CDCAFFE572C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F87961D2-8E09-46DF-9F2B-04373D6E6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<sst xmlns="http://schemas.openxmlformats.org/spreadsheetml/2006/main" count="1517" uniqueCount="945">
  <si>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</si>
  <si>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</si>
  <si>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</si>
  <si>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</si>
  <si>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</si>
  <si>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</si>
  <si>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</si>
  <si>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</si>
  <si>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</si>
  <si>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</si>
  <si>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</si>
  <si>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</si>
  <si>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</si>
  <si>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</si>
  <si>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</si>
  <si>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</si>
  <si>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</si>
  <si>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</si>
  <si>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</si>
  <si>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</si>
  <si>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</si>
  <si>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</si>
  <si>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</si>
  <si>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</si>
  <si>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</si>
  <si>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</si>
  <si>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</si>
  <si>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</si>
  <si>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</si>
  <si>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</si>
  <si>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</si>
  <si>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</si>
  <si>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</si>
  <si>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</si>
  <si>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</si>
  <si>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</si>
  <si>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</si>
  <si>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</si>
  <si>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</si>
  <si>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</si>
  <si>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</si>
  <si>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</si>
  <si>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</si>
  <si>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</si>
  <si>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</si>
  <si>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</si>
  <si>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</si>
  <si>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</si>
  <si>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</si>
  <si>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</si>
  <si>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</si>
  <si>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</si>
  <si>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</si>
  <si>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</si>
  <si>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</si>
  <si>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</si>
  <si>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</si>
  <si>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</si>
  <si>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</si>
  <si>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</si>
  <si>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</si>
  <si>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</si>
  <si>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</si>
  <si>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</si>
  <si>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</si>
  <si>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</si>
  <si>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</si>
  <si>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</si>
  <si>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</si>
  <si>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</si>
  <si>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</si>
  <si>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</si>
  <si>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</si>
  <si>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</si>
  <si>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</si>
  <si>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</si>
  <si>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</si>
  <si>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</si>
  <si>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</si>
  <si>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</si>
  <si>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</si>
  <si>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</si>
  <si>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</si>
  <si>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</si>
  <si>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</si>
  <si>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</si>
  <si>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</si>
  <si>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</si>
  <si>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</si>
  <si>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</si>
  <si>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</si>
  <si>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</si>
  <si>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</si>
  <si>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</si>
  <si>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</si>
  <si>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</si>
  <si>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</si>
  <si>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</si>
  <si>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</si>
  <si>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</si>
  <si>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</si>
  <si>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</si>
  <si>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</si>
  <si>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</si>
  <si>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</si>
  <si>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</si>
  <si>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</si>
  <si>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</si>
  <si>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</si>
  <si>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</si>
  <si>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</si>
  <si>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</si>
  <si>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</si>
  <si>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</si>
  <si>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</si>
  <si>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</si>
  <si>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</si>
  <si>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</si>
  <si>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</si>
  <si>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</si>
  <si>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</si>
  <si>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</si>
  <si>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</si>
  <si>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</si>
  <si>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</si>
  <si>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</si>
  <si>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</si>
  <si>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</si>
  <si>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</si>
  <si>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</si>
  <si>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</si>
  <si>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</si>
  <si>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</si>
  <si>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</si>
  <si>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</si>
  <si>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</si>
  <si>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</si>
  <si>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</si>
  <si>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</si>
  <si>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</si>
  <si>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</si>
  <si>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</si>
  <si>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</si>
  <si>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</si>
  <si>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</si>
  <si>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</si>
  <si>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</si>
  <si>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</si>
  <si>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</si>
  <si>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</si>
  <si>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</si>
  <si>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</si>
  <si>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</si>
  <si>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</si>
  <si>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</si>
  <si>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</si>
  <si>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</si>
  <si>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</si>
  <si>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</si>
  <si>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</si>
  <si>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</si>
  <si>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</si>
  <si>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</si>
  <si>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</si>
  <si>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</si>
  <si>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</si>
  <si>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</si>
  <si>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</si>
  <si>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</si>
  <si>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</si>
  <si>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</si>
  <si>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</si>
  <si>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</si>
  <si>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</si>
  <si>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</si>
  <si>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</si>
  <si>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</si>
  <si>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</si>
  <si>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</si>
  <si>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</si>
  <si>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</si>
  <si>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</si>
  <si>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</si>
  <si>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</si>
  <si>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</si>
  <si>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</si>
  <si>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</si>
  <si>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</si>
  <si>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</si>
  <si>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</si>
  <si>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</si>
  <si>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</si>
  <si>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</si>
  <si>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</si>
  <si>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</si>
  <si>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</si>
  <si>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</si>
  <si>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</si>
  <si>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</si>
  <si>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</si>
  <si>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</si>
  <si>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</si>
  <si>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</si>
  <si>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</si>
  <si>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</si>
  <si>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</si>
  <si>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</si>
  <si>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</si>
  <si>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</si>
  <si>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</si>
  <si>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</si>
  <si>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</si>
  <si>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</si>
  <si>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</si>
  <si>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</si>
  <si>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</si>
  <si>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</si>
  <si>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</si>
  <si>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</si>
  <si>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</si>
  <si>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</si>
  <si>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</si>
  <si>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</si>
  <si>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</si>
  <si>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</si>
  <si>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</si>
  <si>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</si>
  <si>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</si>
  <si>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</si>
  <si>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</si>
  <si>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</si>
  <si>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</si>
  <si>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</si>
  <si>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</si>
  <si>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</si>
  <si>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</si>
  <si>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</si>
  <si>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</si>
  <si>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</si>
  <si>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</si>
  <si>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</si>
  <si>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</si>
  <si>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</si>
  <si>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</si>
  <si>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</si>
  <si>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</si>
  <si>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</si>
  <si>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</si>
  <si>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</si>
  <si>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</si>
  <si>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</si>
  <si>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</si>
  <si>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</si>
  <si>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</si>
  <si>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</si>
  <si>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</si>
  <si>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</si>
  <si>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</si>
  <si>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</si>
  <si>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</si>
  <si>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</si>
  <si>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</si>
  <si>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</si>
  <si>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</si>
  <si>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</si>
  <si>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</si>
  <si>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</si>
  <si>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</si>
  <si>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</si>
  <si>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</si>
  <si>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</si>
  <si>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</si>
  <si>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</si>
  <si>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</si>
  <si>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</si>
  <si>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</si>
  <si>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</si>
  <si>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</si>
  <si>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</si>
  <si>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</si>
  <si>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</si>
  <si>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</si>
  <si>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</si>
  <si>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</si>
  <si>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</si>
  <si>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</si>
  <si>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</si>
  <si>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</si>
  <si>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</si>
  <si>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</si>
  <si>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</si>
  <si>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</si>
  <si>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</si>
  <si>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</si>
  <si>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</si>
  <si>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</si>
  <si>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</si>
  <si>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</si>
  <si>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</si>
  <si>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</si>
  <si>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</si>
  <si>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</si>
  <si>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</si>
  <si>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</si>
  <si>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</si>
  <si>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</si>
  <si>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</si>
  <si>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</si>
  <si>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</si>
  <si>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</si>
  <si>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</si>
  <si>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</si>
  <si>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</si>
  <si>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</si>
  <si>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</si>
  <si>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</si>
  <si>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</si>
  <si>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</si>
  <si>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</si>
  <si>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</si>
  <si>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</si>
  <si>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</si>
  <si>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</si>
  <si>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</si>
  <si>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</si>
  <si>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</si>
  <si>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</si>
  <si>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</si>
  <si>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</si>
  <si>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</si>
  <si>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</si>
  <si>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</si>
  <si>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</si>
  <si>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</si>
  <si>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</si>
  <si>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</si>
  <si>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</si>
  <si>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</si>
  <si>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</si>
  <si>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</si>
  <si>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</si>
  <si>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</si>
  <si>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</si>
  <si>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</si>
  <si>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</si>
  <si>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</si>
  <si>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</si>
  <si>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</si>
  <si>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</si>
  <si>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</si>
  <si>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</si>
  <si>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</si>
  <si>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</si>
  <si>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</si>
  <si>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</si>
  <si>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</si>
  <si>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</si>
  <si>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</si>
  <si>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</si>
  <si>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</si>
  <si>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</si>
  <si>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</si>
  <si>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</si>
  <si>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</si>
  <si>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</si>
  <si>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</si>
  <si>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</si>
  <si>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</si>
  <si>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</si>
  <si>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</si>
  <si>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</si>
  <si>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</si>
  <si>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</si>
  <si>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</si>
  <si>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</si>
  <si>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</si>
  <si>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</si>
  <si>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</si>
  <si>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</si>
  <si>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</si>
  <si>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</si>
  <si>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</si>
  <si>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</si>
  <si>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</si>
  <si>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</si>
  <si>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</si>
  <si>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</si>
  <si>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</si>
  <si>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</si>
  <si>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</si>
  <si>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</si>
  <si>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</si>
  <si>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</si>
  <si>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</si>
  <si>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</si>
  <si>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</si>
  <si>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</si>
  <si>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</si>
  <si>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</si>
  <si>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</si>
  <si>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</si>
  <si>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</si>
  <si>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</si>
  <si>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</si>
  <si>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</si>
  <si>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</si>
  <si>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</si>
  <si>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</si>
  <si>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</si>
  <si>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</si>
  <si>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</si>
  <si>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</si>
  <si>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</si>
  <si>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</si>
  <si>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</si>
  <si>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</si>
  <si>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</si>
  <si>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</si>
  <si>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</si>
  <si>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</si>
  <si>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</si>
  <si>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</si>
  <si>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</si>
  <si>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</si>
  <si>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</si>
  <si>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</si>
  <si>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</si>
  <si>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</si>
  <si>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</si>
  <si>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</si>
  <si>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</si>
  <si>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</si>
  <si>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</si>
  <si>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</si>
  <si>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</si>
  <si>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</si>
  <si>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</si>
  <si>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</si>
  <si>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</si>
  <si>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</si>
  <si>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</si>
  <si>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</si>
  <si>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</si>
  <si>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</si>
  <si>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</si>
  <si>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</si>
  <si>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</si>
  <si>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</si>
  <si>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</si>
  <si>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</si>
  <si>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</si>
  <si>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</si>
  <si>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</si>
  <si>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</si>
  <si>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</si>
  <si>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</si>
  <si>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</si>
  <si>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</si>
  <si>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</si>
  <si>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</si>
  <si>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</si>
  <si>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</si>
  <si>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</si>
  <si>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</si>
  <si>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</si>
  <si>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</si>
  <si>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</si>
  <si>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</si>
  <si>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</si>
  <si>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</si>
  <si>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</si>
  <si>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</si>
  <si>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</si>
  <si>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</si>
  <si>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</si>
  <si>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</si>
  <si>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</si>
  <si>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</si>
  <si>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</si>
  <si>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</si>
  <si>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</si>
  <si>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</si>
  <si>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</si>
  <si>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</si>
  <si>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</si>
  <si>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</si>
  <si>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</si>
  <si>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</si>
  <si>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</si>
  <si>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</si>
  <si>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</si>
  <si>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</si>
  <si>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</si>
  <si>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</si>
  <si>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</si>
  <si>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</si>
  <si>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</si>
  <si>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</si>
  <si>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</si>
  <si>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</si>
  <si>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</si>
  <si>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</si>
  <si>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</si>
  <si>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</si>
  <si>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</si>
  <si>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</si>
  <si>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</si>
  <si>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</si>
  <si>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</si>
  <si>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</si>
  <si>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</si>
  <si>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</si>
  <si>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</si>
  <si>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</si>
  <si>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</si>
  <si>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</si>
  <si>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</si>
  <si>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</si>
  <si>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</si>
  <si>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</si>
  <si>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</si>
  <si>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</si>
  <si>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</si>
  <si>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</si>
  <si>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</si>
  <si>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</si>
  <si>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</si>
  <si>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</si>
  <si>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</si>
  <si>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</si>
  <si>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</si>
  <si>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</si>
  <si>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</si>
  <si>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</si>
  <si>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</si>
  <si>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</si>
  <si>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</si>
  <si>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</si>
  <si>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</si>
  <si>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</si>
  <si>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</si>
  <si>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</si>
  <si>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</si>
  <si>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</si>
  <si>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</si>
  <si>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</si>
  <si>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</si>
  <si>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</si>
  <si>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</si>
  <si>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</si>
  <si>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</si>
  <si>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</si>
  <si>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</si>
  <si>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</si>
  <si>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</si>
  <si>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</si>
  <si>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</si>
  <si>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</si>
  <si>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</si>
  <si>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</si>
  <si>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</si>
  <si>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</si>
  <si>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</si>
  <si>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</si>
  <si>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</si>
  <si>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</si>
  <si>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</si>
  <si>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</si>
  <si>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</si>
  <si>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</si>
  <si>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</si>
  <si>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</si>
  <si>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</si>
  <si>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</si>
  <si>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</si>
  <si>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</si>
  <si>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</si>
  <si>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</si>
  <si>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</si>
  <si>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</si>
  <si>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</si>
  <si>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</si>
  <si>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</si>
  <si>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</si>
  <si>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</si>
  <si>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</si>
  <si>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</si>
  <si>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</si>
  <si>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</si>
  <si>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</si>
  <si>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</si>
  <si>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</si>
  <si>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</si>
  <si>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</si>
  <si>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</si>
  <si>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</si>
  <si>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</si>
  <si>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</si>
  <si>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</si>
  <si>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</si>
  <si>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</si>
  <si>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</si>
  <si>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</si>
  <si>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</si>
  <si>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</si>
  <si>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</si>
  <si>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</si>
  <si>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</si>
  <si>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</si>
  <si>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</si>
  <si>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</si>
  <si>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</si>
  <si>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</si>
  <si>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</si>
  <si>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</si>
  <si>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</si>
  <si>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</si>
  <si>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</si>
  <si>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</si>
  <si>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</si>
  <si>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</si>
  <si>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</si>
  <si>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</si>
  <si>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</si>
  <si>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</si>
  <si>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</si>
  <si>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</si>
  <si>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</si>
  <si>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</si>
  <si>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</si>
  <si>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</si>
  <si>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</si>
  <si>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</si>
  <si>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</si>
  <si>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</si>
  <si>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</si>
  <si>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</si>
  <si>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</si>
  <si>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</si>
  <si>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</si>
  <si>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</si>
  <si>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</si>
  <si>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</si>
  <si>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</si>
  <si>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</si>
  <si>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</si>
  <si>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</si>
  <si>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</si>
  <si>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</si>
  <si>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</si>
  <si>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</si>
  <si>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</si>
  <si>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</si>
  <si>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</si>
  <si>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</si>
  <si>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</si>
  <si>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</si>
  <si>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</si>
  <si>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</si>
  <si>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</si>
  <si>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</si>
  <si>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</si>
  <si>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</si>
  <si>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</si>
  <si>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</si>
  <si>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</si>
  <si>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</si>
  <si>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</si>
  <si>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</si>
  <si>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</si>
  <si>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</si>
  <si>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</si>
  <si>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</si>
  <si>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</si>
  <si>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</si>
  <si>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</si>
  <si>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</si>
  <si>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</si>
  <si>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</si>
  <si>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</si>
  <si>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</si>
  <si>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</si>
  <si>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</si>
  <si>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</si>
  <si>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</si>
  <si>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</si>
  <si>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</si>
  <si>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</si>
  <si>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</si>
  <si>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</si>
  <si>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</si>
  <si>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</si>
  <si>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</si>
  <si>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</si>
  <si>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</si>
  <si>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</si>
  <si>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</si>
  <si>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</si>
  <si>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</si>
  <si>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</si>
  <si>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</si>
  <si>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</si>
  <si>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</si>
  <si>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</si>
  <si>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</si>
  <si>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</si>
  <si>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</si>
  <si>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</si>
  <si>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</si>
  <si>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</si>
  <si>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</si>
  <si>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</si>
  <si>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</si>
  <si>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</si>
  <si>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</si>
  <si>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</si>
  <si>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</si>
  <si>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</si>
  <si>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</si>
  <si>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</si>
  <si>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</si>
  <si>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</si>
  <si>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</si>
  <si>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</si>
  <si>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</si>
  <si>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</si>
  <si>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</si>
  <si>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</si>
  <si>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</si>
  <si>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</si>
  <si>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</si>
  <si>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</si>
  <si>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</si>
  <si>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</si>
  <si>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</si>
  <si>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</si>
  <si>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</si>
  <si>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</si>
  <si>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</si>
  <si>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</si>
  <si>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</si>
  <si>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</si>
  <si>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</si>
  <si>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</si>
  <si>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</si>
  <si>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</si>
  <si>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</si>
  <si>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</si>
  <si>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</si>
  <si>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</si>
  <si>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</si>
  <si>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</si>
  <si>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</si>
  <si>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</si>
  <si>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</si>
  <si>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</si>
  <si>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</si>
  <si>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</si>
  <si>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</si>
  <si>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</si>
  <si>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</si>
  <si>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</si>
  <si>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</si>
  <si>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</si>
  <si>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</si>
  <si>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</si>
  <si>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</si>
  <si>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</si>
  <si>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</si>
  <si>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</si>
  <si>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</si>
  <si>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</si>
  <si>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</si>
  <si>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</si>
  <si>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</si>
  <si>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</si>
  <si>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</si>
  <si>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</si>
  <si>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</si>
  <si>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</si>
  <si>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</si>
  <si>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</si>
  <si>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</si>
  <si>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</si>
  <si>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</si>
  <si>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</si>
  <si>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</si>
  <si>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</si>
  <si>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</si>
  <si>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</si>
  <si>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</si>
  <si>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</si>
  <si>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</si>
  <si>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</si>
  <si>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</si>
  <si>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</si>
  <si>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</si>
  <si>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</si>
  <si>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</si>
  <si>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</si>
  <si>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</si>
  <si>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</si>
  <si>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</si>
  <si>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</si>
  <si>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</si>
  <si>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</si>
  <si>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</si>
  <si>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</si>
  <si>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</si>
  <si>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</si>
  <si>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</si>
  <si>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</si>
  <si>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</si>
  <si>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</si>
  <si>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</si>
  <si>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</si>
  <si>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</si>
  <si>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</si>
  <si>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</si>
  <si>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</si>
  <si>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</si>
  <si>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</si>
  <si>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</si>
  <si>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</si>
  <si>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</si>
  <si>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</si>
  <si>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</si>
  <si>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</si>
  <si>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</si>
  <si>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</si>
  <si>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</si>
  <si>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</si>
  <si>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</si>
  <si>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</si>
  <si>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</si>
  <si>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</si>
  <si>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</si>
  <si>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</si>
  <si>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</si>
  <si>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</si>
  <si>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</si>
  <si>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</si>
  <si>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</si>
  <si>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To be audited under NBK site audit, 2022-134-IQA</t>
  </si>
  <si>
    <t>To be audited in Global Audit Programs &amp; Corrective and Preventive Action audit, 2022-76-IQA</t>
  </si>
  <si>
    <t>US Safety Scheme, Canada Safety Scheme</t>
  </si>
  <si>
    <t>ULID-000682 (DCS:00-LO-S0408), Issue #: 5.0
LABORATORY ACTIVITY VERIFICATION</t>
  </si>
  <si>
    <t>ULID-000494 (DCS:00-LC-P0851), Issue #: 7.0
TESTING AND CALIBRATION LABORATORY POLICY 'existing'
ULID-009203, Issue #: 2.0
UL ENTERPRISE TESTING AND CALIBRATION LABORATORY COMPLIANCE POLICY (ISO/IEC 17025:2017) 'New'
ULID-000687 (DCS:00-LO-S0855), Issue #: 18.0
LABORATORY PERSONNEL REQUIREMENTS
00-LO-F0861, Issue #:  2.0
COMPETENCE MONITORING FORM
ULID-000682 (DCS:00-LO-S0408), Issue #: 5.0
LABORATORY ACTIVITY VERIFICATION</t>
  </si>
  <si>
    <t>Policy-ULID-000487 (DCS:00-LC-P0025), Issue #: 14.2
LABORATORY FACILITIES AND ENVIRONMENTAL CONDITIONS POLICY</t>
  </si>
  <si>
    <t>Policy-ULID-000489 (DCS:00-LC-P0028), Issue #:16.0
LABORATORY CALIBRATION POLICY
Policy-ULID-000491 (DCS:00-LC-P0031), Issue #: 23.0
LABORATORY EQUIPMENT POLICY</t>
  </si>
  <si>
    <t xml:space="preserve">Policy-ULID-000488 (DCS:00-LC-P0026), Issue #: 9.0
POLICY FOR THE USE OF CALIBRATION VENDORS
ULID-000497 (DCS:00-LC-S0298), Issue #:  12.0
PREPARATION, ATTACHMENT, EXTENSION AND USE OF THERMOCOUPLES </t>
  </si>
  <si>
    <t>ULID-000494 (DCS:00-LC-P0851), Issue #: 7.0
TESTING AND CALIBRATION LABORATORY POLICY 'existing'
ULID-009203, Issue #: 2.0
UL ENTERPRISE TESTING AND CALIBRATION LABORATORY COMPLIANCE POLICY (ISO/IEC 17025:2017) 'New'</t>
  </si>
  <si>
    <t>ULID-001089 (DCS:00-SF-S0049), Issue #: 5.0
SAFE HANDLING, STORAGE, DISPOSAL, AND SHIPPING REQUIREMENTS FOR BATTERIES
ULID-000877 (DCS:00-OP-P0400), Issue #: 8.0
SAMPLE MANAGEMENT POLICY
ULID-001790 (DCS:01-LO-S0124), Issue #: 10.0
NORTHBROOK SAMPLE HANDLING PROCESS</t>
  </si>
  <si>
    <t>ULID-000680 (DCS:00-LO-S0405, Issue #: 13.0
TEST DATASHEET REQUIREMENTS
ULID-000686 (DCS:00-LO-S0829, Issue #:  10.1
TESTING RELATED TECHNICAL RECORDS</t>
  </si>
  <si>
    <t>ULID-000689(DCS: 00-LO-S0862), Issue #: 1.0
ENSURING THE VALIDITY OF RESULTS
ULID-007964 (DCS:80-LC-S0026), Issue #:  4.0
US LABORATORY INTERNAL TECHNICAL AUDITS
ULID-000490 (DCS:00-LC-P0029), Issue #: 13.0
PROFICIENCY TESTING POLICY</t>
  </si>
  <si>
    <t>ULID-000688 (DCS:00-LO-S0857), Issue #:  7.0
LABORATORY CONTROL OF NONCONFORMING TESTING OR IN-HOUSE CALIBRATION WORK PROCEDURE
ULID-000856 (DCS:00-OP-F0404), Issue #: 9.0
TRACEBACK PROCESS &amp; FORM</t>
  </si>
  <si>
    <r>
      <t xml:space="preserve">ULID-000493 (DCS:00-LC-P0046), Issue #:  10.0
LABORATORY COMPLAINT POLICY
ULID-004161, </t>
    </r>
    <r>
      <rPr>
        <sz val="11"/>
        <rFont val="Calibri"/>
        <family val="2"/>
        <scheme val="minor"/>
      </rPr>
      <t>Issue #: 46.0</t>
    </r>
    <r>
      <rPr>
        <sz val="11"/>
        <color theme="1"/>
        <rFont val="Calibri"/>
        <family val="2"/>
        <scheme val="minor"/>
      </rPr>
      <t xml:space="preserve">
STANDARD OPERATION PROCEDURES-ULID-004161 (STANDARD OPERATING PROCEDURES FOR HANDLING CUSTOMER COMPLAINTS)</t>
    </r>
  </si>
  <si>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</si>
  <si>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</si>
  <si>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</si>
  <si>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See Paul's path</t>
  </si>
  <si>
    <t>Audit Date Range: 04/19-22/2022</t>
  </si>
  <si>
    <t>Jennifer Murrill
Michael J. Vanoveren
Chris Blazek
Christopher M. Bednar</t>
  </si>
  <si>
    <t>Org charts from:
Chris S. Blazek
Michael J. Vanoveren</t>
  </si>
  <si>
    <t>Audit # 2022-150</t>
  </si>
  <si>
    <t>Auditor Name: Camões Neto / Brian Mahoney</t>
  </si>
  <si>
    <t>Audit Date Range: 04/19-21/2022</t>
  </si>
  <si>
    <t>Policy-ULID-000492 (DCS:00-LC-P0040), Issue #: 20.0 - LABORATORY MANAGEMENT REVIEW POLICY</t>
  </si>
  <si>
    <t>"Laboratory Management Review Report
Customer Experience –Labs and Operations–AmericasTesting&amp; Calibration Laboratories 2021" - Date: 2/28/2022</t>
  </si>
  <si>
    <t>The MR report is stored under the Shared Laboratory Services sharepoint.
Report template: Form-ULID-000484 - Issue #:14.2</t>
  </si>
  <si>
    <t>Records can be stored in the Nonconforming Test and Calibration Cork sharepoint or as CARs.</t>
  </si>
  <si>
    <t>CARs: 213923216, 213922864
"Log of Nonconforming Work.xls"</t>
  </si>
  <si>
    <t>Michael J. Vanoveren
Chris Blazek
Christopher M. Bednar</t>
  </si>
  <si>
    <t>"Log of Nonconforming Work.xls"</t>
  </si>
  <si>
    <t>There are no records of Complaints since 2020. The procedure was discussed with the lab leaders.</t>
  </si>
  <si>
    <t>Jennifer Murrill
Michael J. Vanoveren
Christopher M. Bednar</t>
  </si>
  <si>
    <t>Lynn Wong - 04202</t>
  </si>
  <si>
    <t>For this demonstration, it was used the same sample from the PTP test (no sample number).
For the 10s test, the 0V was recorded as the final result.</t>
  </si>
  <si>
    <t>CBTL Witness Test - Plug Discharge</t>
  </si>
  <si>
    <t>IEC 62368-1:2018, Clause 5.5.2.2</t>
  </si>
  <si>
    <t>Elgin Diaz - 13495</t>
  </si>
  <si>
    <t>Flame calibration</t>
  </si>
  <si>
    <t>Esmeralda Montiel - 21266</t>
  </si>
  <si>
    <t>4725842-1 (tag number) / 220621823 (order number)</t>
  </si>
  <si>
    <t>Tests records go directly into Labware.
X-Press: 17123</t>
  </si>
  <si>
    <t>UL 746A Ed. 6</t>
  </si>
  <si>
    <t>ASTM D5207-20 / UL 94 Ed. 6</t>
  </si>
  <si>
    <t>Jared Zeman
Jennifer Murrill
Christopher M. Bednar</t>
  </si>
  <si>
    <t>Paul Nguyen</t>
  </si>
  <si>
    <t>Policy-ULID-000435 (DCS:00-IT-P0829) - HANDLING DATA BACKUP AND RETENTION POLICY</t>
  </si>
  <si>
    <t>Back-up on a daily basis (full on weekend and incremental on weekdays), using cloud services.</t>
  </si>
  <si>
    <t xml:space="preserve">Gas - methane: 2231611
Flame fixture: 82667
Ruler: 64808
</t>
  </si>
  <si>
    <t>Backup log: "Workload Protection History" - Scope: usnbkbkup001p - Interval: 3/21/2022 - 4/20/2022)</t>
  </si>
  <si>
    <t>21e14 (2021-04-01)</t>
  </si>
  <si>
    <t>Peer audits: 
F212012317 (2022-01-27)
4790295150 (2022-03-02)</t>
  </si>
  <si>
    <t>"2022 Peer Audit Schedule.xls" is used to plan the audits for the year.</t>
  </si>
  <si>
    <t>The Certification Program Database sharepoint offers a "Participation Record" section that shows the history of Programs that the lab participated in and those that are currently planned.
21e14 - Standby Power 110V 60Hz (2021-04-01) - Results: 1 outlier
Provider: IFM
CAR: 213923685 (Closed Awaiting Verification)</t>
  </si>
  <si>
    <t>To be audited in Jeff's path.</t>
  </si>
  <si>
    <t>Policy-ULID-000494 (DCS:00-LC-P0851), Issue #: 7.0 - TESTING AND CALIBRATION LABORATORY POLICY
Policy-ULID-000495 (DCS:00-LC-P0852),
Issue #:4.0 - TESTING AND CALIBRATION LABORATORY POLICY/PROCEDURE MATRIX</t>
  </si>
  <si>
    <t>Policy-ULID-000494 (DCS:00-LC-P0851), Issue #: 7.0 - TESTING AND CALIBRATION LABORATORY POLICY
Policy-ULID-000495 (DCS:00-LC-P0852),
Issue #:4.0 - TESTING AND CALIBRATION LABORATORY POLICY/PROCEDURE MATRIX
Policy-ULID-000492 (DCS:00-LC-P0040), Issue #: 20.0 - LABORATORY MANAGEMENT REVIEW POLICY</t>
  </si>
  <si>
    <t>"Laboratory Management Review Report
Customer Experience –Labs and Operations–AmericasTesting&amp; Calibration Laboratories 2021" - Date: 2/28/2022 - Section 13. Results of risk identification</t>
  </si>
  <si>
    <t>Purchase requesitions come in through LabWare.
A list of approved vendors is also available in LabWare.</t>
  </si>
  <si>
    <t>Request #: LWD-15028 (2022-03-23) - Part number: NI UHP300
Gas (methane): 2231611
KBr Powder: CC118
Cheesecloth: 4285672</t>
  </si>
  <si>
    <t>Ronald W. Lee</t>
  </si>
  <si>
    <t>Jennifer Murrill
Katherine M. West</t>
  </si>
  <si>
    <t>Hamza Mahmood - 27716 (in training) - 03/17/2022
Antony Perez - 27705 (in training) - 03/16/2022
Carla Davis - 04838 (09/02/1986)
Daniel Ng - 00985 (02/18/2009)
Esmeralda Montiel - 21266 (07/30/2008)</t>
  </si>
  <si>
    <t>Jennifer Murrill
Chris S. Blazek
Willfred Young
Christopher Bednar</t>
  </si>
  <si>
    <t>4034169, 4745439, 4798614, 4842197, 4798452 (quarentine), 3706878, 4725842</t>
  </si>
  <si>
    <t>As verified in the projects listed in this pathnotes.</t>
  </si>
  <si>
    <t>All records are stored electronically.</t>
  </si>
  <si>
    <t>Policy-ULID-000494 (DCS:00-LC-P0851), Issue #: 7.0 - TESTING AND CALIBRATION LABORATORY POLICY</t>
  </si>
  <si>
    <t>Standard Operation Procedures-ULID-000690 (DCS:00-LO-S0864), Issue #: 1.0 LABORATORY RISKS AND OPPORTUNITIES</t>
  </si>
  <si>
    <t>See below for projects</t>
  </si>
  <si>
    <t>As evidences shown through this pathnotes.</t>
  </si>
  <si>
    <t>PQA: 50Hz and 60Hz reports (01/27/2022) and AC Power Supply (03/30/2022)
Ambient Temp/RH: 73678, 73684</t>
  </si>
  <si>
    <t>CARs:
213923378
213923685
213922996
213922864</t>
  </si>
  <si>
    <t>Auditor Name: Jeff Hogston</t>
  </si>
  <si>
    <t>see below Selection, verification and validation of methods.  Also interview with Kathy West (12736), HR, for impartiality, confidentiality, employee records and annual Standard of Business conduct training.</t>
  </si>
  <si>
    <t>see below Selection, verification and validation of methods</t>
  </si>
  <si>
    <t xml:space="preserve">Competence for each of the 6 personnel under Selection, verification and validation of methods was verfied, along with training records for Daniel Ng (00985) and Enrique Rios (12776).  Enrique's records were reviewed, but he was not audited as he was unavailable during the audit time.  Sample handling competency was reviewed for Wilfred Young (02949), but it was noted that LSUP competency was not found in TCD. </t>
  </si>
  <si>
    <t>2022-150-01</t>
  </si>
  <si>
    <t>Facilities and environmental conditions were verified for projects and testing reviewed under Selection, verification and validation of methods below.</t>
  </si>
  <si>
    <t>Equipment management and calibration were verified for projects and testing reviewed under Selection, verification and validation of methods below.  Specific pieces of equipment that were checked for calibration were Fluke 75175, Agilent 139865, Stopwatch 208538, Detecto 15305, Starrett Angle meter 202170, Lufkin Tape measure 74271, Ambient monitor 73670, Oscilloscope 791, CDT-240 177455, Fluke 15099.  Critical Consumable Cheesecloth 4285672 and Airgas was also verified.</t>
  </si>
  <si>
    <t>see below Selection, verification and validation of methods.  Also interview with Jared Zeman (13772) for calibration and critical consummables.</t>
  </si>
  <si>
    <t>see above for Calibration and Critical Consummable information.</t>
  </si>
  <si>
    <t>Review of work order process was reviewed in accordance with applicable documentation associated with the projects under Selection, verification and validation of methods. Listed below.</t>
  </si>
  <si>
    <t>Sample room access controlled by employee badge activation.  Sample numbers 4034169, 3706878, 4745439, 4842197, 4798614 were reviewed.   Quarantined sample 4798452 was also reviewed and found to be stored and recorded properly.  Sample handling competency was reviewed for Wilfred Young (02949), but it was noted that LSUP competency was not found in TCD. See Personnel and Competence for additional information.</t>
  </si>
  <si>
    <t>Technical records and report requirements were reviewed in accordance with applicable documentation associated with the projects under Selection, verification and validation of methods. Listed below.</t>
  </si>
  <si>
    <t>Validity of results was reviewed in accordance with applicable documentation associated with the projects under Selection, verification and validation of methods. Listed below.</t>
  </si>
  <si>
    <t>see below Selection, verification and validation of methods.  Also interview with Paul Nguyen (12736), IT, for confirmation of restricted access to servers and server room where records are stored.</t>
  </si>
  <si>
    <t>Control of documents was reviewed in accordance with applicable documentation associated with the projects under Selection, verification and validation of methods. Listed below.</t>
  </si>
  <si>
    <t>Control of records was reviewed in accordance with applicable documentation associated with the projects under Selection, verification and validation of methods. Listed below.</t>
  </si>
  <si>
    <t>Daniel Ng (00985)</t>
  </si>
  <si>
    <t>4790295323 (in progress)</t>
  </si>
  <si>
    <t>Testing and datasheets were reviewed and "Conditions and Criteria for Recognition of Laboratories for the ENERGY STAR Program" form was completed.  See form for additional information and specifics.</t>
  </si>
  <si>
    <t>Richardo Bustinza (04885)</t>
  </si>
  <si>
    <t>Mock up sample and testing for CBTL demostration only</t>
  </si>
  <si>
    <t>An example datasheet package was reviewed and competencies and equipment were as noted on this spreadsheet.  No issues.</t>
  </si>
  <si>
    <t>Carla Davis (04838)</t>
  </si>
  <si>
    <t>Lynn Wong (04202)</t>
  </si>
  <si>
    <t>Jessica Rios (12540)</t>
  </si>
  <si>
    <t>4790184563 (in progress)</t>
  </si>
  <si>
    <t>Project datasheet package was reviewed and competencies and equipment were as noted on this spreadsheet.  No issues.</t>
  </si>
  <si>
    <t>Patrick Ichikawa (12673)</t>
  </si>
  <si>
    <t>4790325828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</si>
</sst>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9"/>
      <color indexed="81"/>
      <name val="Tahoma"/>
      <charset val="1"/>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0" borderId="1" xfId="0" applyBorder="1" applyAlignment="1">
      <alignment wrapText="1"/>
    </xf>
    <xf numFmtId="0" fontId="0" fillId="2" borderId="1" xfId="0" applyFont="1" applyFill="1" applyBorder="1" applyAlignment="1">
      <alignment wrapText="1"/>
    </xf>
    <xf numFmtId="0" fontId="11" fillId="0" borderId="1" xfId="0" applyFont="1" applyBorder="1"/>
    <xf numFmtId="0" fontId="11" fillId="0" borderId="0" xfId="0" applyFont="1"/>
  </cellXfs>
  <cellStyles count="1">
    <cellStyle name="Normal" xfId="0" builtinId="0"/>
  </cellStyles>
  <dxfs count="190">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70E05E9F-1B6E-455B-83D1-3A62AA454E4F}">
    <text>When looking test method,  need further discussion for additional form or pathnote</text>
  </threadedComment>
  <threadedComment ref="Q29" dT="2020-09-22T15:02:37.15" personId="{AC51E8DC-BF1C-40B5-8E58-84AE25CE4664}" id="{7EC99CEE-7A24-4168-86A7-CE1D2B0EE0BD}">
    <text>When looking test method,  need further discussion for additional form or pathnote</text>
  </threadedComment>
  <threadedComment ref="Q30" dT="2020-09-22T15:02:37.15" personId="{AC51E8DC-BF1C-40B5-8E58-84AE25CE4664}" id="{D041B2D6-0E7A-4A13-B94D-4A0C5CA41984}">
    <text>When looking test method,  need further discussion for additional form or pathnote</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E8074676-CFA9-4730-930B-E4AD761D52A2}">
    <text>When looking test method,  need further discussion for additional form or pathnote</text>
  </threadedComment>
  <threadedComment ref="Q29" dT="2020-09-22T15:02:37.15" personId="{AC51E8DC-BF1C-40B5-8E58-84AE25CE4664}" id="{7B3C6DC8-4652-47B4-B0E5-538AAED6C545}">
    <text>When looking test method,  need further discussion for additional form or pathnote</text>
  </threadedComment>
  <threadedComment ref="Q30" dT="2020-09-22T15:02:37.15" personId="{AC51E8DC-BF1C-40B5-8E58-84AE25CE4664}" id="{FE9F140C-B2E4-477C-843E-6471091F0CF9}">
    <text>When looking test method,  need further discussion for additional form or pathnote</text>
  </threadedComment>
  <threadedComment ref="Q31" dT="2020-09-22T15:02:37.15" personId="{AC51E8DC-BF1C-40B5-8E58-84AE25CE4664}" id="{81744A01-4399-4542-8F84-47A67EC56CFE}">
    <text>When looking test method,  need further discussion for additional form or pathnote</text>
  </threadedComment>
  <threadedComment ref="Q32" dT="2020-09-22T15:02:37.15" personId="{AC51E8DC-BF1C-40B5-8E58-84AE25CE4664}" id="{79ABE612-4D84-4078-9709-CDCAFFE572C0}">
    <text>When looking test method,  need further discussion for additional form or pathnote</text>
  </threadedComment>
  <threadedComment ref="Q33" dT="2020-09-22T15:02:37.15" personId="{AC51E8DC-BF1C-40B5-8E58-84AE25CE4664}" id="{F87961D2-8E09-46DF-9F2B-04373D6E6315}">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89" priority="60">
      <formula>COUNTBLANK($F3)</formula>
    </cfRule>
  </conditionalFormatting>
  <conditionalFormatting sqref="I7 I27:I32">
    <cfRule type="expression" dxfId="188" priority="58">
      <formula>COUNTBLANK($I7)</formula>
    </cfRule>
  </conditionalFormatting>
  <conditionalFormatting sqref="G3:G32">
    <cfRule type="expression" dxfId="187" priority="50">
      <formula>COUNTBLANK($G3)</formula>
    </cfRule>
  </conditionalFormatting>
  <conditionalFormatting sqref="H3:H32">
    <cfRule type="expression" dxfId="186" priority="49">
      <formula>COUNTBLANK($H3)</formula>
    </cfRule>
  </conditionalFormatting>
  <conditionalFormatting sqref="A3">
    <cfRule type="expression" dxfId="185" priority="40">
      <formula>COUNTBLANK($F3:$H3)</formula>
    </cfRule>
  </conditionalFormatting>
  <conditionalFormatting sqref="I11:I12">
    <cfRule type="expression" dxfId="184" priority="36">
      <formula>COUNTBLANK($I11)</formula>
    </cfRule>
  </conditionalFormatting>
  <conditionalFormatting sqref="I14:I18">
    <cfRule type="expression" dxfId="183" priority="35">
      <formula>COUNTBLANK($I14)</formula>
    </cfRule>
  </conditionalFormatting>
  <conditionalFormatting sqref="K3:K32">
    <cfRule type="expression" dxfId="182" priority="11">
      <formula>COUNTBLANK($K3)</formula>
    </cfRule>
  </conditionalFormatting>
  <conditionalFormatting sqref="A3">
    <cfRule type="expression" dxfId="181" priority="12">
      <formula>$K3="Not Audited"</formula>
    </cfRule>
    <cfRule type="expression" dxfId="180" priority="13">
      <formula>$K3="Not Applicable"</formula>
    </cfRule>
  </conditionalFormatting>
  <conditionalFormatting sqref="A4:A32">
    <cfRule type="expression" dxfId="179" priority="3">
      <formula>COUNTBLANK($F4:$I4)</formula>
    </cfRule>
  </conditionalFormatting>
  <conditionalFormatting sqref="A4:A32">
    <cfRule type="expression" dxfId="178" priority="1">
      <formula>$K4="Not Audited"</formula>
    </cfRule>
    <cfRule type="expression" dxfId="177"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1990F-B0CB-4CF9-89BB-0EE3B1071096}">
  <sheetPr codeName="Sheet5"/>
  <dimension ref="A1:R47"/>
  <sheetViews>
    <sheetView zoomScale="80" zoomScaleNormal="80" workbookViewId="0">
      <pane xSplit="1" ySplit="2" topLeftCell="F20" activePane="bottomRight" state="frozen"/>
      <selection pane="topRight" activeCell="B1" sqref="B1"/>
      <selection pane="bottomLeft" activeCell="A2" sqref="A2"/>
      <selection pane="bottomRight" activeCell="I28" sqref="I28"/>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864</v>
      </c>
      <c r="B1" s="45" t="s">
        <v>865</v>
      </c>
      <c r="D1" s="46" t="s">
        <v>866</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135" x14ac:dyDescent="0.25">
      <c r="A3" s="2" t="s">
        <v>29</v>
      </c>
      <c r="B3" s="1" t="s">
        <v>827</v>
      </c>
      <c r="C3" s="1" t="s">
        <v>424</v>
      </c>
      <c r="D3" s="1" t="s">
        <v>845</v>
      </c>
      <c r="E3" s="1" t="s">
        <v>800</v>
      </c>
      <c r="F3" s="1" t="s">
        <v>904</v>
      </c>
      <c r="G3" s="1" t="s">
        <v>899</v>
      </c>
      <c r="H3" s="1" t="s">
        <v>905</v>
      </c>
      <c r="I3" s="14"/>
      <c r="J3" s="1"/>
      <c r="K3" s="30" t="s">
        <v>148</v>
      </c>
      <c r="L3" s="1"/>
      <c r="M3" s="9"/>
      <c r="N3" s="9"/>
      <c r="O3" s="9"/>
      <c r="P3" s="8" t="s">
        <v>101</v>
      </c>
      <c r="Q3" s="11" t="s">
        <v>35</v>
      </c>
      <c r="R3" s="11" t="s">
        <v>132</v>
      </c>
    </row>
    <row r="4" spans="1:18" s="3" customFormat="1" ht="120" x14ac:dyDescent="0.25">
      <c r="A4" s="2" t="s">
        <v>30</v>
      </c>
      <c r="B4" s="1" t="s">
        <v>827</v>
      </c>
      <c r="C4" s="1" t="s">
        <v>424</v>
      </c>
      <c r="D4" s="1" t="s">
        <v>845</v>
      </c>
      <c r="E4" s="1" t="s">
        <v>800</v>
      </c>
      <c r="F4" s="1" t="s">
        <v>904</v>
      </c>
      <c r="G4" s="1" t="s">
        <v>898</v>
      </c>
      <c r="H4" s="1" t="s">
        <v>905</v>
      </c>
      <c r="I4" s="14"/>
      <c r="J4" s="1"/>
      <c r="K4" s="30" t="s">
        <v>148</v>
      </c>
      <c r="L4" s="1"/>
      <c r="M4" s="9"/>
      <c r="N4" s="9"/>
      <c r="O4" s="9"/>
      <c r="P4" s="8" t="s">
        <v>62</v>
      </c>
      <c r="Q4" s="11" t="s">
        <v>36</v>
      </c>
      <c r="R4" s="11"/>
    </row>
    <row r="5" spans="1:18" s="3" customFormat="1" ht="60" x14ac:dyDescent="0.25">
      <c r="A5" s="2" t="s">
        <v>28</v>
      </c>
      <c r="B5" s="1" t="s">
        <v>827</v>
      </c>
      <c r="C5" s="1" t="s">
        <v>424</v>
      </c>
      <c r="D5" s="1" t="s">
        <v>845</v>
      </c>
      <c r="E5" s="1" t="s">
        <v>800</v>
      </c>
      <c r="F5" s="1" t="s">
        <v>862</v>
      </c>
      <c r="G5" s="1" t="s">
        <v>846</v>
      </c>
      <c r="H5" s="1" t="s">
        <v>863</v>
      </c>
      <c r="I5" s="14"/>
      <c r="J5" s="1"/>
      <c r="K5" s="30" t="s">
        <v>148</v>
      </c>
      <c r="L5" s="1"/>
      <c r="M5" s="9"/>
      <c r="N5" s="9"/>
      <c r="O5" s="9"/>
      <c r="P5" s="8" t="s">
        <v>101</v>
      </c>
      <c r="Q5" s="8" t="s">
        <v>37</v>
      </c>
      <c r="R5" s="11"/>
    </row>
    <row r="6" spans="1:18" s="3" customFormat="1" ht="195" x14ac:dyDescent="0.25">
      <c r="A6" s="2" t="s">
        <v>2</v>
      </c>
      <c r="B6" s="1" t="s">
        <v>827</v>
      </c>
      <c r="C6" s="1" t="s">
        <v>424</v>
      </c>
      <c r="D6" s="1" t="s">
        <v>845</v>
      </c>
      <c r="E6" s="1" t="s">
        <v>800</v>
      </c>
      <c r="F6" s="1"/>
      <c r="G6" s="53" t="s">
        <v>847</v>
      </c>
      <c r="H6" s="1"/>
      <c r="I6" s="1"/>
      <c r="J6" s="1" t="s">
        <v>897</v>
      </c>
      <c r="K6" s="30" t="s">
        <v>840</v>
      </c>
      <c r="L6" s="1"/>
      <c r="M6" s="9"/>
      <c r="N6" s="9"/>
      <c r="O6" s="9"/>
      <c r="P6" s="8" t="s">
        <v>101</v>
      </c>
      <c r="Q6" s="8" t="s">
        <v>32</v>
      </c>
      <c r="R6" s="11" t="s">
        <v>131</v>
      </c>
    </row>
    <row r="7" spans="1:18" s="3" customFormat="1" ht="75" x14ac:dyDescent="0.25">
      <c r="A7" s="2" t="s">
        <v>1</v>
      </c>
      <c r="B7" s="1" t="s">
        <v>827</v>
      </c>
      <c r="C7" s="1" t="s">
        <v>424</v>
      </c>
      <c r="D7" s="1" t="s">
        <v>845</v>
      </c>
      <c r="E7" s="1" t="s">
        <v>800</v>
      </c>
      <c r="F7" s="53" t="s">
        <v>887</v>
      </c>
      <c r="G7" s="1" t="s">
        <v>848</v>
      </c>
      <c r="H7" s="1" t="s">
        <v>914</v>
      </c>
      <c r="I7" s="1">
        <v>5</v>
      </c>
      <c r="J7" s="1"/>
      <c r="K7" s="30" t="s">
        <v>148</v>
      </c>
      <c r="L7" s="1"/>
      <c r="M7" s="9"/>
      <c r="N7" s="9"/>
      <c r="O7" s="9"/>
      <c r="P7" s="8" t="s">
        <v>101</v>
      </c>
      <c r="Q7" s="11" t="s">
        <v>33</v>
      </c>
      <c r="R7" s="11"/>
    </row>
    <row r="8" spans="1:18" s="3" customFormat="1" ht="90" x14ac:dyDescent="0.25">
      <c r="A8" s="2" t="s">
        <v>5</v>
      </c>
      <c r="B8" s="1" t="s">
        <v>827</v>
      </c>
      <c r="C8" s="1" t="s">
        <v>424</v>
      </c>
      <c r="D8" s="1" t="s">
        <v>845</v>
      </c>
      <c r="E8" s="1" t="s">
        <v>800</v>
      </c>
      <c r="F8" s="1"/>
      <c r="G8" s="53" t="s">
        <v>849</v>
      </c>
      <c r="H8" s="1"/>
      <c r="I8" s="1"/>
      <c r="J8" s="13" t="s">
        <v>897</v>
      </c>
      <c r="K8" s="30" t="s">
        <v>840</v>
      </c>
      <c r="L8" s="1"/>
      <c r="M8" s="9"/>
      <c r="N8" s="9"/>
      <c r="O8" s="9"/>
      <c r="P8" s="8" t="s">
        <v>101</v>
      </c>
      <c r="Q8" s="8" t="s">
        <v>43</v>
      </c>
      <c r="R8" s="11" t="s">
        <v>140</v>
      </c>
    </row>
    <row r="9" spans="1:18" s="3" customFormat="1" ht="105" x14ac:dyDescent="0.25">
      <c r="A9" s="2" t="s">
        <v>17</v>
      </c>
      <c r="B9" s="1" t="s">
        <v>827</v>
      </c>
      <c r="C9" s="1" t="s">
        <v>424</v>
      </c>
      <c r="D9" s="1" t="s">
        <v>845</v>
      </c>
      <c r="E9" s="1" t="s">
        <v>800</v>
      </c>
      <c r="F9" s="1" t="s">
        <v>903</v>
      </c>
      <c r="G9" s="1" t="s">
        <v>850</v>
      </c>
      <c r="H9" s="1" t="s">
        <v>902</v>
      </c>
      <c r="I9" s="1">
        <v>4</v>
      </c>
      <c r="J9" s="13" t="s">
        <v>901</v>
      </c>
      <c r="K9" s="30" t="s">
        <v>148</v>
      </c>
      <c r="L9" s="1"/>
      <c r="M9" s="9"/>
      <c r="N9" s="9"/>
      <c r="O9" s="9"/>
      <c r="P9" s="8" t="s">
        <v>101</v>
      </c>
      <c r="Q9" s="8" t="s">
        <v>34</v>
      </c>
      <c r="R9" s="11"/>
    </row>
    <row r="10" spans="1:18" s="3" customFormat="1" ht="30" x14ac:dyDescent="0.25">
      <c r="A10" s="2" t="s">
        <v>16</v>
      </c>
      <c r="B10" s="1" t="s">
        <v>827</v>
      </c>
      <c r="C10" s="1" t="s">
        <v>424</v>
      </c>
      <c r="D10" s="1" t="s">
        <v>845</v>
      </c>
      <c r="E10" s="1" t="s">
        <v>800</v>
      </c>
      <c r="F10" s="1"/>
      <c r="G10" s="1"/>
      <c r="H10" s="1"/>
      <c r="I10" s="31"/>
      <c r="J10" s="13"/>
      <c r="K10" s="30" t="s">
        <v>841</v>
      </c>
      <c r="L10" s="1"/>
      <c r="M10" s="9"/>
      <c r="N10" s="9"/>
      <c r="O10" s="9"/>
      <c r="P10" s="8" t="s">
        <v>101</v>
      </c>
      <c r="Q10" s="8" t="s">
        <v>38</v>
      </c>
      <c r="R10" s="11">
        <v>4.5</v>
      </c>
    </row>
    <row r="11" spans="1:18" s="3" customFormat="1" ht="105" x14ac:dyDescent="0.25">
      <c r="A11" s="2" t="s">
        <v>4</v>
      </c>
      <c r="B11" s="1" t="s">
        <v>827</v>
      </c>
      <c r="C11" s="1" t="s">
        <v>424</v>
      </c>
      <c r="D11" s="1" t="s">
        <v>845</v>
      </c>
      <c r="E11" s="1" t="s">
        <v>800</v>
      </c>
      <c r="F11" s="1"/>
      <c r="G11" s="1" t="s">
        <v>851</v>
      </c>
      <c r="H11" s="1"/>
      <c r="I11" s="1"/>
      <c r="J11" s="13" t="s">
        <v>897</v>
      </c>
      <c r="K11" s="30" t="s">
        <v>840</v>
      </c>
      <c r="L11" s="1"/>
      <c r="M11" s="9"/>
      <c r="N11" s="9"/>
      <c r="O11" s="9"/>
      <c r="P11" s="7" t="s">
        <v>62</v>
      </c>
      <c r="Q11" s="7" t="s">
        <v>39</v>
      </c>
      <c r="R11" s="11"/>
    </row>
    <row r="12" spans="1:18" s="3" customFormat="1" ht="105" x14ac:dyDescent="0.25">
      <c r="A12" s="2" t="s">
        <v>7</v>
      </c>
      <c r="B12" s="1" t="s">
        <v>827</v>
      </c>
      <c r="C12" s="1" t="s">
        <v>424</v>
      </c>
      <c r="D12" s="1" t="s">
        <v>845</v>
      </c>
      <c r="E12" s="1" t="s">
        <v>800</v>
      </c>
      <c r="F12" s="1" t="s">
        <v>906</v>
      </c>
      <c r="G12" s="1" t="s">
        <v>852</v>
      </c>
      <c r="H12" s="1" t="s">
        <v>907</v>
      </c>
      <c r="I12" s="1">
        <v>7</v>
      </c>
      <c r="J12" s="13"/>
      <c r="K12" s="30" t="s">
        <v>148</v>
      </c>
      <c r="L12" s="1"/>
      <c r="M12" s="9"/>
      <c r="N12" s="9"/>
      <c r="O12" s="9"/>
      <c r="P12" s="8" t="s">
        <v>101</v>
      </c>
      <c r="Q12" s="12" t="s">
        <v>40</v>
      </c>
      <c r="R12" s="11"/>
    </row>
    <row r="13" spans="1:18" s="3" customFormat="1" ht="60" x14ac:dyDescent="0.25">
      <c r="A13" s="2" t="s">
        <v>19</v>
      </c>
      <c r="B13" s="1" t="s">
        <v>827</v>
      </c>
      <c r="C13" s="1" t="s">
        <v>424</v>
      </c>
      <c r="D13" s="1" t="s">
        <v>845</v>
      </c>
      <c r="E13" s="1" t="s">
        <v>800</v>
      </c>
      <c r="F13" s="1" t="s">
        <v>862</v>
      </c>
      <c r="G13" s="1" t="s">
        <v>853</v>
      </c>
      <c r="H13" s="1" t="s">
        <v>908</v>
      </c>
      <c r="I13" s="1">
        <v>3</v>
      </c>
      <c r="J13" s="1"/>
      <c r="K13" s="30" t="s">
        <v>148</v>
      </c>
      <c r="L13" s="1"/>
      <c r="M13" s="9"/>
      <c r="N13" s="9"/>
      <c r="O13" s="9"/>
      <c r="P13" s="8" t="s">
        <v>101</v>
      </c>
      <c r="Q13" s="8" t="s">
        <v>50</v>
      </c>
      <c r="R13" s="11" t="s">
        <v>135</v>
      </c>
    </row>
    <row r="14" spans="1:18" s="3" customFormat="1" ht="30" x14ac:dyDescent="0.25">
      <c r="A14" s="2" t="s">
        <v>9</v>
      </c>
      <c r="B14" s="1" t="s">
        <v>827</v>
      </c>
      <c r="C14" s="1" t="s">
        <v>424</v>
      </c>
      <c r="D14" s="1" t="s">
        <v>845</v>
      </c>
      <c r="E14" s="1" t="s">
        <v>800</v>
      </c>
      <c r="F14" s="1"/>
      <c r="G14" s="1"/>
      <c r="H14" s="1"/>
      <c r="I14" s="14"/>
      <c r="J14" s="1" t="s">
        <v>897</v>
      </c>
      <c r="K14" s="30" t="s">
        <v>840</v>
      </c>
      <c r="L14" s="1"/>
      <c r="M14" s="9"/>
      <c r="N14" s="9"/>
      <c r="O14" s="9"/>
      <c r="P14" s="8" t="s">
        <v>101</v>
      </c>
      <c r="Q14" s="8" t="s">
        <v>42</v>
      </c>
      <c r="R14" s="11"/>
    </row>
    <row r="15" spans="1:18" s="3" customFormat="1" ht="90" x14ac:dyDescent="0.25">
      <c r="A15" s="2" t="s">
        <v>10</v>
      </c>
      <c r="B15" s="1" t="s">
        <v>827</v>
      </c>
      <c r="C15" s="1" t="s">
        <v>424</v>
      </c>
      <c r="D15" s="1" t="s">
        <v>845</v>
      </c>
      <c r="E15" s="1" t="s">
        <v>800</v>
      </c>
      <c r="F15" s="1" t="s">
        <v>875</v>
      </c>
      <c r="G15" s="1" t="s">
        <v>854</v>
      </c>
      <c r="H15" s="1" t="s">
        <v>894</v>
      </c>
      <c r="I15" s="14"/>
      <c r="J15" s="1" t="s">
        <v>895</v>
      </c>
      <c r="K15" s="30" t="s">
        <v>148</v>
      </c>
      <c r="L15" s="1"/>
      <c r="M15" s="9"/>
      <c r="N15" s="9"/>
      <c r="O15" s="9"/>
      <c r="P15" s="8" t="s">
        <v>101</v>
      </c>
      <c r="Q15" s="8" t="s">
        <v>41</v>
      </c>
      <c r="R15" s="11"/>
    </row>
    <row r="16" spans="1:18" s="3" customFormat="1" ht="135" x14ac:dyDescent="0.25">
      <c r="A16" s="2" t="s">
        <v>11</v>
      </c>
      <c r="B16" s="1" t="s">
        <v>827</v>
      </c>
      <c r="C16" s="1" t="s">
        <v>424</v>
      </c>
      <c r="D16" s="1" t="s">
        <v>845</v>
      </c>
      <c r="E16" s="1" t="s">
        <v>800</v>
      </c>
      <c r="F16" s="1" t="s">
        <v>875</v>
      </c>
      <c r="G16" s="1" t="s">
        <v>854</v>
      </c>
      <c r="H16" s="1" t="s">
        <v>893</v>
      </c>
      <c r="I16" s="14"/>
      <c r="J16" s="1" t="s">
        <v>896</v>
      </c>
      <c r="K16" s="30" t="s">
        <v>148</v>
      </c>
      <c r="L16" s="1"/>
      <c r="M16" s="9"/>
      <c r="N16" s="9"/>
      <c r="O16" s="9"/>
      <c r="P16" s="8" t="s">
        <v>101</v>
      </c>
      <c r="Q16" s="8" t="s">
        <v>44</v>
      </c>
      <c r="R16" s="11"/>
    </row>
    <row r="17" spans="1:18" s="3" customFormat="1" ht="90" x14ac:dyDescent="0.25">
      <c r="A17" s="2" t="s">
        <v>12</v>
      </c>
      <c r="B17" s="1" t="s">
        <v>827</v>
      </c>
      <c r="C17" s="1" t="s">
        <v>424</v>
      </c>
      <c r="D17" s="1" t="s">
        <v>845</v>
      </c>
      <c r="E17" s="1" t="s">
        <v>800</v>
      </c>
      <c r="F17" s="1" t="s">
        <v>872</v>
      </c>
      <c r="G17" s="1" t="s">
        <v>855</v>
      </c>
      <c r="H17" s="1" t="s">
        <v>871</v>
      </c>
      <c r="I17" s="14"/>
      <c r="J17" s="1" t="s">
        <v>870</v>
      </c>
      <c r="K17" s="30" t="s">
        <v>148</v>
      </c>
      <c r="L17" s="1"/>
      <c r="M17" s="9"/>
      <c r="N17" s="9"/>
      <c r="O17" s="9"/>
      <c r="P17" s="8" t="s">
        <v>101</v>
      </c>
      <c r="Q17" s="8" t="s">
        <v>45</v>
      </c>
      <c r="R17" s="11" t="s">
        <v>138</v>
      </c>
    </row>
    <row r="18" spans="1:18" s="3" customFormat="1" ht="45" x14ac:dyDescent="0.25">
      <c r="A18" s="2" t="s">
        <v>13</v>
      </c>
      <c r="B18" s="1" t="s">
        <v>827</v>
      </c>
      <c r="C18" s="1" t="s">
        <v>424</v>
      </c>
      <c r="D18" s="1" t="s">
        <v>845</v>
      </c>
      <c r="E18" s="1" t="s">
        <v>800</v>
      </c>
      <c r="F18" s="1" t="s">
        <v>888</v>
      </c>
      <c r="G18" s="1" t="s">
        <v>889</v>
      </c>
      <c r="H18" s="55" t="s">
        <v>892</v>
      </c>
      <c r="I18" s="14"/>
      <c r="J18" s="1" t="s">
        <v>890</v>
      </c>
      <c r="K18" s="30" t="s">
        <v>148</v>
      </c>
      <c r="L18" s="1"/>
      <c r="M18" s="9"/>
      <c r="N18" s="9"/>
      <c r="O18" s="9"/>
      <c r="P18" s="8" t="s">
        <v>101</v>
      </c>
      <c r="Q18" s="8" t="s">
        <v>51</v>
      </c>
      <c r="R18" s="11"/>
    </row>
    <row r="19" spans="1:18" s="3" customFormat="1" ht="90" x14ac:dyDescent="0.25">
      <c r="A19" s="2" t="s">
        <v>21</v>
      </c>
      <c r="B19" s="1" t="s">
        <v>827</v>
      </c>
      <c r="C19" s="1" t="s">
        <v>424</v>
      </c>
      <c r="D19" s="1" t="s">
        <v>845</v>
      </c>
      <c r="E19" s="1" t="s">
        <v>800</v>
      </c>
      <c r="F19" s="1" t="s">
        <v>872</v>
      </c>
      <c r="G19" s="54" t="s">
        <v>856</v>
      </c>
      <c r="H19" s="1" t="s">
        <v>873</v>
      </c>
      <c r="I19" s="14"/>
      <c r="J19" s="1" t="s">
        <v>874</v>
      </c>
      <c r="K19" s="30" t="s">
        <v>148</v>
      </c>
      <c r="L19" s="1"/>
      <c r="M19" s="9"/>
      <c r="N19" s="9"/>
      <c r="O19" s="9"/>
      <c r="P19" s="7" t="s">
        <v>62</v>
      </c>
      <c r="Q19" s="7" t="s">
        <v>52</v>
      </c>
      <c r="R19" s="11"/>
    </row>
    <row r="20" spans="1:18" s="3" customFormat="1" ht="30" x14ac:dyDescent="0.25">
      <c r="A20" s="2" t="s">
        <v>6</v>
      </c>
      <c r="B20" s="1" t="s">
        <v>827</v>
      </c>
      <c r="C20" s="1" t="s">
        <v>424</v>
      </c>
      <c r="D20" s="1" t="s">
        <v>845</v>
      </c>
      <c r="E20" s="1" t="s">
        <v>800</v>
      </c>
      <c r="F20" s="1"/>
      <c r="G20" s="1"/>
      <c r="H20" s="1"/>
      <c r="I20" s="14"/>
      <c r="J20" s="1"/>
      <c r="K20" s="30" t="s">
        <v>841</v>
      </c>
      <c r="L20" s="1"/>
      <c r="M20" s="9"/>
      <c r="N20" s="9"/>
      <c r="O20" s="9"/>
      <c r="P20" s="8" t="s">
        <v>101</v>
      </c>
      <c r="Q20" s="8" t="s">
        <v>46</v>
      </c>
      <c r="R20" s="11"/>
    </row>
    <row r="21" spans="1:18" s="3" customFormat="1" ht="60" x14ac:dyDescent="0.25">
      <c r="A21" s="2" t="s">
        <v>3</v>
      </c>
      <c r="B21" s="1" t="s">
        <v>827</v>
      </c>
      <c r="C21" s="1" t="s">
        <v>424</v>
      </c>
      <c r="D21" s="1" t="s">
        <v>845</v>
      </c>
      <c r="E21" s="1" t="s">
        <v>800</v>
      </c>
      <c r="F21" s="1" t="s">
        <v>862</v>
      </c>
      <c r="G21" s="1" t="s">
        <v>910</v>
      </c>
      <c r="H21" s="1" t="s">
        <v>913</v>
      </c>
      <c r="I21" s="14"/>
      <c r="J21" s="1"/>
      <c r="K21" s="30" t="s">
        <v>148</v>
      </c>
      <c r="L21" s="1"/>
      <c r="M21" s="9"/>
      <c r="N21" s="9"/>
      <c r="O21" s="9"/>
      <c r="P21" s="8" t="s">
        <v>101</v>
      </c>
      <c r="Q21" s="8" t="s">
        <v>53</v>
      </c>
      <c r="R21" s="11" t="s">
        <v>133</v>
      </c>
    </row>
    <row r="22" spans="1:18" s="3" customFormat="1" ht="60" x14ac:dyDescent="0.25">
      <c r="A22" s="2" t="s">
        <v>18</v>
      </c>
      <c r="B22" s="1" t="s">
        <v>827</v>
      </c>
      <c r="C22" s="1" t="s">
        <v>424</v>
      </c>
      <c r="D22" s="1" t="s">
        <v>845</v>
      </c>
      <c r="E22" s="1" t="s">
        <v>800</v>
      </c>
      <c r="F22" s="1" t="s">
        <v>862</v>
      </c>
      <c r="G22" s="1" t="s">
        <v>857</v>
      </c>
      <c r="H22" s="1" t="s">
        <v>912</v>
      </c>
      <c r="I22" s="14"/>
      <c r="J22" s="1"/>
      <c r="K22" s="30" t="s">
        <v>148</v>
      </c>
      <c r="L22" s="1"/>
      <c r="M22" s="9"/>
      <c r="N22" s="9"/>
      <c r="O22" s="9"/>
      <c r="P22" s="8" t="s">
        <v>62</v>
      </c>
      <c r="Q22" s="8" t="s">
        <v>47</v>
      </c>
      <c r="R22" s="11" t="s">
        <v>139</v>
      </c>
    </row>
    <row r="23" spans="1:18" s="3" customFormat="1" ht="75" x14ac:dyDescent="0.25">
      <c r="A23" s="2" t="s">
        <v>8</v>
      </c>
      <c r="B23" s="1" t="s">
        <v>827</v>
      </c>
      <c r="C23" s="1" t="s">
        <v>424</v>
      </c>
      <c r="D23" s="1" t="s">
        <v>845</v>
      </c>
      <c r="E23" s="1" t="s">
        <v>800</v>
      </c>
      <c r="F23" s="1" t="s">
        <v>862</v>
      </c>
      <c r="G23" s="1" t="s">
        <v>858</v>
      </c>
      <c r="H23" s="1" t="s">
        <v>909</v>
      </c>
      <c r="I23" s="14"/>
      <c r="J23" s="1"/>
      <c r="K23" s="30" t="s">
        <v>148</v>
      </c>
      <c r="L23" s="1"/>
      <c r="M23" s="9"/>
      <c r="N23" s="9"/>
      <c r="O23" s="9"/>
      <c r="P23" s="8" t="s">
        <v>62</v>
      </c>
      <c r="Q23" s="8" t="s">
        <v>31</v>
      </c>
      <c r="R23" s="11"/>
    </row>
    <row r="24" spans="1:18" s="3" customFormat="1" ht="75" x14ac:dyDescent="0.25">
      <c r="A24" s="2" t="s">
        <v>14</v>
      </c>
      <c r="B24" s="1" t="s">
        <v>827</v>
      </c>
      <c r="C24" s="1" t="s">
        <v>424</v>
      </c>
      <c r="D24" s="1" t="s">
        <v>845</v>
      </c>
      <c r="E24" s="1" t="s">
        <v>800</v>
      </c>
      <c r="F24" s="1" t="s">
        <v>862</v>
      </c>
      <c r="G24" s="1" t="s">
        <v>859</v>
      </c>
      <c r="H24" s="1" t="s">
        <v>915</v>
      </c>
      <c r="I24" s="14"/>
      <c r="J24" s="1"/>
      <c r="K24" s="30" t="s">
        <v>148</v>
      </c>
      <c r="L24" s="1"/>
      <c r="M24" s="9"/>
      <c r="N24" s="9"/>
      <c r="O24" s="9"/>
      <c r="P24" s="8" t="s">
        <v>62</v>
      </c>
      <c r="Q24" s="8" t="s">
        <v>48</v>
      </c>
      <c r="R24" s="11"/>
    </row>
    <row r="25" spans="1:18" s="3" customFormat="1" ht="30" x14ac:dyDescent="0.25">
      <c r="A25" s="2" t="s">
        <v>0</v>
      </c>
      <c r="B25" s="1" t="s">
        <v>827</v>
      </c>
      <c r="C25" s="1" t="s">
        <v>424</v>
      </c>
      <c r="D25" s="1" t="s">
        <v>845</v>
      </c>
      <c r="E25" s="1" t="s">
        <v>800</v>
      </c>
      <c r="F25" s="1"/>
      <c r="G25" s="1"/>
      <c r="H25" s="1"/>
      <c r="I25" s="14"/>
      <c r="J25" s="1" t="s">
        <v>844</v>
      </c>
      <c r="K25" s="30" t="s">
        <v>840</v>
      </c>
      <c r="L25" s="52"/>
      <c r="M25" s="9"/>
      <c r="N25" s="9"/>
      <c r="O25" s="9"/>
      <c r="P25" s="8" t="s">
        <v>62</v>
      </c>
      <c r="Q25" s="8" t="s">
        <v>49</v>
      </c>
      <c r="R25" s="11"/>
    </row>
    <row r="26" spans="1:18" s="3" customFormat="1" ht="105" x14ac:dyDescent="0.25">
      <c r="A26" s="2" t="s">
        <v>54</v>
      </c>
      <c r="B26" s="1" t="s">
        <v>827</v>
      </c>
      <c r="C26" s="1" t="s">
        <v>424</v>
      </c>
      <c r="D26" s="1" t="s">
        <v>845</v>
      </c>
      <c r="E26" s="1" t="s">
        <v>800</v>
      </c>
      <c r="F26" s="1" t="s">
        <v>862</v>
      </c>
      <c r="G26" s="1" t="s">
        <v>911</v>
      </c>
      <c r="H26" s="1" t="s">
        <v>900</v>
      </c>
      <c r="I26" s="14"/>
      <c r="J26" s="1"/>
      <c r="K26" s="30" t="s">
        <v>148</v>
      </c>
      <c r="L26" s="1"/>
      <c r="M26" s="9"/>
      <c r="N26" s="9"/>
      <c r="O26" s="9"/>
      <c r="P26" s="8" t="s">
        <v>101</v>
      </c>
      <c r="Q26" s="8" t="s">
        <v>55</v>
      </c>
      <c r="R26" s="11"/>
    </row>
    <row r="27" spans="1:18" s="3" customFormat="1" ht="90" x14ac:dyDescent="0.25">
      <c r="A27" s="2" t="s">
        <v>15</v>
      </c>
      <c r="B27" s="1" t="s">
        <v>827</v>
      </c>
      <c r="C27" s="1" t="s">
        <v>424</v>
      </c>
      <c r="D27" s="1" t="s">
        <v>845</v>
      </c>
      <c r="E27" s="1" t="s">
        <v>800</v>
      </c>
      <c r="F27" s="1" t="s">
        <v>862</v>
      </c>
      <c r="G27" s="1" t="s">
        <v>867</v>
      </c>
      <c r="H27" s="1" t="s">
        <v>868</v>
      </c>
      <c r="I27" s="14"/>
      <c r="J27" s="1" t="s">
        <v>869</v>
      </c>
      <c r="K27" s="30" t="s">
        <v>148</v>
      </c>
      <c r="L27" s="1"/>
      <c r="M27" s="9"/>
      <c r="N27" s="9"/>
      <c r="O27" s="9"/>
      <c r="P27" s="8" t="s">
        <v>101</v>
      </c>
      <c r="Q27" s="8" t="s">
        <v>56</v>
      </c>
      <c r="R27" s="11"/>
    </row>
    <row r="28" spans="1:18" s="3" customFormat="1" ht="105" x14ac:dyDescent="0.25">
      <c r="A28" s="2" t="s">
        <v>20</v>
      </c>
      <c r="B28" s="1" t="s">
        <v>827</v>
      </c>
      <c r="C28" s="1" t="s">
        <v>424</v>
      </c>
      <c r="D28" s="1" t="s">
        <v>845</v>
      </c>
      <c r="E28" s="1" t="s">
        <v>800</v>
      </c>
      <c r="F28" s="1" t="s">
        <v>876</v>
      </c>
      <c r="G28" s="1" t="s">
        <v>879</v>
      </c>
      <c r="H28" s="1" t="s">
        <v>878</v>
      </c>
      <c r="I28" s="1">
        <v>1</v>
      </c>
      <c r="J28" s="13" t="s">
        <v>877</v>
      </c>
      <c r="K28" s="30" t="s">
        <v>148</v>
      </c>
      <c r="L28" s="1"/>
      <c r="M28" s="9"/>
      <c r="N28" s="9"/>
      <c r="O28" s="9"/>
      <c r="P28" s="8" t="s">
        <v>101</v>
      </c>
      <c r="Q28" s="8" t="s">
        <v>57</v>
      </c>
      <c r="R28" s="11" t="s">
        <v>134</v>
      </c>
    </row>
    <row r="29" spans="1:18" s="3" customFormat="1" ht="105" x14ac:dyDescent="0.25">
      <c r="A29" s="2" t="s">
        <v>20</v>
      </c>
      <c r="B29" s="1" t="s">
        <v>827</v>
      </c>
      <c r="C29" s="1" t="s">
        <v>424</v>
      </c>
      <c r="D29" s="1" t="s">
        <v>845</v>
      </c>
      <c r="E29" s="1" t="s">
        <v>800</v>
      </c>
      <c r="F29" s="1" t="s">
        <v>880</v>
      </c>
      <c r="G29" s="1" t="s">
        <v>886</v>
      </c>
      <c r="H29" s="1" t="s">
        <v>881</v>
      </c>
      <c r="I29" s="1">
        <v>1</v>
      </c>
      <c r="J29" s="13" t="s">
        <v>891</v>
      </c>
      <c r="K29" s="30" t="s">
        <v>148</v>
      </c>
      <c r="L29" s="1"/>
      <c r="M29" s="9"/>
      <c r="N29" s="9"/>
      <c r="O29" s="9"/>
      <c r="P29" s="8" t="s">
        <v>101</v>
      </c>
      <c r="Q29" s="8" t="s">
        <v>57</v>
      </c>
      <c r="R29" s="11" t="s">
        <v>134</v>
      </c>
    </row>
    <row r="30" spans="1:18" s="3" customFormat="1" ht="105" x14ac:dyDescent="0.25">
      <c r="A30" s="2" t="s">
        <v>20</v>
      </c>
      <c r="B30" s="1" t="s">
        <v>827</v>
      </c>
      <c r="C30" s="1" t="s">
        <v>424</v>
      </c>
      <c r="D30" s="1" t="s">
        <v>845</v>
      </c>
      <c r="E30" s="1" t="s">
        <v>800</v>
      </c>
      <c r="F30" s="1" t="s">
        <v>882</v>
      </c>
      <c r="G30" s="1" t="s">
        <v>885</v>
      </c>
      <c r="H30" s="1" t="s">
        <v>883</v>
      </c>
      <c r="I30" s="1">
        <v>1</v>
      </c>
      <c r="J30" s="13" t="s">
        <v>884</v>
      </c>
      <c r="K30" s="30" t="s">
        <v>148</v>
      </c>
      <c r="L30" s="1"/>
      <c r="M30" s="9"/>
      <c r="N30" s="9"/>
      <c r="O30" s="9"/>
      <c r="P30" s="8" t="s">
        <v>101</v>
      </c>
      <c r="Q30" s="8" t="s">
        <v>57</v>
      </c>
      <c r="R30" s="11" t="s">
        <v>134</v>
      </c>
    </row>
    <row r="31" spans="1:18" s="3" customFormat="1" ht="15.75" x14ac:dyDescent="0.25">
      <c r="A31" s="2"/>
      <c r="B31" s="1"/>
      <c r="C31" s="1"/>
      <c r="D31" s="1"/>
      <c r="E31" s="1"/>
      <c r="F31" s="1"/>
      <c r="G31" s="1"/>
      <c r="H31" s="1"/>
      <c r="I31" s="1"/>
      <c r="J31" s="1"/>
      <c r="K31" s="30"/>
      <c r="L31" s="1"/>
      <c r="M31" s="9"/>
      <c r="N31" s="9"/>
      <c r="O31" s="9"/>
      <c r="R31" s="11"/>
    </row>
    <row r="32" spans="1:18" s="3" customFormat="1" ht="15.75" x14ac:dyDescent="0.25">
      <c r="A32" s="2"/>
      <c r="B32" s="1"/>
      <c r="C32" s="1"/>
      <c r="D32" s="1"/>
      <c r="E32" s="1"/>
      <c r="F32" s="1"/>
      <c r="G32" s="1"/>
      <c r="H32" s="1"/>
      <c r="I32" s="1"/>
      <c r="J32" s="1"/>
      <c r="K32" s="30"/>
      <c r="L32" s="1"/>
      <c r="M32" s="9"/>
      <c r="N32" s="9"/>
      <c r="O32" s="9"/>
      <c r="R32" s="11"/>
    </row>
    <row r="33" spans="1:18" s="3" customFormat="1" ht="15.75" x14ac:dyDescent="0.25">
      <c r="A33" s="2"/>
      <c r="B33" s="1"/>
      <c r="C33" s="1"/>
      <c r="D33" s="1"/>
      <c r="E33" s="1"/>
      <c r="F33" s="1"/>
      <c r="G33" s="1"/>
      <c r="H33" s="1"/>
      <c r="I33" s="1"/>
      <c r="J33" s="1"/>
      <c r="K33" s="30"/>
      <c r="L33" s="1"/>
      <c r="M33" s="9"/>
      <c r="N33" s="9"/>
      <c r="O33" s="9"/>
      <c r="R33" s="11"/>
    </row>
    <row r="34" spans="1:18" s="3" customFormat="1" ht="15.75" x14ac:dyDescent="0.25">
      <c r="A34" s="2"/>
      <c r="B34" s="1"/>
      <c r="C34" s="1"/>
      <c r="D34" s="1"/>
      <c r="E34" s="1"/>
      <c r="F34" s="1"/>
      <c r="G34" s="1"/>
      <c r="H34" s="1"/>
      <c r="I34" s="1"/>
      <c r="J34" s="1"/>
      <c r="K34" s="30"/>
      <c r="L34" s="1"/>
      <c r="M34" s="9"/>
      <c r="N34" s="9"/>
      <c r="O34" s="9"/>
      <c r="R34" s="11"/>
    </row>
    <row r="35" spans="1:18" s="3" customFormat="1" ht="15.75" x14ac:dyDescent="0.25">
      <c r="A35" s="2"/>
      <c r="B35" s="1"/>
      <c r="C35" s="1"/>
      <c r="D35" s="1"/>
      <c r="E35" s="1"/>
      <c r="F35" s="1"/>
      <c r="G35" s="1"/>
      <c r="H35" s="1"/>
      <c r="I35" s="1"/>
      <c r="J35" s="1"/>
      <c r="K35" s="30"/>
      <c r="L35" s="30"/>
      <c r="M35" s="9"/>
      <c r="N35" s="9"/>
      <c r="O35" s="9"/>
      <c r="Q35" s="7"/>
      <c r="R35" s="11"/>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sheetData>
  <conditionalFormatting sqref="F3:F4 F29:F30">
    <cfRule type="expression" dxfId="170" priority="55">
      <formula>COUNTBLANK($F3)</formula>
    </cfRule>
  </conditionalFormatting>
  <conditionalFormatting sqref="H3:H4 H29:H30">
    <cfRule type="expression" dxfId="169" priority="54">
      <formula>COUNTBLANK($H3)</formula>
    </cfRule>
  </conditionalFormatting>
  <conditionalFormatting sqref="F6:F28">
    <cfRule type="expression" dxfId="168" priority="53">
      <formula>COUNTBLANK($F6)</formula>
    </cfRule>
  </conditionalFormatting>
  <conditionalFormatting sqref="G28:G30">
    <cfRule type="expression" dxfId="167" priority="52">
      <formula>COUNTBLANK($G28)</formula>
    </cfRule>
  </conditionalFormatting>
  <conditionalFormatting sqref="H5:H28">
    <cfRule type="expression" dxfId="166" priority="51">
      <formula>COUNTBLANK($H5)</formula>
    </cfRule>
  </conditionalFormatting>
  <conditionalFormatting sqref="I6 I29:I30">
    <cfRule type="expression" dxfId="165" priority="50">
      <formula>COUNTBLANK($I6)</formula>
    </cfRule>
  </conditionalFormatting>
  <conditionalFormatting sqref="I7:I9">
    <cfRule type="expression" dxfId="164" priority="49">
      <formula>COUNTBLANK($I7)</formula>
    </cfRule>
  </conditionalFormatting>
  <conditionalFormatting sqref="I11:I13">
    <cfRule type="expression" dxfId="163" priority="48">
      <formula>COUNTBLANK($I11)</formula>
    </cfRule>
  </conditionalFormatting>
  <conditionalFormatting sqref="I28">
    <cfRule type="expression" dxfId="162" priority="47">
      <formula>COUNTBLANK($I28)</formula>
    </cfRule>
  </conditionalFormatting>
  <conditionalFormatting sqref="K3:K30">
    <cfRule type="expression" dxfId="161" priority="36">
      <formula>COUNTBLANK($K3)</formula>
    </cfRule>
  </conditionalFormatting>
  <conditionalFormatting sqref="A6:A9 A11:A13 A28:A30">
    <cfRule type="expression" dxfId="160" priority="35">
      <formula>COUNTBLANK($F6:$I6)</formula>
    </cfRule>
  </conditionalFormatting>
  <conditionalFormatting sqref="A6:A9 A11:A13 A28:A30">
    <cfRule type="expression" dxfId="159" priority="33">
      <formula>$K6="Not Audited"</formula>
    </cfRule>
    <cfRule type="expression" dxfId="158" priority="34">
      <formula>$K6="Not Applicable"</formula>
    </cfRule>
  </conditionalFormatting>
  <conditionalFormatting sqref="A10">
    <cfRule type="expression" dxfId="157" priority="32">
      <formula>COUNTBLANK($F10:$H10)</formula>
    </cfRule>
  </conditionalFormatting>
  <conditionalFormatting sqref="A10">
    <cfRule type="expression" dxfId="156" priority="30">
      <formula>$K10="Not Audited"</formula>
    </cfRule>
    <cfRule type="expression" dxfId="155" priority="31">
      <formula>$K10="Not Applicable"</formula>
    </cfRule>
  </conditionalFormatting>
  <conditionalFormatting sqref="A15">
    <cfRule type="expression" dxfId="154" priority="29">
      <formula>COUNTBLANK($F15:$H15)</formula>
    </cfRule>
  </conditionalFormatting>
  <conditionalFormatting sqref="A15">
    <cfRule type="expression" dxfId="153" priority="27">
      <formula>$K15="Not Audited"</formula>
    </cfRule>
    <cfRule type="expression" dxfId="152" priority="28">
      <formula>$K15="Not Applicable"</formula>
    </cfRule>
  </conditionalFormatting>
  <conditionalFormatting sqref="A14">
    <cfRule type="expression" dxfId="151" priority="26">
      <formula>COUNTBLANK($F14:$H14)</formula>
    </cfRule>
  </conditionalFormatting>
  <conditionalFormatting sqref="A14">
    <cfRule type="expression" dxfId="150" priority="24">
      <formula>$K14="Not Audited"</formula>
    </cfRule>
    <cfRule type="expression" dxfId="149" priority="25">
      <formula>$K14="Not Applicable"</formula>
    </cfRule>
  </conditionalFormatting>
  <conditionalFormatting sqref="A16:A17">
    <cfRule type="expression" dxfId="148" priority="23">
      <formula>COUNTBLANK($F16:$H16)</formula>
    </cfRule>
  </conditionalFormatting>
  <conditionalFormatting sqref="A16:A17">
    <cfRule type="expression" dxfId="147" priority="21">
      <formula>$K16="Not Audited"</formula>
    </cfRule>
    <cfRule type="expression" dxfId="146" priority="22">
      <formula>$K16="Not Applicable"</formula>
    </cfRule>
  </conditionalFormatting>
  <conditionalFormatting sqref="A18">
    <cfRule type="expression" dxfId="145" priority="20">
      <formula>COUNTBLANK($F18:$H18)</formula>
    </cfRule>
  </conditionalFormatting>
  <conditionalFormatting sqref="A18">
    <cfRule type="expression" dxfId="144" priority="18">
      <formula>$K18="Not Audited"</formula>
    </cfRule>
    <cfRule type="expression" dxfId="143" priority="19">
      <formula>$K18="Not Applicable"</formula>
    </cfRule>
  </conditionalFormatting>
  <conditionalFormatting sqref="A19:A21">
    <cfRule type="expression" dxfId="142" priority="17">
      <formula>COUNTBLANK($F19:$H19)</formula>
    </cfRule>
  </conditionalFormatting>
  <conditionalFormatting sqref="A19:A21">
    <cfRule type="expression" dxfId="141" priority="15">
      <formula>$K19="Not Audited"</formula>
    </cfRule>
    <cfRule type="expression" dxfId="140" priority="16">
      <formula>$K19="Not Applicable"</formula>
    </cfRule>
  </conditionalFormatting>
  <conditionalFormatting sqref="A22:A24">
    <cfRule type="expression" dxfId="139" priority="14">
      <formula>COUNTBLANK($F22:$H22)</formula>
    </cfRule>
  </conditionalFormatting>
  <conditionalFormatting sqref="A22:A24">
    <cfRule type="expression" dxfId="138" priority="12">
      <formula>$K22="Not Audited"</formula>
    </cfRule>
    <cfRule type="expression" dxfId="137" priority="13">
      <formula>$K22="Not Applicable"</formula>
    </cfRule>
  </conditionalFormatting>
  <conditionalFormatting sqref="A25:A27">
    <cfRule type="expression" dxfId="136" priority="11">
      <formula>COUNTBLANK($F25:$H25)</formula>
    </cfRule>
  </conditionalFormatting>
  <conditionalFormatting sqref="A25:A27">
    <cfRule type="expression" dxfId="135" priority="9">
      <formula>$K25="Not Audited"</formula>
    </cfRule>
    <cfRule type="expression" dxfId="134" priority="10">
      <formula>$K25="Not Applicable"</formula>
    </cfRule>
  </conditionalFormatting>
  <conditionalFormatting sqref="A3:A5">
    <cfRule type="expression" dxfId="133" priority="8">
      <formula>COUNTBLANK($F3:$H3)</formula>
    </cfRule>
  </conditionalFormatting>
  <conditionalFormatting sqref="A3:A5">
    <cfRule type="expression" dxfId="132" priority="6">
      <formula>$K3="Not Audited"</formula>
    </cfRule>
    <cfRule type="expression" dxfId="131" priority="7">
      <formula>$K3="Not Applicable"</formula>
    </cfRule>
  </conditionalFormatting>
  <conditionalFormatting sqref="G3">
    <cfRule type="expression" dxfId="130" priority="5">
      <formula>COUNTBLANK($G3)</formula>
    </cfRule>
  </conditionalFormatting>
  <conditionalFormatting sqref="G5:G27">
    <cfRule type="expression" dxfId="129" priority="3">
      <formula>COUNTBLANK($G5)</formula>
    </cfRule>
  </conditionalFormatting>
  <conditionalFormatting sqref="F5">
    <cfRule type="expression" dxfId="128" priority="2">
      <formula>COUNTBLANK($F5)</formula>
    </cfRule>
  </conditionalFormatting>
  <conditionalFormatting sqref="G4">
    <cfRule type="expression" dxfId="127" priority="1">
      <formula>COUNTBLANK($G4)</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6" operator="equal" id="{55DB4955-557B-4C14-BB8F-B5CA57C22571}">
            <xm:f>Sheet1!$A$5</xm:f>
            <x14:dxf>
              <fill>
                <patternFill>
                  <bgColor rgb="FFFF0000"/>
                </patternFill>
              </fill>
            </x14:dxf>
          </x14:cfRule>
          <x14:cfRule type="cellIs" priority="57" operator="equal" id="{9A12AEFB-4759-4D63-8BF4-E5A54DF80854}">
            <xm:f>Sheet1!$A$4</xm:f>
            <x14:dxf>
              <fill>
                <patternFill>
                  <bgColor rgb="FFFFFF00"/>
                </patternFill>
              </fill>
            </x14:dxf>
          </x14:cfRule>
          <x14:cfRule type="cellIs" priority="58" operator="equal" id="{9A0B7538-D961-4395-A637-65BF46EF4AD4}">
            <xm:f>Sheet1!$A$3</xm:f>
            <x14:dxf>
              <fill>
                <patternFill>
                  <bgColor theme="9" tint="0.59996337778862885"/>
                </patternFill>
              </fill>
            </x14:dxf>
          </x14:cfRule>
          <x14:cfRule type="cellIs" priority="59" operator="equal" id="{2573B680-A6CF-4EA8-9020-472310FA3A1D}">
            <xm:f>Sheet1!$A$2</xm:f>
            <x14:dxf>
              <fill>
                <patternFill>
                  <bgColor theme="9" tint="0.39994506668294322"/>
                </patternFill>
              </fill>
            </x14:dxf>
          </x14:cfRule>
          <xm:sqref>L35</xm:sqref>
        </x14:conditionalFormatting>
        <x14:conditionalFormatting xmlns:xm="http://schemas.microsoft.com/office/excel/2006/main">
          <x14:cfRule type="cellIs" priority="60" operator="equal" id="{CFB321B2-EBAE-491D-9B96-4043B096879E}">
            <xm:f>Sheet1!$A$7</xm:f>
            <x14:dxf>
              <fill>
                <patternFill>
                  <bgColor theme="5"/>
                </patternFill>
              </fill>
            </x14:dxf>
          </x14:cfRule>
          <x14:cfRule type="cellIs" priority="61" operator="equal" id="{679DE89B-9A63-4566-9E86-CDF8709E071C}">
            <xm:f>Sheet1!$A$6</xm:f>
            <x14:dxf>
              <fill>
                <patternFill>
                  <bgColor rgb="FF00B0F0"/>
                </patternFill>
              </fill>
            </x14:dxf>
          </x14:cfRule>
          <x14:cfRule type="cellIs" priority="62" operator="equal" id="{582C46B9-8A61-465B-A40B-3CDA9640D8BA}">
            <xm:f>Sheet1!$A$5</xm:f>
            <x14:dxf>
              <fill>
                <patternFill>
                  <bgColor rgb="FFFF0000"/>
                </patternFill>
              </fill>
            </x14:dxf>
          </x14:cfRule>
          <x14:cfRule type="cellIs" priority="63" operator="equal" id="{80152958-353E-43E4-B668-0469E512BBBA}">
            <xm:f>Sheet1!$A$4</xm:f>
            <x14:dxf>
              <fill>
                <patternFill>
                  <bgColor rgb="FFFFFF00"/>
                </patternFill>
              </fill>
            </x14:dxf>
          </x14:cfRule>
          <x14:cfRule type="cellIs" priority="64" operator="equal" id="{83471053-634D-427C-9B39-F9CC5D8FBC66}">
            <xm:f>Sheet1!$A$3</xm:f>
            <x14:dxf>
              <fill>
                <patternFill>
                  <bgColor theme="9" tint="0.59996337778862885"/>
                </patternFill>
              </fill>
            </x14:dxf>
          </x14:cfRule>
          <x14:cfRule type="cellIs" priority="65" operator="equal" id="{450661E1-1C93-46E4-91F3-14EF25CC6800}">
            <xm:f>Sheet1!$A$2</xm:f>
            <x14:dxf>
              <fill>
                <patternFill>
                  <bgColor theme="9" tint="0.39994506668294322"/>
                </patternFill>
              </fill>
            </x14:dxf>
          </x14:cfRule>
          <xm:sqref>K4:K35</xm:sqref>
        </x14:conditionalFormatting>
        <x14:conditionalFormatting xmlns:xm="http://schemas.microsoft.com/office/excel/2006/main">
          <x14:cfRule type="cellIs" priority="37" operator="equal" id="{9FFB9AED-2A80-4646-AE08-D586E24442F8}">
            <xm:f>Sheet1!$A$7</xm:f>
            <x14:dxf>
              <fill>
                <patternFill>
                  <bgColor theme="5"/>
                </patternFill>
              </fill>
            </x14:dxf>
          </x14:cfRule>
          <x14:cfRule type="cellIs" priority="38" operator="equal" id="{777C0DCD-2B8E-49A5-8436-C8F40618BF68}">
            <xm:f>Sheet1!$A$6</xm:f>
            <x14:dxf>
              <fill>
                <patternFill>
                  <bgColor rgb="FF00B0F0"/>
                </patternFill>
              </fill>
            </x14:dxf>
          </x14:cfRule>
          <x14:cfRule type="cellIs" priority="39" operator="equal" id="{2E8C6986-D939-4AF9-8CE6-7B0AAD33E870}">
            <xm:f>Sheet1!$A$5</xm:f>
            <x14:dxf>
              <fill>
                <patternFill>
                  <bgColor rgb="FFFF0000"/>
                </patternFill>
              </fill>
            </x14:dxf>
          </x14:cfRule>
          <x14:cfRule type="cellIs" priority="40" operator="equal" id="{41976F34-9477-4BE9-A8B2-9B070DDDBC63}">
            <xm:f>Sheet1!$A$4</xm:f>
            <x14:dxf>
              <fill>
                <patternFill>
                  <bgColor rgb="FFFFFF00"/>
                </patternFill>
              </fill>
            </x14:dxf>
          </x14:cfRule>
          <x14:cfRule type="cellIs" priority="41" operator="equal" id="{DE4EBE0F-FB11-4749-8927-B032ED9D109A}">
            <xm:f>Sheet1!$A$3</xm:f>
            <x14:dxf>
              <fill>
                <patternFill>
                  <bgColor theme="9" tint="0.59996337778862885"/>
                </patternFill>
              </fill>
            </x14:dxf>
          </x14:cfRule>
          <x14:cfRule type="cellIs" priority="42" operator="equal" id="{367C5E1D-4410-428C-9C59-3864A102474F}">
            <xm:f>Sheet1!$A$2</xm:f>
            <x14:dxf>
              <fill>
                <patternFill>
                  <bgColor theme="9" tint="0.39994506668294322"/>
                </patternFill>
              </fill>
            </x14:dxf>
          </x14:cfRule>
          <xm:sqref>K3:K30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DEAAA13-08CF-4B5E-8E52-A3C5FBFD5F39}">
          <x14:formula1>
            <xm:f>Sheet1!$E$2:$E$49</xm:f>
          </x14:formula1>
          <xm:sqref>E3:E30</xm:sqref>
        </x14:dataValidation>
        <x14:dataValidation type="list" allowBlank="1" showInputMessage="1" showErrorMessage="1" xr:uid="{9502BC8B-F0A6-4B25-8D29-D18BCF28C2B0}">
          <x14:formula1>
            <xm:f>Sheet1!$A$2:$A$5</xm:f>
          </x14:formula1>
          <xm:sqref>L35</xm:sqref>
        </x14:dataValidation>
        <x14:dataValidation type="list" allowBlank="1" showInputMessage="1" showErrorMessage="1" xr:uid="{75A030EB-3BE0-453F-8489-2F8FA3710132}">
          <x14:formula1>
            <xm:f>Sheet1!$B$2:$B$6</xm:f>
          </x14:formula1>
          <xm:sqref>B3:B30</xm:sqref>
        </x14:dataValidation>
        <x14:dataValidation type="list" allowBlank="1" showInputMessage="1" showErrorMessage="1" xr:uid="{611CD998-5CBE-4D12-95FE-F45DAB42256D}">
          <x14:formula1>
            <xm:f>Sheet1!$E$2:$E$48</xm:f>
          </x14:formula1>
          <xm:sqref>E31:E35</xm:sqref>
        </x14:dataValidation>
        <x14:dataValidation type="list" allowBlank="1" showInputMessage="1" showErrorMessage="1" xr:uid="{071806A6-EF80-40A2-828E-9E00602EEB3F}">
          <x14:formula1>
            <xm:f>Sheet1!$D$2:$D$281</xm:f>
          </x14:formula1>
          <xm:sqref>D3:D30</xm:sqref>
        </x14:dataValidation>
        <x14:dataValidation type="list" allowBlank="1" showInputMessage="1" showErrorMessage="1" xr:uid="{A5067EE6-8075-4B4B-A82C-77698D8A044F}">
          <x14:formula1>
            <xm:f>Sheet1!$A$2:$A$7</xm:f>
          </x14:formula1>
          <xm:sqref>K3:K35</xm:sqref>
        </x14:dataValidation>
        <x14:dataValidation type="list" allowBlank="1" showInputMessage="1" showErrorMessage="1" xr:uid="{F6259625-518C-4E87-A2A2-153A489654E2}">
          <x14:formula1>
            <xm:f>_xlfn.IFS(B3=Sheet1!$B$2,Sheet1!$C$2:$C$114,B3=Sheet1!$B$3,Sheet1!$C$115:$C$239, B3=Sheet1!$B$4,Sheet1!$C$240:$C$297,B3=Sheet1!$B$5,Sheet1!$C$298:$C$347,B3=Sheet1!$B$6,Sheet1!$C$2:$C$347)</xm:f>
          </x14:formula1>
          <xm:sqref>C3:C30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0"/>
  <sheetViews>
    <sheetView tabSelected="1" zoomScale="80" zoomScaleNormal="80" workbookViewId="0">
      <pane xSplit="1" ySplit="2" topLeftCell="B3" activePane="bottomRight" state="frozen"/>
      <selection pane="topRight" activeCell="B1" sqref="B1"/>
      <selection pane="bottomLeft" activeCell="A2" sqref="A2"/>
      <selection pane="bottomRight" activeCell="A2" sqref="A2"/>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56" t="s">
        <v>864</v>
      </c>
      <c r="B1" s="56" t="s">
        <v>916</v>
      </c>
      <c r="D1" s="57" t="s">
        <v>861</v>
      </c>
      <c r="E1" s="56"/>
    </row>
    <row r="2" spans="1:18" s="3" customFormat="1" ht="85.5" customHeight="1" x14ac:dyDescent="0.25">
      <c r="A2" s="4" t="s">
        <v>61</v>
      </c>
      <c r="B2" s="5"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30" x14ac:dyDescent="0.25">
      <c r="A3" s="2" t="s">
        <v>29</v>
      </c>
      <c r="B3" s="1" t="s">
        <v>827</v>
      </c>
      <c r="C3" s="1" t="s">
        <v>424</v>
      </c>
      <c r="D3" s="1" t="s">
        <v>845</v>
      </c>
      <c r="E3" s="1" t="s">
        <v>800</v>
      </c>
      <c r="F3" s="1"/>
      <c r="G3" s="1"/>
      <c r="H3" s="1"/>
      <c r="I3" s="14"/>
      <c r="J3" s="1" t="s">
        <v>843</v>
      </c>
      <c r="K3" s="54" t="s">
        <v>840</v>
      </c>
      <c r="L3" s="1"/>
      <c r="M3" s="9"/>
      <c r="N3" s="9"/>
      <c r="O3" s="9"/>
      <c r="P3" s="8" t="s">
        <v>101</v>
      </c>
      <c r="Q3" s="11" t="s">
        <v>35</v>
      </c>
      <c r="R3" s="11" t="s">
        <v>132</v>
      </c>
    </row>
    <row r="4" spans="1:18" s="3" customFormat="1" ht="30" x14ac:dyDescent="0.25">
      <c r="A4" s="2" t="s">
        <v>30</v>
      </c>
      <c r="B4" s="1" t="s">
        <v>827</v>
      </c>
      <c r="C4" s="1" t="s">
        <v>424</v>
      </c>
      <c r="D4" s="1" t="s">
        <v>845</v>
      </c>
      <c r="E4" s="1" t="s">
        <v>800</v>
      </c>
      <c r="F4" s="1"/>
      <c r="G4" s="52"/>
      <c r="H4" s="1"/>
      <c r="I4" s="14"/>
      <c r="J4" s="1" t="s">
        <v>843</v>
      </c>
      <c r="K4" s="54" t="s">
        <v>840</v>
      </c>
      <c r="L4" s="1"/>
      <c r="M4" s="9"/>
      <c r="N4" s="9"/>
      <c r="O4" s="9"/>
      <c r="P4" s="8" t="s">
        <v>62</v>
      </c>
      <c r="Q4" s="11" t="s">
        <v>36</v>
      </c>
      <c r="R4" s="11"/>
    </row>
    <row r="5" spans="1:18" s="3" customFormat="1" ht="30" x14ac:dyDescent="0.25">
      <c r="A5" s="2" t="s">
        <v>28</v>
      </c>
      <c r="B5" s="1" t="s">
        <v>827</v>
      </c>
      <c r="C5" s="1" t="s">
        <v>424</v>
      </c>
      <c r="D5" s="1" t="s">
        <v>845</v>
      </c>
      <c r="E5" s="1" t="s">
        <v>800</v>
      </c>
      <c r="F5" s="1"/>
      <c r="G5" s="1" t="s">
        <v>846</v>
      </c>
      <c r="H5" s="1"/>
      <c r="I5" s="14"/>
      <c r="J5" s="1" t="s">
        <v>843</v>
      </c>
      <c r="K5" s="54" t="s">
        <v>840</v>
      </c>
      <c r="L5" s="1"/>
      <c r="M5" s="9"/>
      <c r="N5" s="9"/>
      <c r="O5" s="9"/>
      <c r="P5" s="8" t="s">
        <v>101</v>
      </c>
      <c r="Q5" s="8" t="s">
        <v>37</v>
      </c>
      <c r="R5" s="11"/>
    </row>
    <row r="6" spans="1:18" s="3" customFormat="1" ht="195" x14ac:dyDescent="0.25">
      <c r="A6" s="2" t="s">
        <v>2</v>
      </c>
      <c r="B6" s="1" t="s">
        <v>827</v>
      </c>
      <c r="C6" s="1" t="s">
        <v>424</v>
      </c>
      <c r="D6" s="1" t="s">
        <v>845</v>
      </c>
      <c r="E6" s="1" t="s">
        <v>800</v>
      </c>
      <c r="F6" s="1" t="s">
        <v>917</v>
      </c>
      <c r="G6" s="53" t="s">
        <v>847</v>
      </c>
      <c r="H6" s="1" t="s">
        <v>918</v>
      </c>
      <c r="I6" s="1">
        <v>6</v>
      </c>
      <c r="J6" s="1" t="s">
        <v>919</v>
      </c>
      <c r="K6" s="54" t="s">
        <v>149</v>
      </c>
      <c r="L6" s="1" t="s">
        <v>920</v>
      </c>
      <c r="M6" s="9"/>
      <c r="N6" s="9"/>
      <c r="O6" s="9"/>
      <c r="P6" s="8" t="s">
        <v>101</v>
      </c>
      <c r="Q6" s="8" t="s">
        <v>32</v>
      </c>
      <c r="R6" s="11" t="s">
        <v>131</v>
      </c>
    </row>
    <row r="7" spans="1:18" s="3" customFormat="1" ht="60" x14ac:dyDescent="0.25">
      <c r="A7" s="2" t="s">
        <v>1</v>
      </c>
      <c r="B7" s="1" t="s">
        <v>827</v>
      </c>
      <c r="C7" s="1" t="s">
        <v>424</v>
      </c>
      <c r="D7" s="1" t="s">
        <v>845</v>
      </c>
      <c r="E7" s="1" t="s">
        <v>800</v>
      </c>
      <c r="F7" s="1" t="s">
        <v>918</v>
      </c>
      <c r="G7" s="1" t="s">
        <v>848</v>
      </c>
      <c r="H7" s="1" t="s">
        <v>918</v>
      </c>
      <c r="I7" s="1">
        <v>6</v>
      </c>
      <c r="J7" s="1" t="s">
        <v>921</v>
      </c>
      <c r="K7" s="54" t="s">
        <v>148</v>
      </c>
      <c r="L7" s="1"/>
      <c r="M7" s="9"/>
      <c r="N7" s="9"/>
      <c r="O7" s="9"/>
      <c r="P7" s="8" t="s">
        <v>101</v>
      </c>
      <c r="Q7" s="11" t="s">
        <v>33</v>
      </c>
      <c r="R7" s="11"/>
    </row>
    <row r="8" spans="1:18" s="3" customFormat="1" ht="135" x14ac:dyDescent="0.25">
      <c r="A8" s="2" t="s">
        <v>5</v>
      </c>
      <c r="B8" s="1" t="s">
        <v>827</v>
      </c>
      <c r="C8" s="1" t="s">
        <v>424</v>
      </c>
      <c r="D8" s="1" t="s">
        <v>845</v>
      </c>
      <c r="E8" s="1" t="s">
        <v>800</v>
      </c>
      <c r="F8" s="1" t="s">
        <v>918</v>
      </c>
      <c r="G8" s="53" t="s">
        <v>849</v>
      </c>
      <c r="H8" s="1" t="s">
        <v>918</v>
      </c>
      <c r="I8" s="1">
        <v>6</v>
      </c>
      <c r="J8" s="1" t="s">
        <v>922</v>
      </c>
      <c r="K8" s="54" t="s">
        <v>148</v>
      </c>
      <c r="L8" s="1"/>
      <c r="M8" s="9"/>
      <c r="N8" s="9"/>
      <c r="O8" s="9"/>
      <c r="P8" s="8" t="s">
        <v>101</v>
      </c>
      <c r="Q8" s="8" t="s">
        <v>43</v>
      </c>
      <c r="R8" s="11" t="s">
        <v>140</v>
      </c>
    </row>
    <row r="9" spans="1:18" s="3" customFormat="1" ht="105" x14ac:dyDescent="0.25">
      <c r="A9" s="2" t="s">
        <v>17</v>
      </c>
      <c r="B9" s="1" t="s">
        <v>827</v>
      </c>
      <c r="C9" s="1" t="s">
        <v>424</v>
      </c>
      <c r="D9" s="1" t="s">
        <v>845</v>
      </c>
      <c r="E9" s="1" t="s">
        <v>800</v>
      </c>
      <c r="F9" s="1" t="s">
        <v>923</v>
      </c>
      <c r="G9" s="1" t="s">
        <v>850</v>
      </c>
      <c r="H9" s="1" t="s">
        <v>918</v>
      </c>
      <c r="I9" s="1">
        <v>6</v>
      </c>
      <c r="J9" s="1" t="s">
        <v>924</v>
      </c>
      <c r="K9" s="54" t="s">
        <v>148</v>
      </c>
      <c r="L9" s="1"/>
      <c r="M9" s="9"/>
      <c r="N9" s="9"/>
      <c r="O9" s="9"/>
      <c r="P9" s="8" t="s">
        <v>101</v>
      </c>
      <c r="Q9" s="8" t="s">
        <v>34</v>
      </c>
      <c r="R9" s="11"/>
    </row>
    <row r="10" spans="1:18" s="3" customFormat="1" ht="30" x14ac:dyDescent="0.25">
      <c r="A10" s="2" t="s">
        <v>16</v>
      </c>
      <c r="B10" s="1" t="s">
        <v>827</v>
      </c>
      <c r="C10" s="1" t="s">
        <v>424</v>
      </c>
      <c r="D10" s="1" t="s">
        <v>845</v>
      </c>
      <c r="E10" s="1" t="s">
        <v>800</v>
      </c>
      <c r="F10" s="1"/>
      <c r="G10" s="1"/>
      <c r="H10" s="1"/>
      <c r="I10" s="31"/>
      <c r="J10" s="13"/>
      <c r="K10" s="54" t="s">
        <v>841</v>
      </c>
      <c r="L10" s="1"/>
      <c r="M10" s="9"/>
      <c r="N10" s="9"/>
      <c r="O10" s="9"/>
      <c r="P10" s="8" t="s">
        <v>101</v>
      </c>
      <c r="Q10" s="8" t="s">
        <v>38</v>
      </c>
      <c r="R10" s="11">
        <v>4.5</v>
      </c>
    </row>
    <row r="11" spans="1:18" s="3" customFormat="1" ht="105" x14ac:dyDescent="0.25">
      <c r="A11" s="2" t="s">
        <v>4</v>
      </c>
      <c r="B11" s="1" t="s">
        <v>827</v>
      </c>
      <c r="C11" s="1" t="s">
        <v>424</v>
      </c>
      <c r="D11" s="1" t="s">
        <v>845</v>
      </c>
      <c r="E11" s="1" t="s">
        <v>800</v>
      </c>
      <c r="F11" s="1" t="s">
        <v>918</v>
      </c>
      <c r="G11" s="1" t="s">
        <v>851</v>
      </c>
      <c r="H11" s="1" t="s">
        <v>918</v>
      </c>
      <c r="I11" s="1">
        <v>6</v>
      </c>
      <c r="J11" s="1" t="s">
        <v>925</v>
      </c>
      <c r="K11" s="54" t="s">
        <v>148</v>
      </c>
      <c r="L11" s="1"/>
      <c r="M11" s="9"/>
      <c r="N11" s="9"/>
      <c r="O11" s="9"/>
      <c r="P11" s="7" t="s">
        <v>62</v>
      </c>
      <c r="Q11" s="7" t="s">
        <v>39</v>
      </c>
      <c r="R11" s="11"/>
    </row>
    <row r="12" spans="1:18" s="3" customFormat="1" ht="120" x14ac:dyDescent="0.25">
      <c r="A12" s="2" t="s">
        <v>7</v>
      </c>
      <c r="B12" s="1" t="s">
        <v>827</v>
      </c>
      <c r="C12" s="1" t="s">
        <v>424</v>
      </c>
      <c r="D12" s="1" t="s">
        <v>845</v>
      </c>
      <c r="E12" s="1" t="s">
        <v>800</v>
      </c>
      <c r="F12" s="1" t="s">
        <v>923</v>
      </c>
      <c r="G12" s="1" t="s">
        <v>852</v>
      </c>
      <c r="H12" s="1" t="s">
        <v>918</v>
      </c>
      <c r="I12" s="1">
        <v>6</v>
      </c>
      <c r="J12" s="1" t="s">
        <v>926</v>
      </c>
      <c r="K12" s="54" t="s">
        <v>148</v>
      </c>
      <c r="L12" s="1"/>
      <c r="M12" s="9"/>
      <c r="N12" s="9"/>
      <c r="O12" s="9"/>
      <c r="P12" s="8" t="s">
        <v>101</v>
      </c>
      <c r="Q12" s="8" t="s">
        <v>40</v>
      </c>
      <c r="R12" s="11"/>
    </row>
    <row r="13" spans="1:18" s="3" customFormat="1" ht="60" x14ac:dyDescent="0.25">
      <c r="A13" s="2" t="s">
        <v>19</v>
      </c>
      <c r="B13" s="1" t="s">
        <v>827</v>
      </c>
      <c r="C13" s="1" t="s">
        <v>424</v>
      </c>
      <c r="D13" s="1" t="s">
        <v>845</v>
      </c>
      <c r="E13" s="1" t="s">
        <v>800</v>
      </c>
      <c r="F13" s="1" t="s">
        <v>918</v>
      </c>
      <c r="G13" s="1" t="s">
        <v>853</v>
      </c>
      <c r="H13" s="1" t="s">
        <v>918</v>
      </c>
      <c r="I13" s="1">
        <v>6</v>
      </c>
      <c r="J13" s="1" t="s">
        <v>927</v>
      </c>
      <c r="K13" s="54" t="s">
        <v>148</v>
      </c>
      <c r="L13" s="1"/>
      <c r="M13" s="9"/>
      <c r="N13" s="9"/>
      <c r="O13" s="9"/>
      <c r="P13" s="8" t="s">
        <v>101</v>
      </c>
      <c r="Q13" s="8" t="s">
        <v>50</v>
      </c>
      <c r="R13" s="11" t="s">
        <v>135</v>
      </c>
    </row>
    <row r="14" spans="1:18" s="3" customFormat="1" ht="30" x14ac:dyDescent="0.25">
      <c r="A14" s="2" t="s">
        <v>9</v>
      </c>
      <c r="B14" s="1" t="s">
        <v>827</v>
      </c>
      <c r="C14" s="1" t="s">
        <v>424</v>
      </c>
      <c r="D14" s="1" t="s">
        <v>845</v>
      </c>
      <c r="E14" s="1" t="s">
        <v>800</v>
      </c>
      <c r="F14" s="1"/>
      <c r="G14" s="1"/>
      <c r="H14" s="1"/>
      <c r="I14" s="14"/>
      <c r="J14" s="1" t="s">
        <v>843</v>
      </c>
      <c r="K14" s="54" t="s">
        <v>840</v>
      </c>
      <c r="L14" s="1"/>
      <c r="M14" s="9"/>
      <c r="N14" s="9"/>
      <c r="O14" s="9"/>
      <c r="P14" s="8" t="s">
        <v>101</v>
      </c>
      <c r="Q14" s="8" t="s">
        <v>42</v>
      </c>
      <c r="R14" s="11"/>
    </row>
    <row r="15" spans="1:18" s="3" customFormat="1" ht="90" x14ac:dyDescent="0.25">
      <c r="A15" s="2" t="s">
        <v>10</v>
      </c>
      <c r="B15" s="1" t="s">
        <v>827</v>
      </c>
      <c r="C15" s="1" t="s">
        <v>424</v>
      </c>
      <c r="D15" s="1" t="s">
        <v>845</v>
      </c>
      <c r="E15" s="1" t="s">
        <v>800</v>
      </c>
      <c r="F15" s="1" t="s">
        <v>918</v>
      </c>
      <c r="G15" s="1" t="s">
        <v>854</v>
      </c>
      <c r="H15" s="1" t="s">
        <v>918</v>
      </c>
      <c r="I15" s="14"/>
      <c r="J15" s="1" t="s">
        <v>928</v>
      </c>
      <c r="K15" s="54" t="s">
        <v>148</v>
      </c>
      <c r="L15" s="1"/>
      <c r="M15" s="9"/>
      <c r="N15" s="9"/>
      <c r="O15" s="9"/>
      <c r="P15" s="8" t="s">
        <v>101</v>
      </c>
      <c r="Q15" s="8" t="s">
        <v>41</v>
      </c>
      <c r="R15" s="11"/>
    </row>
    <row r="16" spans="1:18" s="3" customFormat="1" ht="30" x14ac:dyDescent="0.25">
      <c r="A16" s="2" t="s">
        <v>11</v>
      </c>
      <c r="B16" s="1" t="s">
        <v>827</v>
      </c>
      <c r="C16" s="1" t="s">
        <v>424</v>
      </c>
      <c r="D16" s="1" t="s">
        <v>845</v>
      </c>
      <c r="E16" s="1" t="s">
        <v>800</v>
      </c>
      <c r="F16" s="1"/>
      <c r="G16" s="1"/>
      <c r="H16" s="1"/>
      <c r="I16" s="14"/>
      <c r="J16" s="1" t="s">
        <v>843</v>
      </c>
      <c r="K16" s="54" t="s">
        <v>840</v>
      </c>
      <c r="L16" s="1"/>
      <c r="M16" s="9"/>
      <c r="N16" s="9"/>
      <c r="O16" s="9"/>
      <c r="P16" s="8" t="s">
        <v>101</v>
      </c>
      <c r="Q16" s="8" t="s">
        <v>44</v>
      </c>
      <c r="R16" s="11"/>
    </row>
    <row r="17" spans="1:18" s="3" customFormat="1" ht="90" x14ac:dyDescent="0.25">
      <c r="A17" s="2" t="s">
        <v>12</v>
      </c>
      <c r="B17" s="1" t="s">
        <v>827</v>
      </c>
      <c r="C17" s="1" t="s">
        <v>424</v>
      </c>
      <c r="D17" s="1" t="s">
        <v>845</v>
      </c>
      <c r="E17" s="1" t="s">
        <v>800</v>
      </c>
      <c r="F17" s="1"/>
      <c r="G17" s="1" t="s">
        <v>855</v>
      </c>
      <c r="H17" s="1"/>
      <c r="I17" s="14"/>
      <c r="J17" s="1"/>
      <c r="K17" s="54" t="s">
        <v>840</v>
      </c>
      <c r="L17" s="1"/>
      <c r="M17" s="9"/>
      <c r="N17" s="9"/>
      <c r="O17" s="9"/>
      <c r="P17" s="8" t="s">
        <v>101</v>
      </c>
      <c r="Q17" s="8" t="s">
        <v>45</v>
      </c>
      <c r="R17" s="11" t="s">
        <v>138</v>
      </c>
    </row>
    <row r="18" spans="1:18" s="3" customFormat="1" ht="45" x14ac:dyDescent="0.25">
      <c r="A18" s="2" t="s">
        <v>13</v>
      </c>
      <c r="B18" s="1" t="s">
        <v>827</v>
      </c>
      <c r="C18" s="1" t="s">
        <v>424</v>
      </c>
      <c r="D18" s="1" t="s">
        <v>845</v>
      </c>
      <c r="E18" s="1" t="s">
        <v>800</v>
      </c>
      <c r="F18" s="1"/>
      <c r="G18" s="1"/>
      <c r="H18" s="1"/>
      <c r="I18" s="14"/>
      <c r="J18" s="1" t="s">
        <v>843</v>
      </c>
      <c r="K18" s="54" t="s">
        <v>840</v>
      </c>
      <c r="L18" s="1"/>
      <c r="M18" s="9"/>
      <c r="N18" s="9"/>
      <c r="O18" s="9"/>
      <c r="P18" s="8" t="s">
        <v>101</v>
      </c>
      <c r="Q18" s="8" t="s">
        <v>51</v>
      </c>
      <c r="R18" s="11"/>
    </row>
    <row r="19" spans="1:18" s="3" customFormat="1" ht="90" x14ac:dyDescent="0.25">
      <c r="A19" s="2" t="s">
        <v>21</v>
      </c>
      <c r="B19" s="1" t="s">
        <v>827</v>
      </c>
      <c r="C19" s="1" t="s">
        <v>424</v>
      </c>
      <c r="D19" s="1" t="s">
        <v>845</v>
      </c>
      <c r="E19" s="1" t="s">
        <v>800</v>
      </c>
      <c r="F19" s="1"/>
      <c r="G19" s="54" t="s">
        <v>856</v>
      </c>
      <c r="H19" s="1"/>
      <c r="I19" s="14"/>
      <c r="J19" s="1"/>
      <c r="K19" s="54" t="s">
        <v>840</v>
      </c>
      <c r="L19" s="1"/>
      <c r="M19" s="9"/>
      <c r="N19" s="9"/>
      <c r="O19" s="9"/>
      <c r="P19" s="7" t="s">
        <v>62</v>
      </c>
      <c r="Q19" s="7" t="s">
        <v>52</v>
      </c>
      <c r="R19" s="11"/>
    </row>
    <row r="20" spans="1:18" s="3" customFormat="1" ht="30" x14ac:dyDescent="0.25">
      <c r="A20" s="2" t="s">
        <v>6</v>
      </c>
      <c r="B20" s="1" t="s">
        <v>827</v>
      </c>
      <c r="C20" s="1" t="s">
        <v>424</v>
      </c>
      <c r="D20" s="1" t="s">
        <v>845</v>
      </c>
      <c r="E20" s="1" t="s">
        <v>800</v>
      </c>
      <c r="F20" s="1"/>
      <c r="G20" s="1"/>
      <c r="H20" s="1"/>
      <c r="I20" s="14"/>
      <c r="J20" s="1"/>
      <c r="K20" s="54" t="s">
        <v>841</v>
      </c>
      <c r="L20" s="1"/>
      <c r="M20" s="9"/>
      <c r="N20" s="9"/>
      <c r="O20" s="9"/>
      <c r="P20" s="8" t="s">
        <v>101</v>
      </c>
      <c r="Q20" s="8" t="s">
        <v>46</v>
      </c>
      <c r="R20" s="11"/>
    </row>
    <row r="21" spans="1:18" s="3" customFormat="1" ht="45" x14ac:dyDescent="0.25">
      <c r="A21" s="2" t="s">
        <v>3</v>
      </c>
      <c r="B21" s="1" t="s">
        <v>827</v>
      </c>
      <c r="C21" s="1" t="s">
        <v>424</v>
      </c>
      <c r="D21" s="1" t="s">
        <v>845</v>
      </c>
      <c r="E21" s="1" t="s">
        <v>800</v>
      </c>
      <c r="F21" s="1"/>
      <c r="G21" s="1"/>
      <c r="H21" s="1"/>
      <c r="I21" s="14"/>
      <c r="J21" s="1" t="s">
        <v>843</v>
      </c>
      <c r="K21" s="54" t="s">
        <v>840</v>
      </c>
      <c r="L21" s="1"/>
      <c r="M21" s="9"/>
      <c r="N21" s="9"/>
      <c r="O21" s="9"/>
      <c r="P21" s="8" t="s">
        <v>101</v>
      </c>
      <c r="Q21" s="8" t="s">
        <v>53</v>
      </c>
      <c r="R21" s="11" t="s">
        <v>133</v>
      </c>
    </row>
    <row r="22" spans="1:18" s="3" customFormat="1" ht="58.15" customHeight="1" x14ac:dyDescent="0.25">
      <c r="A22" s="2" t="s">
        <v>18</v>
      </c>
      <c r="B22" s="1" t="s">
        <v>827</v>
      </c>
      <c r="C22" s="1" t="s">
        <v>424</v>
      </c>
      <c r="D22" s="1" t="s">
        <v>845</v>
      </c>
      <c r="E22" s="1" t="s">
        <v>800</v>
      </c>
      <c r="F22" s="1" t="s">
        <v>929</v>
      </c>
      <c r="G22" s="1" t="s">
        <v>857</v>
      </c>
      <c r="H22" s="1" t="s">
        <v>918</v>
      </c>
      <c r="I22" s="14"/>
      <c r="J22" s="1" t="s">
        <v>930</v>
      </c>
      <c r="K22" s="54" t="s">
        <v>148</v>
      </c>
      <c r="L22" s="1"/>
      <c r="M22" s="9"/>
      <c r="N22" s="9"/>
      <c r="O22" s="9"/>
      <c r="P22" s="8" t="s">
        <v>62</v>
      </c>
      <c r="Q22" s="8" t="s">
        <v>47</v>
      </c>
      <c r="R22" s="11" t="s">
        <v>139</v>
      </c>
    </row>
    <row r="23" spans="1:18" s="3" customFormat="1" ht="105" customHeight="1" x14ac:dyDescent="0.25">
      <c r="A23" s="2" t="s">
        <v>8</v>
      </c>
      <c r="B23" s="1" t="s">
        <v>827</v>
      </c>
      <c r="C23" s="1" t="s">
        <v>424</v>
      </c>
      <c r="D23" s="1" t="s">
        <v>845</v>
      </c>
      <c r="E23" s="1" t="s">
        <v>800</v>
      </c>
      <c r="F23" s="1" t="s">
        <v>929</v>
      </c>
      <c r="G23" s="1" t="s">
        <v>858</v>
      </c>
      <c r="H23" s="1" t="s">
        <v>918</v>
      </c>
      <c r="I23" s="14"/>
      <c r="J23" s="1" t="s">
        <v>931</v>
      </c>
      <c r="K23" s="54" t="s">
        <v>148</v>
      </c>
      <c r="L23" s="1"/>
      <c r="M23" s="9"/>
      <c r="N23" s="9"/>
      <c r="O23" s="9"/>
      <c r="P23" s="8" t="s">
        <v>62</v>
      </c>
      <c r="Q23" s="8" t="s">
        <v>31</v>
      </c>
      <c r="R23" s="11"/>
    </row>
    <row r="24" spans="1:18" s="3" customFormat="1" ht="30" x14ac:dyDescent="0.25">
      <c r="A24" s="2" t="s">
        <v>14</v>
      </c>
      <c r="B24" s="1" t="s">
        <v>827</v>
      </c>
      <c r="C24" s="1" t="s">
        <v>424</v>
      </c>
      <c r="D24" s="1" t="s">
        <v>845</v>
      </c>
      <c r="E24" s="1" t="s">
        <v>800</v>
      </c>
      <c r="F24" s="1"/>
      <c r="G24" s="1" t="s">
        <v>859</v>
      </c>
      <c r="H24" s="1"/>
      <c r="I24" s="14"/>
      <c r="J24" s="1" t="s">
        <v>860</v>
      </c>
      <c r="K24" s="54" t="s">
        <v>840</v>
      </c>
      <c r="L24" s="1"/>
      <c r="M24" s="9"/>
      <c r="N24" s="9"/>
      <c r="O24" s="9"/>
      <c r="P24" s="8" t="s">
        <v>62</v>
      </c>
      <c r="Q24" s="8" t="s">
        <v>48</v>
      </c>
      <c r="R24" s="11"/>
    </row>
    <row r="25" spans="1:18" s="3" customFormat="1" ht="30" x14ac:dyDescent="0.25">
      <c r="A25" s="2" t="s">
        <v>0</v>
      </c>
      <c r="B25" s="1" t="s">
        <v>827</v>
      </c>
      <c r="C25" s="1" t="s">
        <v>424</v>
      </c>
      <c r="D25" s="1" t="s">
        <v>845</v>
      </c>
      <c r="E25" s="1" t="s">
        <v>800</v>
      </c>
      <c r="F25" s="1"/>
      <c r="G25" s="1"/>
      <c r="H25" s="1"/>
      <c r="I25" s="14"/>
      <c r="J25" s="1" t="s">
        <v>844</v>
      </c>
      <c r="K25" s="54" t="s">
        <v>840</v>
      </c>
      <c r="L25" s="52"/>
      <c r="M25" s="9"/>
      <c r="N25" s="9"/>
      <c r="O25" s="9"/>
      <c r="P25" s="8" t="s">
        <v>62</v>
      </c>
      <c r="Q25" s="8" t="s">
        <v>49</v>
      </c>
      <c r="R25" s="11"/>
    </row>
    <row r="26" spans="1:18" s="3" customFormat="1" ht="30" x14ac:dyDescent="0.25">
      <c r="A26" s="2" t="s">
        <v>54</v>
      </c>
      <c r="B26" s="1" t="s">
        <v>827</v>
      </c>
      <c r="C26" s="1" t="s">
        <v>424</v>
      </c>
      <c r="D26" s="1" t="s">
        <v>845</v>
      </c>
      <c r="E26" s="1" t="s">
        <v>800</v>
      </c>
      <c r="F26" s="1"/>
      <c r="G26" s="1"/>
      <c r="H26" s="1"/>
      <c r="I26" s="14"/>
      <c r="J26" s="1" t="s">
        <v>843</v>
      </c>
      <c r="K26" s="54" t="s">
        <v>840</v>
      </c>
      <c r="L26" s="1"/>
      <c r="M26" s="9"/>
      <c r="N26" s="9"/>
      <c r="O26" s="9"/>
      <c r="P26" s="8" t="s">
        <v>101</v>
      </c>
      <c r="Q26" s="8" t="s">
        <v>55</v>
      </c>
      <c r="R26" s="11"/>
    </row>
    <row r="27" spans="1:18" s="3" customFormat="1" ht="30" x14ac:dyDescent="0.25">
      <c r="A27" s="2" t="s">
        <v>15</v>
      </c>
      <c r="B27" s="1" t="s">
        <v>827</v>
      </c>
      <c r="C27" s="1" t="s">
        <v>424</v>
      </c>
      <c r="D27" s="1" t="s">
        <v>845</v>
      </c>
      <c r="E27" s="1" t="s">
        <v>800</v>
      </c>
      <c r="F27" s="1"/>
      <c r="G27" s="1"/>
      <c r="H27" s="1"/>
      <c r="I27" s="14"/>
      <c r="J27" s="1" t="s">
        <v>843</v>
      </c>
      <c r="K27" s="54" t="s">
        <v>840</v>
      </c>
      <c r="L27" s="1"/>
      <c r="M27" s="9"/>
      <c r="N27" s="9"/>
      <c r="O27" s="9"/>
      <c r="P27" s="8" t="s">
        <v>101</v>
      </c>
      <c r="Q27" s="8" t="s">
        <v>56</v>
      </c>
      <c r="R27" s="11"/>
    </row>
    <row r="28" spans="1:18" s="3" customFormat="1" ht="105" x14ac:dyDescent="0.25">
      <c r="A28" s="2" t="s">
        <v>20</v>
      </c>
      <c r="B28" s="1" t="s">
        <v>827</v>
      </c>
      <c r="C28" s="1" t="s">
        <v>424</v>
      </c>
      <c r="D28" s="1" t="s">
        <v>845</v>
      </c>
      <c r="E28" s="1" t="s">
        <v>800</v>
      </c>
      <c r="F28" s="1" t="s">
        <v>932</v>
      </c>
      <c r="G28" s="1" t="s">
        <v>851</v>
      </c>
      <c r="H28" s="1" t="s">
        <v>933</v>
      </c>
      <c r="I28" s="1">
        <v>1</v>
      </c>
      <c r="J28" s="13" t="s">
        <v>934</v>
      </c>
      <c r="K28" s="54" t="s">
        <v>148</v>
      </c>
      <c r="L28" s="1"/>
      <c r="M28" s="9"/>
      <c r="N28" s="9"/>
      <c r="O28" s="9"/>
      <c r="P28" s="8" t="s">
        <v>101</v>
      </c>
      <c r="Q28" s="8" t="s">
        <v>57</v>
      </c>
      <c r="R28" s="11" t="s">
        <v>134</v>
      </c>
    </row>
    <row r="29" spans="1:18" s="3" customFormat="1" ht="105" x14ac:dyDescent="0.25">
      <c r="A29" s="2" t="s">
        <v>20</v>
      </c>
      <c r="B29" s="1" t="s">
        <v>827</v>
      </c>
      <c r="C29" s="1" t="s">
        <v>424</v>
      </c>
      <c r="D29" s="1" t="s">
        <v>845</v>
      </c>
      <c r="E29" s="1" t="s">
        <v>800</v>
      </c>
      <c r="F29" s="1" t="s">
        <v>935</v>
      </c>
      <c r="G29" s="1" t="s">
        <v>851</v>
      </c>
      <c r="H29" s="1" t="s">
        <v>936</v>
      </c>
      <c r="I29" s="1">
        <v>1</v>
      </c>
      <c r="J29" s="13" t="s">
        <v>937</v>
      </c>
      <c r="K29" s="54" t="s">
        <v>148</v>
      </c>
      <c r="L29" s="1"/>
      <c r="M29" s="9"/>
      <c r="N29" s="9"/>
      <c r="O29" s="9"/>
      <c r="P29" s="8" t="s">
        <v>101</v>
      </c>
      <c r="Q29" s="8" t="s">
        <v>57</v>
      </c>
      <c r="R29" s="11" t="s">
        <v>134</v>
      </c>
    </row>
    <row r="30" spans="1:18" s="3" customFormat="1" ht="105" x14ac:dyDescent="0.25">
      <c r="A30" s="2" t="s">
        <v>20</v>
      </c>
      <c r="B30" s="1" t="s">
        <v>827</v>
      </c>
      <c r="C30" s="1" t="s">
        <v>424</v>
      </c>
      <c r="D30" s="1" t="s">
        <v>845</v>
      </c>
      <c r="E30" s="1" t="s">
        <v>800</v>
      </c>
      <c r="F30" s="1" t="s">
        <v>938</v>
      </c>
      <c r="G30" s="1" t="s">
        <v>851</v>
      </c>
      <c r="H30" s="1" t="s">
        <v>936</v>
      </c>
      <c r="I30" s="1">
        <v>1</v>
      </c>
      <c r="J30" s="13" t="s">
        <v>937</v>
      </c>
      <c r="K30" s="54" t="s">
        <v>148</v>
      </c>
      <c r="L30" s="1"/>
      <c r="M30" s="9"/>
      <c r="N30" s="9"/>
      <c r="O30" s="9"/>
      <c r="P30" s="8" t="s">
        <v>101</v>
      </c>
      <c r="Q30" s="8" t="s">
        <v>57</v>
      </c>
      <c r="R30" s="11" t="s">
        <v>134</v>
      </c>
    </row>
    <row r="31" spans="1:18" s="3" customFormat="1" ht="105" x14ac:dyDescent="0.25">
      <c r="A31" s="2" t="s">
        <v>20</v>
      </c>
      <c r="B31" s="1" t="s">
        <v>827</v>
      </c>
      <c r="C31" s="1" t="s">
        <v>424</v>
      </c>
      <c r="D31" s="1" t="s">
        <v>845</v>
      </c>
      <c r="E31" s="1" t="s">
        <v>800</v>
      </c>
      <c r="F31" s="1" t="s">
        <v>939</v>
      </c>
      <c r="G31" s="1" t="s">
        <v>851</v>
      </c>
      <c r="H31" s="1" t="s">
        <v>936</v>
      </c>
      <c r="I31" s="1">
        <v>1</v>
      </c>
      <c r="J31" s="13" t="s">
        <v>937</v>
      </c>
      <c r="K31" s="54" t="s">
        <v>148</v>
      </c>
      <c r="L31" s="1"/>
      <c r="M31" s="9"/>
      <c r="N31" s="9"/>
      <c r="O31" s="9"/>
      <c r="P31" s="8" t="s">
        <v>101</v>
      </c>
      <c r="Q31" s="8" t="s">
        <v>57</v>
      </c>
      <c r="R31" s="11" t="s">
        <v>134</v>
      </c>
    </row>
    <row r="32" spans="1:18" s="3" customFormat="1" ht="105" x14ac:dyDescent="0.25">
      <c r="A32" s="2" t="s">
        <v>20</v>
      </c>
      <c r="B32" s="1" t="s">
        <v>827</v>
      </c>
      <c r="C32" s="1" t="s">
        <v>424</v>
      </c>
      <c r="D32" s="1" t="s">
        <v>845</v>
      </c>
      <c r="E32" s="1" t="s">
        <v>800</v>
      </c>
      <c r="F32" s="1" t="s">
        <v>940</v>
      </c>
      <c r="G32" s="1" t="s">
        <v>851</v>
      </c>
      <c r="H32" s="1" t="s">
        <v>941</v>
      </c>
      <c r="I32" s="1">
        <v>1</v>
      </c>
      <c r="J32" s="13" t="s">
        <v>942</v>
      </c>
      <c r="K32" s="54" t="s">
        <v>148</v>
      </c>
      <c r="L32" s="1"/>
      <c r="M32" s="9"/>
      <c r="N32" s="9"/>
      <c r="O32" s="9"/>
      <c r="P32" s="8" t="s">
        <v>101</v>
      </c>
      <c r="Q32" s="8" t="s">
        <v>57</v>
      </c>
      <c r="R32" s="11" t="s">
        <v>134</v>
      </c>
    </row>
    <row r="33" spans="1:18" s="3" customFormat="1" ht="105" x14ac:dyDescent="0.25">
      <c r="A33" s="2" t="s">
        <v>20</v>
      </c>
      <c r="B33" s="1" t="s">
        <v>827</v>
      </c>
      <c r="C33" s="1" t="s">
        <v>424</v>
      </c>
      <c r="D33" s="1" t="s">
        <v>845</v>
      </c>
      <c r="E33" s="1" t="s">
        <v>800</v>
      </c>
      <c r="F33" s="1" t="s">
        <v>943</v>
      </c>
      <c r="G33" s="1" t="s">
        <v>851</v>
      </c>
      <c r="H33" s="1" t="s">
        <v>944</v>
      </c>
      <c r="I33" s="1">
        <v>1</v>
      </c>
      <c r="J33" s="13" t="s">
        <v>942</v>
      </c>
      <c r="K33" s="54" t="s">
        <v>148</v>
      </c>
      <c r="L33" s="1"/>
      <c r="M33" s="9"/>
      <c r="N33" s="9"/>
      <c r="O33" s="9"/>
      <c r="P33" s="8" t="s">
        <v>101</v>
      </c>
      <c r="Q33" s="8" t="s">
        <v>57</v>
      </c>
      <c r="R33" s="11" t="s">
        <v>134</v>
      </c>
    </row>
    <row r="34" spans="1:18" s="3" customFormat="1" ht="15.75" x14ac:dyDescent="0.25">
      <c r="A34" s="2"/>
      <c r="B34" s="1"/>
      <c r="C34" s="1"/>
      <c r="D34" s="1"/>
      <c r="E34" s="1"/>
      <c r="F34" s="1"/>
      <c r="G34" s="1"/>
      <c r="H34" s="1"/>
      <c r="I34" s="1"/>
      <c r="J34" s="1"/>
      <c r="K34" s="54"/>
      <c r="L34" s="1"/>
      <c r="M34" s="9"/>
      <c r="N34" s="9"/>
      <c r="O34" s="9"/>
      <c r="R34" s="11"/>
    </row>
    <row r="35" spans="1:18" s="3" customFormat="1" ht="15.75" x14ac:dyDescent="0.25">
      <c r="A35" s="2"/>
      <c r="B35" s="1"/>
      <c r="C35" s="1"/>
      <c r="D35" s="1"/>
      <c r="E35" s="1"/>
      <c r="F35" s="1"/>
      <c r="G35" s="1"/>
      <c r="H35" s="1"/>
      <c r="I35" s="1"/>
      <c r="J35" s="1"/>
      <c r="K35" s="54"/>
      <c r="L35" s="1"/>
      <c r="M35" s="9"/>
      <c r="N35" s="9"/>
      <c r="O35" s="9"/>
      <c r="R35" s="11"/>
    </row>
    <row r="36" spans="1:18" s="3" customFormat="1" ht="15.75" x14ac:dyDescent="0.25">
      <c r="A36" s="2"/>
      <c r="B36" s="1"/>
      <c r="C36" s="1"/>
      <c r="D36" s="1"/>
      <c r="E36" s="1"/>
      <c r="F36" s="1"/>
      <c r="G36" s="1"/>
      <c r="H36" s="1"/>
      <c r="I36" s="1"/>
      <c r="J36" s="1"/>
      <c r="K36" s="54"/>
      <c r="L36" s="1"/>
      <c r="M36" s="9"/>
      <c r="N36" s="9"/>
      <c r="O36" s="9"/>
      <c r="R36" s="11"/>
    </row>
    <row r="37" spans="1:18" s="3" customFormat="1" ht="15.75" x14ac:dyDescent="0.25">
      <c r="A37" s="2"/>
      <c r="B37" s="1"/>
      <c r="C37" s="1"/>
      <c r="D37" s="1"/>
      <c r="E37" s="1"/>
      <c r="F37" s="1"/>
      <c r="G37" s="1"/>
      <c r="H37" s="1"/>
      <c r="I37" s="1"/>
      <c r="J37" s="1"/>
      <c r="K37" s="54"/>
      <c r="L37" s="1"/>
      <c r="M37" s="9"/>
      <c r="N37" s="9"/>
      <c r="O37" s="9"/>
      <c r="R37" s="11"/>
    </row>
    <row r="38" spans="1:18" s="3" customFormat="1" ht="15.75" x14ac:dyDescent="0.25">
      <c r="A38" s="2"/>
      <c r="B38" s="1"/>
      <c r="C38" s="1"/>
      <c r="D38" s="1"/>
      <c r="E38" s="1"/>
      <c r="F38" s="1"/>
      <c r="G38" s="1"/>
      <c r="H38" s="1"/>
      <c r="I38" s="1"/>
      <c r="J38" s="1"/>
      <c r="K38" s="54"/>
      <c r="L38" s="54"/>
      <c r="M38" s="9"/>
      <c r="N38" s="9"/>
      <c r="O38" s="9"/>
      <c r="Q38" s="7"/>
      <c r="R38" s="11"/>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sheetData>
  <phoneticPr fontId="12" type="noConversion"/>
  <conditionalFormatting sqref="F3:F5 F29:F33">
    <cfRule type="expression" dxfId="47" priority="48">
      <formula>COUNTBLANK($F3)</formula>
    </cfRule>
  </conditionalFormatting>
  <conditionalFormatting sqref="H3:H4 H29:H33">
    <cfRule type="expression" dxfId="46" priority="47">
      <formula>COUNTBLANK($H3)</formula>
    </cfRule>
  </conditionalFormatting>
  <conditionalFormatting sqref="F6:F28">
    <cfRule type="expression" dxfId="45" priority="46">
      <formula>COUNTBLANK($F6)</formula>
    </cfRule>
  </conditionalFormatting>
  <conditionalFormatting sqref="H5 H10 H14 H16:H21 H24:H28">
    <cfRule type="expression" dxfId="44" priority="45">
      <formula>COUNTBLANK($H5)</formula>
    </cfRule>
  </conditionalFormatting>
  <conditionalFormatting sqref="I6 I29:I33">
    <cfRule type="expression" dxfId="43" priority="44">
      <formula>COUNTBLANK($I6)</formula>
    </cfRule>
  </conditionalFormatting>
  <conditionalFormatting sqref="I7:I9">
    <cfRule type="expression" dxfId="42" priority="43">
      <formula>COUNTBLANK($I7)</formula>
    </cfRule>
  </conditionalFormatting>
  <conditionalFormatting sqref="I11:I13">
    <cfRule type="expression" dxfId="41" priority="42">
      <formula>COUNTBLANK($I11)</formula>
    </cfRule>
  </conditionalFormatting>
  <conditionalFormatting sqref="I28">
    <cfRule type="expression" dxfId="40" priority="41">
      <formula>COUNTBLANK($I28)</formula>
    </cfRule>
  </conditionalFormatting>
  <conditionalFormatting sqref="K3:K33">
    <cfRule type="expression" dxfId="39" priority="40">
      <formula>COUNTBLANK($K3)</formula>
    </cfRule>
  </conditionalFormatting>
  <conditionalFormatting sqref="A6:A9 A11:A13 A28:A33">
    <cfRule type="expression" dxfId="38" priority="39">
      <formula>COUNTBLANK($F6:$I6)</formula>
    </cfRule>
  </conditionalFormatting>
  <conditionalFormatting sqref="A6:A9 A11:A13 A28:A33">
    <cfRule type="expression" dxfId="37" priority="37">
      <formula>$K6="Not Audited"</formula>
    </cfRule>
    <cfRule type="expression" dxfId="36" priority="38">
      <formula>$K6="Not Applicable"</formula>
    </cfRule>
  </conditionalFormatting>
  <conditionalFormatting sqref="A10">
    <cfRule type="expression" dxfId="35" priority="36">
      <formula>COUNTBLANK($F10:$H10)</formula>
    </cfRule>
  </conditionalFormatting>
  <conditionalFormatting sqref="A10">
    <cfRule type="expression" dxfId="34" priority="34">
      <formula>$K10="Not Audited"</formula>
    </cfRule>
    <cfRule type="expression" dxfId="33" priority="35">
      <formula>$K10="Not Applicable"</formula>
    </cfRule>
  </conditionalFormatting>
  <conditionalFormatting sqref="A15">
    <cfRule type="expression" dxfId="32" priority="33">
      <formula>COUNTBLANK($F15:$H15)</formula>
    </cfRule>
  </conditionalFormatting>
  <conditionalFormatting sqref="A15">
    <cfRule type="expression" dxfId="31" priority="31">
      <formula>$K15="Not Audited"</formula>
    </cfRule>
    <cfRule type="expression" dxfId="30" priority="32">
      <formula>$K15="Not Applicable"</formula>
    </cfRule>
  </conditionalFormatting>
  <conditionalFormatting sqref="A14">
    <cfRule type="expression" dxfId="29" priority="30">
      <formula>COUNTBLANK($F14:$H14)</formula>
    </cfRule>
  </conditionalFormatting>
  <conditionalFormatting sqref="A14">
    <cfRule type="expression" dxfId="28" priority="28">
      <formula>$K14="Not Audited"</formula>
    </cfRule>
    <cfRule type="expression" dxfId="27" priority="29">
      <formula>$K14="Not Applicable"</formula>
    </cfRule>
  </conditionalFormatting>
  <conditionalFormatting sqref="A16:A17">
    <cfRule type="expression" dxfId="26" priority="27">
      <formula>COUNTBLANK($F16:$H16)</formula>
    </cfRule>
  </conditionalFormatting>
  <conditionalFormatting sqref="A16:A17">
    <cfRule type="expression" dxfId="25" priority="25">
      <formula>$K16="Not Audited"</formula>
    </cfRule>
    <cfRule type="expression" dxfId="24" priority="26">
      <formula>$K16="Not Applicable"</formula>
    </cfRule>
  </conditionalFormatting>
  <conditionalFormatting sqref="A18">
    <cfRule type="expression" dxfId="23" priority="24">
      <formula>COUNTBLANK($F18:$H18)</formula>
    </cfRule>
  </conditionalFormatting>
  <conditionalFormatting sqref="A18">
    <cfRule type="expression" dxfId="22" priority="22">
      <formula>$K18="Not Audited"</formula>
    </cfRule>
    <cfRule type="expression" dxfId="21" priority="23">
      <formula>$K18="Not Applicable"</formula>
    </cfRule>
  </conditionalFormatting>
  <conditionalFormatting sqref="A19:A21">
    <cfRule type="expression" dxfId="20" priority="21">
      <formula>COUNTBLANK($F19:$H19)</formula>
    </cfRule>
  </conditionalFormatting>
  <conditionalFormatting sqref="A19:A21">
    <cfRule type="expression" dxfId="19" priority="19">
      <formula>$K19="Not Audited"</formula>
    </cfRule>
    <cfRule type="expression" dxfId="18" priority="20">
      <formula>$K19="Not Applicable"</formula>
    </cfRule>
  </conditionalFormatting>
  <conditionalFormatting sqref="A22:A24">
    <cfRule type="expression" dxfId="17" priority="18">
      <formula>COUNTBLANK($F22:$H22)</formula>
    </cfRule>
  </conditionalFormatting>
  <conditionalFormatting sqref="A22:A24">
    <cfRule type="expression" dxfId="16" priority="16">
      <formula>$K22="Not Audited"</formula>
    </cfRule>
    <cfRule type="expression" dxfId="15" priority="17">
      <formula>$K22="Not Applicable"</formula>
    </cfRule>
  </conditionalFormatting>
  <conditionalFormatting sqref="A25:A27">
    <cfRule type="expression" dxfId="14" priority="15">
      <formula>COUNTBLANK($F25:$H25)</formula>
    </cfRule>
  </conditionalFormatting>
  <conditionalFormatting sqref="A25:A27">
    <cfRule type="expression" dxfId="13" priority="13">
      <formula>$K25="Not Audited"</formula>
    </cfRule>
    <cfRule type="expression" dxfId="12" priority="14">
      <formula>$K25="Not Applicable"</formula>
    </cfRule>
  </conditionalFormatting>
  <conditionalFormatting sqref="A3:A5">
    <cfRule type="expression" dxfId="11" priority="12">
      <formula>COUNTBLANK($F3:$H3)</formula>
    </cfRule>
  </conditionalFormatting>
  <conditionalFormatting sqref="A3:A5">
    <cfRule type="expression" dxfId="10" priority="10">
      <formula>$K3="Not Audited"</formula>
    </cfRule>
    <cfRule type="expression" dxfId="9" priority="11">
      <formula>$K3="Not Applicable"</formula>
    </cfRule>
  </conditionalFormatting>
  <conditionalFormatting sqref="G3">
    <cfRule type="expression" dxfId="8" priority="9">
      <formula>COUNTBLANK($G3)</formula>
    </cfRule>
  </conditionalFormatting>
  <conditionalFormatting sqref="G4">
    <cfRule type="expression" dxfId="7" priority="8">
      <formula>COUNTBLANK($G4)</formula>
    </cfRule>
  </conditionalFormatting>
  <conditionalFormatting sqref="G5:G27">
    <cfRule type="expression" dxfId="6" priority="7">
      <formula>COUNTBLANK($G5)</formula>
    </cfRule>
  </conditionalFormatting>
  <conditionalFormatting sqref="G28:G33">
    <cfRule type="expression" dxfId="5" priority="6">
      <formula>COUNTBLANK($G28)</formula>
    </cfRule>
  </conditionalFormatting>
  <conditionalFormatting sqref="H6:H9">
    <cfRule type="expression" dxfId="4" priority="5">
      <formula>COUNTBLANK($F6)</formula>
    </cfRule>
  </conditionalFormatting>
  <conditionalFormatting sqref="H11:H13">
    <cfRule type="expression" dxfId="3" priority="4">
      <formula>COUNTBLANK($F11)</formula>
    </cfRule>
  </conditionalFormatting>
  <conditionalFormatting sqref="H15">
    <cfRule type="expression" dxfId="2" priority="3">
      <formula>COUNTBLANK($F15)</formula>
    </cfRule>
  </conditionalFormatting>
  <conditionalFormatting sqref="H22">
    <cfRule type="expression" dxfId="1" priority="2">
      <formula>COUNTBLANK($F22)</formula>
    </cfRule>
  </conditionalFormatting>
  <conditionalFormatting sqref="H23">
    <cfRule type="expression" dxfId="0" priority="1">
      <formula>COUNTBLANK($F23)</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Brian &amp; Neto</vt:lpstr>
      <vt:lpstr>Jeff</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2022-05-05T14:24:50Z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