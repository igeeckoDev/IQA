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1736\Desktop\2022-21,100 MEL\"/>
    </mc:Choice>
  </mc:AlternateContent>
  <xr:revisionPtr revIDLastSave="0" documentId="13_ncr:1_{F018AB32-2E83-4BF6-B5AF-870761611211}" xr6:coauthVersionLast="47" xr6:coauthVersionMax="47" xr10:uidLastSave="{00000000-0000-0000-0000-000000000000}"/>
  <bookViews>
    <workbookView xWindow="-120" yWindow="-120" windowWidth="29040" windowHeight="15840" xr2:uid="{5426C36E-AAE0-45E3-9C4C-2C971D0504DB}"/>
  </bookViews>
  <sheets>
    <sheet name="Brian" sheetId="16" r:id="rId1"/>
    <sheet name="ISO 17065" sheetId="13" state="hidden" r:id="rId2"/>
    <sheet name="Michael, Lizete" sheetId="15" r:id="rId3"/>
    <sheet name="Definition " sheetId="11" r:id="rId4"/>
    <sheet name="Sheet1" sheetId="14" state="hidden" r:id="rId5"/>
  </sheets>
  <definedNames>
    <definedName name="_xlnm._FilterDatabase" localSheetId="0" hidden="1">Brian!$Q$2:$Q$78</definedName>
    <definedName name="_xlnm._FilterDatabase" localSheetId="1" hidden="1">'ISO 17065'!$A$2:$U$29</definedName>
    <definedName name="_xlnm._FilterDatabase" localSheetId="2" hidden="1">'Michael, Lizete'!$Q$2:$Q$78</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tc={7113E009-EF6D-42DD-90E9-D69B06EF9D39}</author>
    <author>tc={05D70D25-240B-45E3-8EE1-478756CDD563}</author>
    <author>tc={990EDD30-EE78-43F2-BDF8-7DE44CC79640}</author>
  </authors>
  <commentList>
    <comment ref="Q28" authorId="0" shapeId="0" xr:uid="{7113E009-EF6D-42DD-90E9-D69B06EF9D3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05D70D25-240B-45E3-8EE1-478756CDD56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990EDD30-EE78-43F2-BDF8-7DE44CC7964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tc={D43FC0F4-F6FB-44F7-AE4A-D5A424BB9CC8}</author>
    <author>tc={871A6E7A-F5F2-4EAF-8636-5FFEAC255A9A}</author>
    <author>tc={D7E4B069-767F-44D1-9A41-A64CC16FFAB4}</author>
    <author>tc={7F2533E9-9AD9-49ED-95C9-CD729ADEE1B7}</author>
    <author>tc={762588A9-567B-4243-9940-8A5E57DDC884}</author>
    <author>tc={B26A433A-371C-4E6A-98CC-ED637AF778C5}</author>
    <author>tc={15A34BC3-D9E3-4F27-9589-D1EDBB273519}</author>
    <author>tc={D533CA00-9391-4936-8F05-766393DB12D6}</author>
  </authors>
  <commentList>
    <comment ref="Q28" authorId="0" shapeId="0" xr:uid="{D43FC0F4-F6FB-44F7-AE4A-D5A424BB9CC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871A6E7A-F5F2-4EAF-8636-5FFEAC255A9A}">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D7E4B069-767F-44D1-9A41-A64CC16FFAB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7F2533E9-9AD9-49ED-95C9-CD729ADEE1B7}">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762588A9-567B-4243-9940-8A5E57DDC88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B26A433A-371C-4E6A-98CC-ED637AF778C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15A34BC3-D9E3-4F27-9589-D1EDBB27351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5" authorId="7" shapeId="0" xr:uid="{D533CA00-9391-4936-8F05-766393DB12D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<sst xmlns="http://schemas.openxmlformats.org/spreadsheetml/2006/main" count="1603" uniqueCount="1005">
  <si>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</si>
  <si>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</si>
  <si>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</si>
  <si>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</si>
  <si>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</si>
  <si>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</si>
  <si>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</si>
  <si>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</si>
  <si>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</si>
  <si>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</si>
  <si>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</si>
  <si>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</si>
  <si>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</si>
  <si>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</si>
  <si>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</si>
  <si>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</si>
  <si>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</si>
  <si>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</si>
  <si>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</si>
  <si>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</si>
  <si>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</si>
  <si>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</si>
  <si>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</si>
  <si>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</si>
  <si>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</si>
  <si>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</si>
  <si>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</si>
  <si>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</si>
  <si>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</si>
  <si>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</si>
  <si>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</si>
  <si>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</si>
  <si>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</si>
  <si>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</si>
  <si>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</si>
  <si>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</si>
  <si>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</si>
  <si>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</si>
  <si>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</si>
  <si>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</si>
  <si>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</si>
  <si>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</si>
  <si>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</si>
  <si>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</si>
  <si>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</si>
  <si>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</si>
  <si>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</si>
  <si>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</si>
  <si>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</si>
  <si>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</si>
  <si>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</si>
  <si>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</si>
  <si>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</si>
  <si>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</si>
  <si>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</si>
  <si>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</si>
  <si>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</si>
  <si>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</si>
  <si>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</si>
  <si>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</si>
  <si>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</si>
  <si>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</si>
  <si>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</si>
  <si>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</si>
  <si>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</si>
  <si>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</si>
  <si>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</si>
  <si>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</si>
  <si>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</si>
  <si>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</si>
  <si>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</si>
  <si>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</si>
  <si>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</si>
  <si>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</si>
  <si>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</si>
  <si>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</si>
  <si>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</si>
  <si>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</si>
  <si>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</si>
  <si>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</si>
  <si>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</si>
  <si>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</si>
  <si>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</si>
  <si>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</si>
  <si>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</si>
  <si>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</si>
  <si>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</si>
  <si>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</si>
  <si>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</si>
  <si>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</si>
  <si>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</si>
  <si>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</si>
  <si>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</si>
  <si>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</si>
  <si>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</si>
  <si>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</si>
  <si>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</si>
  <si>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</si>
  <si>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</si>
  <si>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</si>
  <si>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</si>
  <si>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</si>
  <si>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</si>
  <si>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</si>
  <si>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</si>
  <si>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</si>
  <si>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</si>
  <si>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</si>
  <si>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</si>
  <si>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</si>
  <si>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</si>
  <si>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</si>
  <si>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</si>
  <si>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</si>
  <si>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</si>
  <si>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</si>
  <si>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</si>
  <si>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</si>
  <si>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</si>
  <si>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</si>
  <si>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</si>
  <si>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</si>
  <si>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</si>
  <si>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</si>
  <si>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</si>
  <si>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</si>
  <si>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</si>
  <si>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</si>
  <si>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</si>
  <si>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</si>
  <si>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</si>
  <si>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</si>
  <si>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</si>
  <si>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</si>
  <si>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</si>
  <si>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</si>
  <si>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</si>
  <si>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</si>
  <si>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</si>
  <si>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</si>
  <si>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</si>
  <si>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</si>
  <si>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</si>
  <si>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</si>
  <si>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</si>
  <si>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</si>
  <si>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</si>
  <si>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</si>
  <si>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</si>
  <si>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</si>
  <si>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</si>
  <si>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</si>
  <si>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</si>
  <si>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</si>
  <si>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</si>
  <si>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</si>
  <si>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</si>
  <si>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</si>
  <si>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</si>
  <si>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</si>
  <si>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</si>
  <si>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</si>
  <si>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</si>
  <si>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</si>
  <si>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</si>
  <si>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</si>
  <si>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</si>
  <si>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</si>
  <si>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</si>
  <si>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</si>
  <si>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</si>
  <si>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</si>
  <si>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</si>
  <si>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</si>
  <si>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</si>
  <si>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</si>
  <si>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</si>
  <si>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</si>
  <si>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</si>
  <si>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</si>
  <si>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</si>
  <si>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</si>
  <si>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</si>
  <si>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</si>
  <si>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</si>
  <si>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</si>
  <si>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</si>
  <si>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</si>
  <si>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</si>
  <si>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</si>
  <si>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</si>
  <si>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</si>
  <si>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</si>
  <si>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</si>
  <si>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</si>
  <si>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</si>
  <si>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</si>
  <si>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</si>
  <si>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</si>
  <si>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</si>
  <si>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</si>
  <si>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</si>
  <si>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</si>
  <si>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</si>
  <si>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</si>
  <si>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</si>
  <si>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</si>
  <si>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</si>
  <si>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</si>
  <si>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</si>
  <si>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</si>
  <si>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</si>
  <si>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</si>
  <si>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</si>
  <si>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</si>
  <si>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</si>
  <si>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</si>
  <si>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</si>
  <si>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</si>
  <si>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</si>
  <si>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</si>
  <si>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</si>
  <si>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</si>
  <si>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</si>
  <si>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</si>
  <si>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</si>
  <si>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</si>
  <si>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</si>
  <si>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</si>
  <si>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</si>
  <si>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</si>
  <si>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</si>
  <si>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</si>
  <si>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</si>
  <si>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</si>
  <si>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</si>
  <si>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</si>
  <si>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</si>
  <si>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</si>
  <si>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</si>
  <si>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</si>
  <si>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</si>
  <si>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</si>
  <si>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</si>
  <si>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</si>
  <si>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</si>
  <si>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</si>
  <si>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</si>
  <si>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</si>
  <si>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</si>
  <si>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</si>
  <si>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</si>
  <si>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</si>
  <si>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</si>
  <si>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</si>
  <si>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</si>
  <si>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</si>
  <si>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</si>
  <si>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</si>
  <si>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</si>
  <si>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</si>
  <si>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</si>
  <si>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</si>
  <si>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</si>
  <si>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</si>
  <si>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</si>
  <si>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</si>
  <si>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</si>
  <si>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</si>
  <si>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</si>
  <si>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</si>
  <si>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</si>
  <si>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</si>
  <si>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</si>
  <si>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</si>
  <si>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</si>
  <si>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</si>
  <si>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</si>
  <si>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</si>
  <si>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</si>
  <si>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</si>
  <si>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</si>
  <si>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</si>
  <si>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</si>
  <si>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</si>
  <si>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</si>
  <si>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</si>
  <si>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</si>
  <si>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</si>
  <si>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</si>
  <si>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</si>
  <si>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</si>
  <si>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</si>
  <si>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</si>
  <si>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</si>
  <si>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</si>
  <si>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</si>
  <si>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</si>
  <si>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</si>
  <si>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</si>
  <si>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</si>
  <si>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</si>
  <si>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</si>
  <si>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</si>
  <si>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</si>
  <si>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</si>
  <si>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</si>
  <si>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</si>
  <si>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</si>
  <si>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</si>
  <si>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</si>
  <si>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</si>
  <si>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</si>
  <si>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</si>
  <si>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</si>
  <si>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</si>
  <si>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</si>
  <si>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</si>
  <si>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</si>
  <si>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</si>
  <si>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</si>
  <si>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</si>
  <si>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</si>
  <si>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</si>
  <si>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</si>
  <si>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</si>
  <si>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</si>
  <si>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</si>
  <si>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</si>
  <si>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</si>
  <si>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</si>
  <si>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</si>
  <si>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</si>
  <si>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</si>
  <si>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</si>
  <si>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</si>
  <si>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</si>
  <si>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</si>
  <si>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</si>
  <si>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</si>
  <si>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</si>
  <si>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</si>
  <si>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</si>
  <si>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</si>
  <si>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</si>
  <si>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</si>
  <si>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</si>
  <si>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</si>
  <si>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</si>
  <si>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</si>
  <si>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</si>
  <si>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</si>
  <si>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</si>
  <si>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</si>
  <si>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</si>
  <si>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</si>
  <si>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</si>
  <si>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</si>
  <si>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</si>
  <si>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</si>
  <si>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</si>
  <si>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</si>
  <si>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</si>
  <si>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</si>
  <si>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</si>
  <si>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</si>
  <si>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</si>
  <si>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</si>
  <si>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</si>
  <si>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</si>
  <si>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</si>
  <si>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</si>
  <si>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</si>
  <si>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</si>
  <si>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</si>
  <si>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</si>
  <si>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</si>
  <si>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</si>
  <si>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</si>
  <si>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</si>
  <si>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</si>
  <si>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</si>
  <si>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</si>
  <si>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</si>
  <si>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</si>
  <si>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</si>
  <si>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</si>
  <si>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</si>
  <si>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</si>
  <si>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</si>
  <si>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</si>
  <si>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</si>
  <si>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</si>
  <si>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</si>
  <si>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</si>
  <si>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</si>
  <si>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</si>
  <si>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</si>
  <si>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</si>
  <si>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</si>
  <si>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</si>
  <si>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</si>
  <si>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</si>
  <si>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</si>
  <si>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</si>
  <si>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</si>
  <si>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</si>
  <si>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</si>
  <si>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</si>
  <si>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</si>
  <si>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</si>
  <si>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</si>
  <si>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</si>
  <si>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</si>
  <si>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</si>
  <si>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</si>
  <si>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</si>
  <si>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</si>
  <si>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</si>
  <si>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</si>
  <si>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</si>
  <si>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</si>
  <si>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</si>
  <si>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</si>
  <si>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</si>
  <si>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</si>
  <si>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</si>
  <si>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</si>
  <si>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</si>
  <si>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</si>
  <si>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</si>
  <si>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</si>
  <si>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</si>
  <si>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</si>
  <si>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</si>
  <si>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</si>
  <si>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</si>
  <si>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</si>
  <si>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</si>
  <si>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</si>
  <si>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</si>
  <si>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</si>
  <si>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</si>
  <si>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</si>
  <si>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</si>
  <si>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</si>
  <si>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</si>
  <si>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</si>
  <si>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</si>
  <si>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</si>
  <si>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</si>
  <si>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</si>
  <si>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</si>
  <si>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</si>
  <si>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</si>
  <si>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</si>
  <si>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</si>
  <si>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</si>
  <si>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</si>
  <si>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</si>
  <si>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</si>
  <si>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</si>
  <si>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</si>
  <si>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</si>
  <si>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</si>
  <si>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</si>
  <si>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</si>
  <si>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</si>
  <si>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</si>
  <si>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</si>
  <si>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</si>
  <si>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</si>
  <si>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</si>
  <si>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</si>
  <si>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</si>
  <si>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</si>
  <si>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</si>
  <si>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</si>
  <si>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</si>
  <si>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</si>
  <si>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</si>
  <si>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</si>
  <si>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</si>
  <si>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</si>
  <si>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</si>
  <si>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</si>
  <si>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</si>
  <si>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</si>
  <si>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</si>
  <si>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</si>
  <si>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</si>
  <si>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</si>
  <si>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</si>
  <si>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</si>
  <si>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</si>
  <si>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</si>
  <si>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</si>
  <si>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</si>
  <si>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</si>
  <si>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</si>
  <si>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</si>
  <si>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</si>
  <si>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</si>
  <si>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</si>
  <si>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</si>
  <si>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</si>
  <si>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</si>
  <si>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</si>
  <si>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</si>
  <si>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</si>
  <si>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</si>
  <si>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</si>
  <si>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</si>
  <si>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</si>
  <si>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</si>
  <si>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</si>
  <si>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</si>
  <si>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</si>
  <si>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</si>
  <si>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</si>
  <si>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</si>
  <si>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</si>
  <si>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</si>
  <si>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</si>
  <si>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</si>
  <si>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</si>
  <si>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</si>
  <si>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</si>
  <si>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</si>
  <si>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</si>
  <si>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</si>
  <si>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</si>
  <si>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</si>
  <si>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</si>
  <si>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</si>
  <si>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</si>
  <si>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</si>
  <si>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</si>
  <si>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</si>
  <si>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</si>
  <si>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</si>
  <si>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</si>
  <si>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</si>
  <si>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</si>
  <si>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</si>
  <si>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</si>
  <si>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</si>
  <si>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</si>
  <si>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</si>
  <si>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</si>
  <si>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</si>
  <si>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</si>
  <si>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</si>
  <si>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</si>
  <si>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</si>
  <si>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</si>
  <si>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</si>
  <si>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</si>
  <si>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</si>
  <si>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</si>
  <si>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</si>
  <si>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</si>
  <si>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</si>
  <si>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</si>
  <si>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</si>
  <si>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</si>
  <si>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</si>
  <si>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</si>
  <si>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</si>
  <si>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</si>
  <si>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</si>
  <si>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</si>
  <si>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</si>
  <si>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</si>
  <si>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</si>
  <si>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</si>
  <si>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</si>
  <si>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</si>
  <si>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</si>
  <si>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</si>
  <si>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</si>
  <si>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</si>
  <si>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</si>
  <si>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</si>
  <si>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</si>
  <si>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</si>
  <si>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</si>
  <si>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</si>
  <si>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</si>
  <si>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</si>
  <si>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</si>
  <si>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</si>
  <si>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</si>
  <si>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</si>
  <si>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</si>
  <si>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</si>
  <si>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</si>
  <si>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</si>
  <si>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</si>
  <si>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</si>
  <si>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</si>
  <si>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</si>
  <si>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</si>
  <si>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</si>
  <si>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</si>
  <si>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</si>
  <si>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</si>
  <si>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</si>
  <si>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</si>
  <si>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</si>
  <si>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</si>
  <si>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</si>
  <si>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</si>
  <si>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</si>
  <si>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</si>
  <si>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</si>
  <si>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</si>
  <si>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</si>
  <si>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</si>
  <si>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</si>
  <si>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</si>
  <si>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</si>
  <si>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</si>
  <si>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</si>
  <si>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</si>
  <si>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</si>
  <si>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</si>
  <si>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</si>
  <si>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</si>
  <si>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</si>
  <si>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</si>
  <si>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</si>
  <si>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</si>
  <si>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</si>
  <si>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</si>
  <si>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</si>
  <si>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</si>
  <si>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</si>
  <si>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</si>
  <si>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</si>
  <si>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</si>
  <si>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</si>
  <si>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</si>
  <si>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</si>
  <si>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</si>
  <si>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</si>
  <si>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</si>
  <si>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</si>
  <si>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</si>
  <si>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</si>
  <si>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</si>
  <si>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</si>
  <si>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</si>
  <si>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</si>
  <si>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</si>
  <si>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</si>
  <si>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</si>
  <si>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</si>
  <si>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</si>
  <si>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</si>
  <si>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</si>
  <si>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</si>
  <si>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</si>
  <si>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</si>
  <si>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</si>
  <si>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</si>
  <si>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</si>
  <si>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</si>
  <si>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</si>
  <si>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</si>
  <si>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</si>
  <si>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</si>
  <si>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</si>
  <si>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</si>
  <si>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</si>
  <si>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</si>
  <si>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</si>
  <si>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</si>
  <si>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</si>
  <si>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</si>
  <si>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</si>
  <si>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</si>
  <si>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</si>
  <si>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</si>
  <si>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</si>
  <si>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</si>
  <si>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</si>
  <si>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</si>
  <si>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</si>
  <si>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</si>
  <si>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</si>
  <si>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</si>
  <si>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</si>
  <si>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</si>
  <si>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</si>
  <si>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</si>
  <si>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</si>
  <si>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</si>
  <si>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</si>
  <si>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</si>
  <si>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</si>
  <si>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</si>
  <si>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</si>
  <si>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</si>
  <si>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</si>
  <si>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</si>
  <si>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</si>
  <si>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</si>
  <si>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</si>
  <si>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</si>
  <si>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</si>
  <si>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</si>
  <si>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</si>
  <si>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</si>
  <si>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</si>
  <si>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</si>
  <si>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</si>
  <si>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</si>
  <si>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</si>
  <si>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</si>
  <si>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</si>
  <si>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</si>
  <si>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</si>
  <si>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</si>
  <si>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</si>
  <si>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</si>
  <si>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</si>
  <si>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</si>
  <si>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</si>
  <si>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</si>
  <si>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</si>
  <si>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</si>
  <si>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</si>
  <si>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</si>
  <si>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</si>
  <si>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</si>
  <si>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</si>
  <si>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</si>
  <si>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</si>
  <si>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</si>
  <si>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</si>
  <si>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</si>
  <si>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</si>
  <si>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</si>
  <si>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</si>
  <si>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</si>
  <si>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</si>
  <si>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</si>
  <si>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</si>
  <si>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</si>
  <si>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</si>
  <si>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</si>
  <si>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</si>
  <si>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</si>
  <si>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</si>
  <si>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</si>
  <si>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</si>
  <si>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</si>
  <si>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</si>
  <si>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</si>
  <si>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</si>
  <si>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</si>
  <si>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</si>
  <si>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</si>
  <si>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</si>
  <si>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</si>
  <si>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</si>
  <si>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</si>
  <si>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</si>
  <si>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</si>
  <si>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</si>
  <si>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</si>
  <si>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</si>
  <si>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</si>
  <si>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</si>
  <si>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</si>
  <si>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</si>
  <si>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</si>
  <si>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</si>
  <si>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</si>
  <si>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</si>
  <si>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</si>
  <si>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</si>
  <si>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</si>
  <si>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</si>
  <si>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</si>
  <si>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</si>
  <si>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</si>
  <si>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</si>
  <si>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</si>
  <si>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</si>
  <si>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</si>
  <si>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</si>
  <si>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</si>
  <si>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</si>
  <si>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</si>
  <si>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</si>
  <si>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</si>
  <si>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</si>
  <si>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</si>
  <si>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</si>
  <si>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</si>
  <si>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</si>
  <si>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</si>
  <si>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</si>
  <si>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</si>
  <si>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</si>
  <si>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</si>
  <si>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</si>
  <si>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</si>
  <si>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</si>
  <si>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</si>
  <si>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</si>
  <si>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</si>
  <si>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</si>
  <si>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</si>
  <si>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</si>
  <si>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</si>
  <si>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</si>
  <si>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</si>
  <si>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</si>
  <si>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</si>
  <si>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</si>
  <si>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</si>
  <si>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</si>
  <si>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</si>
  <si>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</si>
  <si>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</si>
  <si>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</si>
  <si>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</si>
  <si>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</si>
  <si>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</si>
  <si>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</si>
  <si>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</si>
  <si>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</si>
  <si>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</si>
  <si>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</si>
  <si>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</si>
  <si>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</si>
  <si>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</si>
  <si>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</si>
  <si>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</si>
  <si>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</si>
  <si>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ULID-009205, Issue #:  1.0
UL ENTERPRISE CONFORMITY ASSESSMENT BODY IMPARTIALITY POLICY</t>
  </si>
  <si>
    <t>ULID-000207 (DCS:00-HR-S0052), Issue #: 3.0
RECORD OF AGREEMENTS PERTAINING TO CONFIDENTIALITY, CONFLICT OF INTEREST, BUSINESS ETHICS, AND OTHER POLICIES, (EMPLOYEES)</t>
  </si>
  <si>
    <t>ULID-000682 (DCS:00-LO-S0408), Issue #: 5.0
LABORATORY ACTIVITY VERIFICATION</t>
  </si>
  <si>
    <t>ULID-000687 (DCS:00-LO-S0855), Issue #: 18.0
LABORATORY PERSONNEL REQUIREMENTS
00-LO-F0861, Issue #:  2.0
ULID-000682 (DCS:00-LO-S0408), Issue #: 5.0
LABORATORY ACTIVITY VERIFICATION
COMPETENCE MONITORING FORM</t>
  </si>
  <si>
    <t>Policy-ULID-000487 (DCS:00-LC-P0025), Issue #: 14.2
LABORATORY FACILITIES AND ENVIRONMENTAL CONDITIONS POLICY</t>
  </si>
  <si>
    <t>Policy-ULID-000489 (DCS:00-LC-P0028), Issue #:16.0
LABORATORY CALIBRATION POLICY
Policy-ULID-000491 (DCS:00-LC-P0031), Issue #: 23.0
LABORATORY EQUIPMENT POLICY</t>
  </si>
  <si>
    <t>Policy-ULID-000488 (DCS:00-LC-P0026), Issue #: 9.0
POLICY FOR THE USE OF CALIBRATION VENDORS</t>
  </si>
  <si>
    <t>ULID-001787 (DCS:00-LO-P0851), Issue #: 1.0
BUILT ENVIRONMENT (BE) QUALITY MANUAL – NORTHBROOK, IL
ULID-004141 (DCS:00-CE-P0851), Issue #:  10.0
UL INTERNAL LABORATORY QUALIFICATION FOR CONDUCTING EVALUATIONS USED IN PRODUCT CERTIFICATION 
ULID-009203, Issue #: 2.0
UL ENTERPRISE TESTING AND CALIBRATION LABORATORY COMPLIANCE POLICY (ISO/IEC 17025:2017) 'New'</t>
  </si>
  <si>
    <t xml:space="preserve">ULID-000877 (DCS:00-OP-P0400), Issue #: 8.0
SAMPLE MANAGEMENT POLICY
ULID-001790 (DCS:01-LO-S0124), Issue #: 10.0
NORTHBROOK SAMPLE HANDLING PROCESS
ULID-001331 (DCS: 00-WS-S0854), Issue #:  2.0
LPG FOR THE COLLECTION AND PRESERVATION OF SAMPLES PREPARED ACCORDING TO ANSI/NSF STANDARDS 42, 53, 60, AND 61
ULID-001319 (DCS:00-WS-S0423), Issue #:  3.0
LPG FOR THE PREPARATION OF CONDITIONING AND EXTRACTION WATERS IN NSF/ANSI STANDARD 61 </t>
  </si>
  <si>
    <t>ULID-000680 (DCS:00-LO-S0405, Issue #: 13.0
TEST DATASHEET REQUIREMENTS
ULID-000686 (DCS:00-LO-S0829, Issue #:  10.1
TESTING RELATED TECHNICAL RECORDS</t>
  </si>
  <si>
    <t xml:space="preserve">ULID-000496 (DCS:00-LC-S0278), Issue #: 14.0
EVALUATION OF MEASUREMENT UNCERTAINTY </t>
  </si>
  <si>
    <t>ULID-000689(DCS: 00-LO-S0862), Issue #: 1.0
ENSURING THE VALIDITY OF RESULTS
ULID-007964 (DCS:80-LC-S0026), Issue #:  4.0
US LABORATORY INTERNAL TECHNICAL AUDITS
ULID-000490 (DCS:00-LC-P0029), Issue #: 13.0
PROFICIENCY TESTING POLICY</t>
  </si>
  <si>
    <t>ULID-000490 (DCS:00-LC-P0029), Issue #: 13.0
PROFICIENCY TESTING POLICY</t>
  </si>
  <si>
    <t>ULID-000688 (DCS:00-LO-S0857), Issue #:  7.0
LABORATORY CONTROL OF NONCONFORMING TESTING OR IN-HOUSE CALIBRATION WORK PROCEDURE
ULID-000856 (DCS:00-OP-F0404), Issue #: 9.0
TRACEBACK PROCESS &amp; FORM</t>
  </si>
  <si>
    <t>ULID-000493 (DCS:00-LC-P0046), Issue #:  10.0
LABORATORY COMPLAINT POLICY
ULID-004161, Issue #: 46.0
STANDARD OPERATION PROCEDURES-ULID-004161 (STANDARD OPERATING PROCEDURES FOR HANDLING CUSTOMER COMPLAINTS)</t>
  </si>
  <si>
    <t>ULID-001013 (DCS:00-QA-S0003), Issue #: 40.0
DOCUMENT MANAGEMENT SOP</t>
  </si>
  <si>
    <t>ULID-000435 (DCS:00-IT-P0829), Issue #: 9.0
HANDLING DATA BACKUP AND RETENTION POLICY
ULID-001010 (DCS:00-QA-P0026), Issue #: 5.0
GLOBAL RECORDS POLICY</t>
  </si>
  <si>
    <t>ULID-001015 (DCS:00-QA-S0006), Issue #: 27.0
CORRECTIVE ACTION REQUEST PROCESS</t>
  </si>
  <si>
    <t>ULID-000690 (DCS:00-LO-S0864), Issue #: 1.0
LABORATORY RISKS AND OPPORTUNITIES</t>
  </si>
  <si>
    <t>ULID-000492 (DCS:00-LC-P0040), Issue #: 20.0
LABORATORY MANAGEMENT REVIEW POLICY
ULID-000484 (DCS:00-LC-F0033), Issue #:14.2
LABORATORY MANAGEMENT REVIEW REPORT FORM</t>
  </si>
  <si>
    <t>Canada Safety Scheme, IECEE CB Scheme, US Safety Scheme</t>
  </si>
  <si>
    <t>Audit # 2022-21, 100-IQA</t>
  </si>
  <si>
    <t>Auditor Name: Brian Mahoney</t>
  </si>
  <si>
    <t>Audit Date Range: 05/23-26/2022</t>
  </si>
  <si>
    <t>Audit # 2022-21-IQA</t>
  </si>
  <si>
    <t>Auditor Name: Michael Chiugu / Lizete Mendes</t>
  </si>
  <si>
    <t>CMIT - Medical Device Testing and Conformity, Customer Experience - Lab</t>
  </si>
  <si>
    <t>Lisa Lombardo
Paul Gagliardi - 31653
Aman Oza - 18911
Maximiliano Rodriguez – 11803</t>
  </si>
  <si>
    <t>Signed confidentiality agreements for 
Christopher Conlon - 47087, 
John Leonard - 09747, 
Randy Gutierrez -15561, 
Robert Labriola – 17631
Matthew Molinaro -27081
LMS training on confidentiality and impartiality for Edric Leung and Brian Smith.</t>
  </si>
  <si>
    <t>5 records of selected personnel, including a new hire.
5 records,  including:
Confidentiality agreements
Offer letter w confidentiality embedded.
LMS training.
Impartiality and confidentiality achieved through lower-level procedures, responsibilities, physical separation, security assignments, sites, MR meeting, etc.</t>
  </si>
  <si>
    <t>Lisa Lombardo</t>
  </si>
  <si>
    <t>6 records of selected personnel, including a new hire.
Confidentiality agreements
Offer letter w confidentiality embedded.</t>
  </si>
  <si>
    <t>Paul Gagliardi - 31653
Maximiliano Rodriguez – 11803
Christopher Bednar - 11494</t>
  </si>
  <si>
    <t>Org Charts in MS Teams</t>
  </si>
  <si>
    <t>Interview with managers/leaders.</t>
  </si>
  <si>
    <t>Paul Gagliardi - 31653
Aman Oza - 18911
Maximiliano Rodriguez – 11803
Aaron Reitz - 17801</t>
  </si>
  <si>
    <t>Reviewed TCD, Qualification Records , and Competency monitoring for each of staff indicated.
Rob Labriola - 17631
Christopher Conlon - 47087
John Leonard - 09747
Randy Gutierrez -15561
Edward Larberg - 10839
Aaron Reitz - 17801</t>
  </si>
  <si>
    <r>
      <t xml:space="preserve">Reviewed TCD, Qualification Records , and Competency monitoring.
Missing some competence monitoring records (See CARs).
Laboratory and Handler competency assessment end of year 2021 (CMIT) log.
</t>
    </r>
    <r>
      <rPr>
        <b/>
        <sz val="11"/>
        <color theme="1"/>
        <rFont val="Calibri"/>
        <family val="2"/>
        <scheme val="minor"/>
      </rPr>
      <t>OFI 03:</t>
    </r>
    <r>
      <rPr>
        <sz val="11"/>
        <color theme="1"/>
        <rFont val="Calibri"/>
        <family val="2"/>
        <scheme val="minor"/>
      </rPr>
      <t xml:space="preserve"> Consideration should be given to ensure that anytime the Laboratory personnel requirements change, that associated records are updated accordingly. There were some process changes related to populating the Laboratory Support Qualification records and the one document reviewed belonging to Aaron Reitz is still in the process of updating specifically, on the Measurement Uncertainty section.</t>
    </r>
  </si>
  <si>
    <t>CAR #2022-21-03
CAR #2022-21-04
OFI #03</t>
  </si>
  <si>
    <t>Robert Labriola – 17631
Christopher Conlon – 47087
John Leonard - 09747
Randy Guttierrez - 15561
Edward Larberg - 10839
James Gochman- 11797
Maximiliano Rodriguez – 11803
David V Alma- 10859</t>
  </si>
  <si>
    <t>See "Selection, verification and validation of methods".</t>
  </si>
  <si>
    <t>Facilities reviewed as part of ongoing test demonstration and lab tour.</t>
  </si>
  <si>
    <t xml:space="preserve">Robert Labriola – 17631
Christopher Conlon – 47087
John Leonard - 09747
Randy Guttierrez - 15561
Edward Larberg - 10839
James Gochman- 11797
Maximiliano Rodriguez – 11803
David V Alma- 10859
</t>
  </si>
  <si>
    <t xml:space="preserve">Inclinometer ID# 51396 - Due date: 31-12-2023, Certificate Transcat 6-F03C4-140-1 Revision 0;
Building Monitoring System ID# 64010 - Due date: 30-06-2022 Certificate  UL LLC 2021023393 authorized by Anthony White; 
Micrometer ID# 157034 - Due date: 31-08-2023, Certificate UL LLC 2020031360, authorized by Anthony White;
Current Probe ID# 178337 - Due date: 30-06-2022, Certificate Transcat 6-F993B-60-1 revision 0, approved by Jon Martz. </t>
  </si>
  <si>
    <t xml:space="preserve">Laboratory uses Labware and METTeam for equipment records and cal. certs.
Equipment checks are done before return to service.
Equipment calibrated as needed.
Equipment safeguard from adjustments. Additional equipment were verified, please see "Selection, verification and validation of methods".
</t>
  </si>
  <si>
    <t xml:space="preserve">Christopher Bednar - 11494
</t>
  </si>
  <si>
    <t>Cotton tape #505026 - Order#423582# , Certificate of vendor Atkins &amp; Pearce, Inc, Inspection ok.
Tissue paper #75847 - Order, Certificate of manufacturer Seaman Paper Co, Inspection ok, manufacturer evaluation - ok
Thermocouple Type J #362419 - Order #7202138557, Certificate Re-tipped by Pacific Test and Measurement - manufacturer evaluation - ok
Cotton Gauze (cheese cloth) vendor Deroyal evaluation - ok, certificate - OK</t>
  </si>
  <si>
    <t>Equipment Metrological traceability ( Thru ILAC recognized bodies). 
No non-accredited vendors used.
Supplier evaluation and Certificates of Conformance or Analysis in labware.
Four (4) consumable total viewed for all applicable testing.</t>
  </si>
  <si>
    <t>The lab is not involved in subcontracting.</t>
  </si>
  <si>
    <t>Project #'s: F220699245, F220816397, 4790325886,F221121232, 4790373931, 4790064371</t>
  </si>
  <si>
    <t>Datasheet presented before each test witnessed. (See Selection, verification and validation of methods).</t>
  </si>
  <si>
    <t>Robert Labriola – 17631
Christopher Conlon – 47087
John Leonard - 09747
Randy Guttierrez - 15561
James Gochman- 11797
Maximiliano Rodriguez – 11803</t>
  </si>
  <si>
    <t>Robert Labriola	- Sample: A1489733
Christopher Conlon - Sample: 4117099 and 4788977.
John Leonard - Sample: 4117099
Randy Guttierrez - Sample #: 475832
James Gochman - Sample 4140377
Maximiliano Rodriguez - Sample - IFM 21e27-2</t>
  </si>
  <si>
    <t>See test demonstrations below for additional details.
Sample were found to be with appropriate presonnel and were also entered in labware.
For additional details please refer to selection and verification details below.</t>
  </si>
  <si>
    <t>Maximiliano Rodriguez
Robert Labriola – 17631
Christopher Conlon – 47087
John Leonard - 09747
Randy Guttierrez - 15561
Edward Larberg - 10839
James Gochman- 11797
David V. Alma- 10859</t>
  </si>
  <si>
    <t>Records shown during witnessing tests: See "Selection, verification and validation of methods".</t>
  </si>
  <si>
    <t xml:space="preserve">Aaron Reitz training </t>
  </si>
  <si>
    <t xml:space="preserve">Aaron Reitz - 17801
</t>
  </si>
  <si>
    <t>a) Earthing Resistance Measurement MOU Budget
b) Melville IFM 21 e 26 Ball Pressure Test MOU Budget</t>
  </si>
  <si>
    <t>a) Earthing Resistance Measurement , performed by John Tedesco, analysis by Aaron Reitz on 8-sept-20.
b) Melville IFM 21 e 26 Ball Pressure Test , performed by A. Reitz and approved by John Li on 6-May-21.
Competency profile in Oracle:  LSUP - 100 competent on 09-april-2020. 
MUG member's status is "competent" on Measurement Uncertainty SharePoint Site. 
Note: There was evidence that all the necessary training needed to update the form was already done before the process change.</t>
  </si>
  <si>
    <t>Christopher Bednar - 11494</t>
  </si>
  <si>
    <t>Recalibration of Ammeter #4057 and Stopwatch #212293 in 2021 (MEL - CL); 
Peer audits.</t>
  </si>
  <si>
    <t>See MR on March 7th, 2022 for Melville TL and CL.</t>
  </si>
  <si>
    <t>Final summary report nº 9809 from HN Proficiency Testing, Inc., artifacts: hand gages 31. CAR 213923176 for outlier.</t>
  </si>
  <si>
    <t>CMIT: Mel Medical particpated in a Voltage /Frequency PTP 21E27.2 with 6 outliers (CAR 213924237 opened as a result)
See details in associated MR.</t>
  </si>
  <si>
    <t>Christopher Bednar - 11494
Maximiliano Rodriguez – 11803</t>
  </si>
  <si>
    <t>Horizontal lab "Nonconforming Test and calibration Work and Complaints" log.</t>
  </si>
  <si>
    <t xml:space="preserve"> Nicholas Betzold - 11793
</t>
  </si>
  <si>
    <t>ULID-000435 (DCS:00-IT-P0829), Issue 9.0 - Handling Data Backup and Retention Policy
ULID-000438 (DCS:00-IT-P0856), Issue 1.0 - DATA CENTER/ SERVER ROOM/ CLOSET (GLOBAL ACCESS POLICY)</t>
  </si>
  <si>
    <t xml:space="preserve">Server room entry Log.
Badge acess to server room log
Veeam Back up log </t>
  </si>
  <si>
    <t>Interview with responsible. In Melville there are 3 people involved on IT activities. 
Discussed access/badging system, log maintenance, confirmed on physical server room access, IT back up through NBK, personnel with access rights, server room environmental controls (Humidity and temperature), redundant, Fire suppression system - Halon System.</t>
  </si>
  <si>
    <t xml:space="preserve"> Customer advocacy complaint - Topaz 2.
Horizontal lab "Nonconforming Test and calibration Work and Complaints" log.
CMIT and Horizontal labs management reviews.</t>
  </si>
  <si>
    <t>OFI 04: Consideration should be given to ensure that on the “CMIT laboratory Complaint Log” template, when there are no complaints that some information is entered for clarity to avoid confusion and acknowledging that this was reviewed.
Note; Based on observation, all appropriate details related to complaints were entered in the “CMIT vertical Sub- labs” Laboratory Management Review report with a review date of February 11th, 2022.</t>
  </si>
  <si>
    <t>OFI #4</t>
  </si>
  <si>
    <t>N/A</t>
  </si>
  <si>
    <t>Paul Gagliardi - 31653
Aman Oza - 18911
Maximiliano Rodriguez – 11803
Christopher Bednar - 11494
Aaron Reitz - 17801</t>
  </si>
  <si>
    <t>Discussion and review of documents and records.</t>
  </si>
  <si>
    <t>Paul Gagliardi - 31653
Robert Labriola – 17631
Christopher Conlon – 47087
Aman Oza - 18911
John Leonard - 09747
Randy Guttierrez - 15561
Edward Larberg - 10839
James Gochman- 11797
Maximiliano Rodriguez – 11803
David V Alma- 10859
Christopher Bednar - 11494</t>
  </si>
  <si>
    <t>Discussion and review of documents and records on ECM,SharePoint sites, UL standards on intranet, IHS, etc.</t>
  </si>
  <si>
    <t>All document are controlled as per global requirements in ECM, UL standrads on intranet, IHS, etc.
All documents and document locations are backed up as per IT requirements.</t>
  </si>
  <si>
    <t>Discussion and review of documents and records:  Labware, UL SharePoint sites, ECM, etc. are used.</t>
  </si>
  <si>
    <t xml:space="preserve"> All records are controlled as per global requirements in Labware, UL SharePoint sites, ECM, etc.
All records and record locations are backed up as per IT requirements.</t>
  </si>
  <si>
    <t>GCAR #'s: 21392392, 213923126, 213923125, 213924237</t>
  </si>
  <si>
    <t>To be audited in Global Audit Programs &amp; Corrective and Preventive Action audit, 2022-76-IQA</t>
  </si>
  <si>
    <t>Risks and Opportunities and Improvement Sharepoint site</t>
  </si>
  <si>
    <t>See MR on March 7th, 2022 for Melville TL and CL. 
Impartiality Risk Identification and Mitigation Spreadsheet in NA CMIT SharePoint site, reviewing this at least yearly.</t>
  </si>
  <si>
    <t xml:space="preserve">open items </t>
  </si>
  <si>
    <t xml:space="preserve">Christopher Bednar - 11494
Maximiliano Rodriguez – 11803
</t>
  </si>
  <si>
    <t>MR date february 11, 2022
Signed by Mark Walter OPS Director NA, Feb,11, 2022
MEL -TL1, Paul  MEL TL 2, MEL CAL , MEL Lab Support.
MR 07-March, 2022 Top managers  / date of the 2/28/2022 - managers (1/22/2021) for Melville TL and CL.</t>
  </si>
  <si>
    <t>Reviewed CMIT management review completed in February 11, 2022. All sections reviewed and signed off on February 11, 2022.
Horizontal labs management review done  and reviewed on February 28, 2022.</t>
  </si>
  <si>
    <t xml:space="preserve">Robert Labriola - 17631
</t>
  </si>
  <si>
    <t xml:space="preserve">UL 360 7th </t>
  </si>
  <si>
    <t>Aurora #100148933
(F220699245</t>
  </si>
  <si>
    <t>Sample #1489733 submitted to 100 cycles 168h at 70 +/- 1 ºC
Competence: L1 record signed by Paul 11/1/2021
Oven #9801 used to water conditioning.
Counter machine #5139 
Location #83260: Building Monitoring System #64010, cal due on 6/30/2022
Scale #157551 cal due on 8/21/2022
Timer #191553 due on 1/22/2023
Temperature device #170328 due date 7/31/2022
Chamber #4667 
Cotton stripe #505026</t>
  </si>
  <si>
    <t xml:space="preserve">Christopher Conlon - 47087 
</t>
  </si>
  <si>
    <t>UL 1449 5th</t>
  </si>
  <si>
    <t xml:space="preserve"> Aurora #1001500705
(#F220816397)</t>
  </si>
  <si>
    <t>Sample #4117099, at 3027F large sample storage
Competence: - L1 record presented and checked.
# 2788977 project 
Storage area for chese cloth #2696955 and tissue paper #75847 
 J Type TC #362419</t>
  </si>
  <si>
    <t xml:space="preserve">John Leonard - 09747 </t>
  </si>
  <si>
    <t>UL 508 ed. 18
CSA C22.2 nº 14 ed. 13</t>
  </si>
  <si>
    <t>#4790325886</t>
  </si>
  <si>
    <t xml:space="preserve">1
</t>
  </si>
  <si>
    <t>Test demonstrated:  Clause 65.2 - Limited Voltage /Current Secondary; Clause 65.2
Competence - TEST on 13-jan-2014 Electrical IEC W.Test (qualifications  in TCD database) 
Multimeter #159161
Samples #4750832 and #4927832</t>
  </si>
  <si>
    <t xml:space="preserve">Randy Gutierrez -15561 </t>
  </si>
  <si>
    <t>IEC 60745-1 Portable Tools 4th , cl. 29.1</t>
  </si>
  <si>
    <t>#F221121232</t>
  </si>
  <si>
    <t xml:space="preserve">Competence: TEST on 10-may-2019
Electrical IEC W.Test #4890071
157034 - Due date 2023/08/31
</t>
  </si>
  <si>
    <t xml:space="preserve">Edward Larberg - 10839 - TEST on 13-jan-2014
Electrical IEC W.Test </t>
  </si>
  <si>
    <t>UL 1004-3 2nd</t>
  </si>
  <si>
    <t xml:space="preserve"> # 4790373931</t>
  </si>
  <si>
    <t xml:space="preserve">Sample #4946023 (grinder)
cc thermocouples
Current probe #178337 Due: 2022/06/30
Test Power #156195 Due: 2024/03/31
Agilent datalogger #49751 Due: 2023/03/31
Ambient sensor: #56727 Due: 2022/06/30
Voltmeter #42242 Due: 2022/11/30
</t>
  </si>
  <si>
    <t>Edric Leung</t>
  </si>
  <si>
    <t xml:space="preserve">Maximiliano Rodriguez – 11803
James Gochman - 11797 </t>
  </si>
  <si>
    <t>IEC 61010-1:2010/A1:2016 - Clause 7.4  Stability Test</t>
  </si>
  <si>
    <t>#47900064371</t>
  </si>
  <si>
    <t xml:space="preserve">Equipment: 
Inclinometer 51396; cal. due date 2023/12/31.
Test room , laboratory location id #: 83232
Datalogger RH &amp; Temp equipment id #: 53027; cal. due date 6/30/2022
Force gauge equipment id #:62872; cal. due date 6/30/2022.
Tape measure equipment id #: 148641; cal due date,
Stop watch/Timer equipment id #: 106854 
Sample: 4140377
Project datasheet, meter use
</t>
  </si>
  <si>
    <t>Maximiliano Rodriguez – 11803</t>
  </si>
  <si>
    <r>
      <t xml:space="preserve">
</t>
    </r>
    <r>
      <rPr>
        <sz val="11"/>
        <rFont val="Calibri"/>
        <family val="2"/>
        <scheme val="minor"/>
      </rPr>
      <t>IEC 61010-1: Clause:6.10.3</t>
    </r>
    <r>
      <rPr>
        <sz val="11"/>
        <color theme="1"/>
        <rFont val="Calibri"/>
        <family val="2"/>
        <scheme val="minor"/>
      </rPr>
      <t xml:space="preserve">
</t>
    </r>
  </si>
  <si>
    <t>Test Demonstration IEC 61010-1 Project datasheet.</t>
  </si>
  <si>
    <r>
      <t xml:space="preserve">Sample is the device Plug  discharge - MEAS 21e27-2
</t>
    </r>
    <r>
      <rPr>
        <sz val="11"/>
        <rFont val="Calibri"/>
        <family val="2"/>
        <scheme val="minor"/>
      </rPr>
      <t>Equipment: 
Compliance west device CDT 240 Equip id: 179978; cal. date 2022/7/31.
Oscilloscope - 78169; cal. due date 9/30/2022. 
Ambient temp and humidity - BAM 83230 (Zone 1 North) – Probe 53025; cal. due date 6/30/2022.
Digital multimeter: DMM 84817; cal. due date 8/31/2022. Used to verify bench power supply.
Bench – 68512 – (LHS3); Verified by oscilloscope.</t>
    </r>
    <r>
      <rPr>
        <sz val="11"/>
        <color theme="1"/>
        <rFont val="Calibri"/>
        <family val="2"/>
        <scheme val="minor"/>
      </rPr>
      <t xml:space="preserve">
</t>
    </r>
  </si>
  <si>
    <t>David V. Alma - 10859</t>
  </si>
  <si>
    <t xml:space="preserve">Heating test IEC 62368-1 </t>
  </si>
  <si>
    <t>Test walkthrough.</t>
  </si>
  <si>
    <t>Note: The main person that does this testing was Iqbal Syed who was out.
Test demonstrated: Heating test (method for transformer change of resistance (COR) only).
Equipment:
Software ID: 82237; version 4.0.5.13
Stop watch 103136; cal due date 11/30/2022.
Four (4) wire ohm meter 4330; cal due date 11/30/2022.
Digital Power Analyzer 6142; cal due date 6/30/2022</t>
  </si>
  <si>
    <t>Engineered Materials - Materials and Plastics, Engineered Materials - Wire and Cable, Customer Experience - Lab</t>
  </si>
  <si>
    <t>Elianna Enriquez</t>
  </si>
  <si>
    <t>See path 2- Michael Chiugu/ Lizete Mendes</t>
  </si>
  <si>
    <t>Management Review</t>
  </si>
  <si>
    <t>Elianna Enriquez, Rich Bennett, Nick Roumbos</t>
  </si>
  <si>
    <t>Reviewed organization chart</t>
  </si>
  <si>
    <t>Amanda Mastromarino</t>
  </si>
  <si>
    <t>Reviewed trianing records - Robert Labriola, Emruz Nahin</t>
  </si>
  <si>
    <t>Amanda Mastromarino, Neil Jester</t>
  </si>
  <si>
    <t>Reviewed temperature and humidity</t>
  </si>
  <si>
    <t>4 labs</t>
  </si>
  <si>
    <t>DC Resistance, Freezer, Instron, Crush machine, flame chamber</t>
  </si>
  <si>
    <t>Anthony White, Aaron Reitz, Danny Goss</t>
  </si>
  <si>
    <t>Luisa Rogers</t>
  </si>
  <si>
    <t xml:space="preserve">
ULID-004141 (DCS:00-CE-P0851), Issue #:  10.0
UL INTERNAL LABORATORY QUALIFICATION FOR CONDUCTING EVALUATIONS USED IN PRODUCT CERTIFICATION 
ULID-009203, Issue #: 2.0
UL ENTERPRISE TESTING AND CALIBRATION LABORATORY COMPLIANCE POLICY (ISO/IEC 17025:2017) 'New'</t>
  </si>
  <si>
    <t>Methane gas, nitrogen, helium</t>
  </si>
  <si>
    <t>Emruz Nahin, John Sorano, Nicolina Cassisi</t>
  </si>
  <si>
    <t>reviewed data sheets</t>
  </si>
  <si>
    <t>Mettler scale 44365, stopwatch 81834, Fluke Precision multimeter 52690, Instron 73457</t>
  </si>
  <si>
    <t>Aaron Reitz</t>
  </si>
  <si>
    <t>Last modified 1/12/22</t>
  </si>
  <si>
    <t>Management Review dated 4/27/22</t>
  </si>
  <si>
    <t>Discussed during audit</t>
  </si>
  <si>
    <t>Nick Betzold</t>
  </si>
  <si>
    <t>Covered throughout the audit</t>
  </si>
  <si>
    <t>Brian Hartman</t>
  </si>
  <si>
    <t>UL 13 4th Ed, 3/18/22 Crush test</t>
  </si>
  <si>
    <t>John Sorano</t>
  </si>
  <si>
    <t>FUS sample</t>
  </si>
  <si>
    <t>UL 2556 5th Ed, 4/30/21 Tensile &amp; Elongation</t>
  </si>
  <si>
    <t>Emruz Nahin</t>
  </si>
  <si>
    <t>Chris Salerno</t>
  </si>
  <si>
    <t>Demo</t>
  </si>
  <si>
    <t>Nick Gunn</t>
  </si>
  <si>
    <t>UL 1400-2, 1/6/22 DC Resistance</t>
  </si>
  <si>
    <t>ASTM D638 Tensile &amp; Elongation</t>
  </si>
  <si>
    <t>UL 746C</t>
  </si>
  <si>
    <t>Nicolina Cassisi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</si>
</sst>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color rgb="FF00B050"/>
      <name val="Calibri"/>
      <family val="2"/>
      <scheme val="minor"/>
    </font>
    <font>
      <sz val="9"/>
      <color indexed="81"/>
      <name val="Tahoma"/>
      <charset val="1"/>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1">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6" borderId="1" xfId="0" applyFill="1" applyBorder="1" applyAlignment="1">
      <alignment horizontal="center" vertical="center" wrapText="1"/>
    </xf>
    <xf numFmtId="0" fontId="7"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11" fillId="0" borderId="1" xfId="0" applyFont="1" applyBorder="1"/>
    <xf numFmtId="0" fontId="11" fillId="0" borderId="0" xfId="0" applyFont="1"/>
    <xf numFmtId="0" fontId="0" fillId="0" borderId="1" xfId="0" applyBorder="1" applyAlignment="1">
      <alignment horizontal="center" vertical="center" wrapText="1"/>
    </xf>
    <xf numFmtId="0" fontId="8"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12" fillId="2" borderId="1" xfId="0" applyFont="1" applyFill="1" applyBorder="1" applyAlignment="1">
      <alignment horizontal="center" vertical="center" wrapText="1"/>
    </xf>
  </cellXfs>
  <cellStyles count="1">
    <cellStyle name="Normal" xfId="0" builtinId="0"/>
  </cellStyles>
  <dxfs count="259">
    <dxf>
      <fill>
        <patternFill>
          <bgColor theme="6"/>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7113E009-EF6D-42DD-90E9-D69B06EF9D39}">
    <text>When looking test method,  need further discussion for additional form or pathnote</text>
  </threadedComment>
  <threadedComment ref="Q29" dT="2020-09-22T15:02:37.15" personId="{AC51E8DC-BF1C-40B5-8E58-84AE25CE4664}" id="{05D70D25-240B-45E3-8EE1-478756CDD563}">
    <text>When looking test method,  need further discussion for additional form or pathnote</text>
  </threadedComment>
  <threadedComment ref="Q30" dT="2020-09-22T15:02:37.15" personId="{AC51E8DC-BF1C-40B5-8E58-84AE25CE4664}" id="{990EDD30-EE78-43F2-BDF8-7DE44CC79640}">
    <text>When looking test method,  need further discussion for additional form or pathnote</text>
  </threadedComment>
</ThreadedComments>
</file>

<file path=xl/threadedComments/threadedComment2.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3.xml><?xml version="1.0" encoding="utf-8"?>
<ThreadedComments xmlns="http://schemas.microsoft.com/office/spreadsheetml/2018/threadedcomments" xmlns:x="http://schemas.openxmlformats.org/spreadsheetml/2006/main">
  <threadedComment ref="Q28" dT="2020-09-22T15:02:37.15" personId="{AC51E8DC-BF1C-40B5-8E58-84AE25CE4664}" id="{D43FC0F4-F6FB-44F7-AE4A-D5A424BB9CC8}">
    <text>When looking test method,  need further discussion for additional form or pathnote</text>
  </threadedComment>
  <threadedComment ref="Q29" dT="2020-09-22T15:02:37.15" personId="{AC51E8DC-BF1C-40B5-8E58-84AE25CE4664}" id="{871A6E7A-F5F2-4EAF-8636-5FFEAC255A9A}">
    <text>When looking test method,  need further discussion for additional form or pathnote</text>
  </threadedComment>
  <threadedComment ref="Q30" dT="2020-09-22T15:02:37.15" personId="{AC51E8DC-BF1C-40B5-8E58-84AE25CE4664}" id="{D7E4B069-767F-44D1-9A41-A64CC16FFAB4}">
    <text>When looking test method,  need further discussion for additional form or pathnote</text>
  </threadedComment>
  <threadedComment ref="Q31" dT="2020-09-22T15:02:37.15" personId="{AC51E8DC-BF1C-40B5-8E58-84AE25CE4664}" id="{7F2533E9-9AD9-49ED-95C9-CD729ADEE1B7}">
    <text>When looking test method,  need further discussion for additional form or pathnote</text>
  </threadedComment>
  <threadedComment ref="Q32" dT="2020-09-22T15:02:37.15" personId="{AC51E8DC-BF1C-40B5-8E58-84AE25CE4664}" id="{762588A9-567B-4243-9940-8A5E57DDC884}">
    <text>When looking test method,  need further discussion for additional form or pathnote</text>
  </threadedComment>
  <threadedComment ref="Q33" dT="2020-09-22T15:02:37.15" personId="{AC51E8DC-BF1C-40B5-8E58-84AE25CE4664}" id="{B26A433A-371C-4E6A-98CC-ED637AF778C5}">
    <text>When looking test method,  need further discussion for additional form or pathnote</text>
  </threadedComment>
  <threadedComment ref="Q34" dT="2020-09-22T15:02:37.15" personId="{AC51E8DC-BF1C-40B5-8E58-84AE25CE4664}" id="{15A34BC3-D9E3-4F27-9589-D1EDBB273519}">
    <text>When looking test method,  need further discussion for additional form or pathnote</text>
  </threadedComment>
  <threadedComment ref="Q35" dT="2020-09-22T15:02:37.15" personId="{AC51E8DC-BF1C-40B5-8E58-84AE25CE4664}" id="{D533CA00-9391-4936-8F05-766393DB12D6}">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6E7C2-0E13-48CC-9112-31A8D344C546}">
  <sheetPr codeName="Sheet6"/>
  <dimension ref="A1:R45"/>
  <sheetViews>
    <sheetView tabSelected="1" zoomScale="90" zoomScaleNormal="90" workbookViewId="0">
      <pane xSplit="1" ySplit="2" topLeftCell="F3" activePane="bottomRight" state="frozen"/>
      <selection pane="topRight" activeCell="B1" sqref="B1"/>
      <selection pane="bottomLeft" activeCell="A2" sqref="A2"/>
      <selection pane="bottomRight" activeCell="K33" sqref="K33"/>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864</v>
      </c>
      <c r="B1" s="43" t="s">
        <v>865</v>
      </c>
      <c r="D1" s="44" t="s">
        <v>866</v>
      </c>
      <c r="E1" s="43"/>
      <c r="F1" s="45"/>
      <c r="G1" s="45"/>
      <c r="H1" s="45"/>
      <c r="I1" s="45"/>
      <c r="J1" s="45"/>
      <c r="K1" s="45"/>
      <c r="L1" s="45"/>
      <c r="M1" s="45"/>
      <c r="N1" s="45"/>
      <c r="O1" s="45"/>
      <c r="P1" s="46"/>
      <c r="Q1" s="45"/>
      <c r="R1" s="47"/>
    </row>
    <row r="2" spans="1:18" s="3" customFormat="1" ht="85.5" customHeight="1" x14ac:dyDescent="0.25">
      <c r="A2" s="4" t="s">
        <v>61</v>
      </c>
      <c r="B2" s="42"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8" s="3" customFormat="1" ht="60" x14ac:dyDescent="0.25">
      <c r="A3" s="2" t="s">
        <v>29</v>
      </c>
      <c r="B3" s="50" t="s">
        <v>826</v>
      </c>
      <c r="C3" s="50" t="s">
        <v>458</v>
      </c>
      <c r="D3" s="50" t="s">
        <v>863</v>
      </c>
      <c r="E3" s="50" t="s">
        <v>967</v>
      </c>
      <c r="F3" s="50" t="s">
        <v>968</v>
      </c>
      <c r="G3" s="50" t="s">
        <v>843</v>
      </c>
      <c r="H3" s="50" t="s">
        <v>970</v>
      </c>
      <c r="I3" s="52"/>
      <c r="J3" s="50"/>
      <c r="K3" s="51" t="s">
        <v>148</v>
      </c>
      <c r="L3" s="50"/>
      <c r="M3" s="9"/>
      <c r="N3" s="9"/>
      <c r="O3" s="9"/>
      <c r="P3" s="8" t="s">
        <v>101</v>
      </c>
      <c r="Q3" s="11" t="s">
        <v>35</v>
      </c>
      <c r="R3" s="11" t="s">
        <v>132</v>
      </c>
    </row>
    <row r="4" spans="1:18" s="3" customFormat="1" ht="75" x14ac:dyDescent="0.25">
      <c r="A4" s="2" t="s">
        <v>30</v>
      </c>
      <c r="B4" s="50" t="s">
        <v>826</v>
      </c>
      <c r="C4" s="50" t="s">
        <v>458</v>
      </c>
      <c r="D4" s="50" t="s">
        <v>863</v>
      </c>
      <c r="E4" s="50" t="s">
        <v>967</v>
      </c>
      <c r="F4" s="50" t="s">
        <v>873</v>
      </c>
      <c r="G4" s="53" t="s">
        <v>844</v>
      </c>
      <c r="H4" s="50" t="s">
        <v>969</v>
      </c>
      <c r="I4" s="52"/>
      <c r="J4" s="50"/>
      <c r="K4" s="51" t="s">
        <v>148</v>
      </c>
      <c r="L4" s="50"/>
      <c r="M4" s="9"/>
      <c r="N4" s="9"/>
      <c r="O4" s="9"/>
      <c r="P4" s="8" t="s">
        <v>62</v>
      </c>
      <c r="Q4" s="11" t="s">
        <v>36</v>
      </c>
      <c r="R4" s="11"/>
    </row>
    <row r="5" spans="1:18" s="3" customFormat="1" ht="60" x14ac:dyDescent="0.25">
      <c r="A5" s="2" t="s">
        <v>28</v>
      </c>
      <c r="B5" s="50" t="s">
        <v>826</v>
      </c>
      <c r="C5" s="50" t="s">
        <v>458</v>
      </c>
      <c r="D5" s="50" t="s">
        <v>863</v>
      </c>
      <c r="E5" s="50" t="s">
        <v>967</v>
      </c>
      <c r="F5" s="50" t="s">
        <v>971</v>
      </c>
      <c r="G5" s="50" t="s">
        <v>845</v>
      </c>
      <c r="H5" s="50" t="s">
        <v>972</v>
      </c>
      <c r="I5" s="52"/>
      <c r="J5" s="50"/>
      <c r="K5" s="51" t="s">
        <v>148</v>
      </c>
      <c r="L5" s="50"/>
      <c r="M5" s="9"/>
      <c r="N5" s="9"/>
      <c r="O5" s="9"/>
      <c r="P5" s="8" t="s">
        <v>101</v>
      </c>
      <c r="Q5" s="8" t="s">
        <v>37</v>
      </c>
      <c r="R5" s="11"/>
    </row>
    <row r="6" spans="1:18" s="3" customFormat="1" ht="90" x14ac:dyDescent="0.25">
      <c r="A6" s="2" t="s">
        <v>2</v>
      </c>
      <c r="B6" s="50" t="s">
        <v>826</v>
      </c>
      <c r="C6" s="50" t="s">
        <v>458</v>
      </c>
      <c r="D6" s="50" t="s">
        <v>863</v>
      </c>
      <c r="E6" s="50" t="s">
        <v>967</v>
      </c>
      <c r="F6" s="50" t="s">
        <v>973</v>
      </c>
      <c r="G6" s="53" t="s">
        <v>846</v>
      </c>
      <c r="H6" s="50" t="s">
        <v>974</v>
      </c>
      <c r="I6" s="50">
        <v>2</v>
      </c>
      <c r="J6" s="50"/>
      <c r="K6" s="51" t="s">
        <v>148</v>
      </c>
      <c r="L6" s="50"/>
      <c r="M6" s="9"/>
      <c r="N6" s="9"/>
      <c r="O6" s="9"/>
      <c r="P6" s="8" t="s">
        <v>101</v>
      </c>
      <c r="Q6" s="8" t="s">
        <v>32</v>
      </c>
      <c r="R6" s="11" t="s">
        <v>131</v>
      </c>
    </row>
    <row r="7" spans="1:18" s="3" customFormat="1" ht="60" x14ac:dyDescent="0.25">
      <c r="A7" s="2" t="s">
        <v>1</v>
      </c>
      <c r="B7" s="50" t="s">
        <v>826</v>
      </c>
      <c r="C7" s="50" t="s">
        <v>458</v>
      </c>
      <c r="D7" s="50" t="s">
        <v>863</v>
      </c>
      <c r="E7" s="50" t="s">
        <v>967</v>
      </c>
      <c r="F7" s="50" t="s">
        <v>975</v>
      </c>
      <c r="G7" s="50" t="s">
        <v>847</v>
      </c>
      <c r="H7" s="50" t="s">
        <v>976</v>
      </c>
      <c r="I7" s="50" t="s">
        <v>977</v>
      </c>
      <c r="J7" s="50"/>
      <c r="K7" s="51" t="s">
        <v>148</v>
      </c>
      <c r="L7" s="50"/>
      <c r="M7" s="9"/>
      <c r="N7" s="9"/>
      <c r="O7" s="9"/>
      <c r="P7" s="8" t="s">
        <v>101</v>
      </c>
      <c r="Q7" s="11" t="s">
        <v>33</v>
      </c>
      <c r="R7" s="11"/>
    </row>
    <row r="8" spans="1:18" s="3" customFormat="1" ht="90" x14ac:dyDescent="0.25">
      <c r="A8" s="2" t="s">
        <v>5</v>
      </c>
      <c r="B8" s="50" t="s">
        <v>826</v>
      </c>
      <c r="C8" s="50" t="s">
        <v>458</v>
      </c>
      <c r="D8" s="50" t="s">
        <v>863</v>
      </c>
      <c r="E8" s="50" t="s">
        <v>967</v>
      </c>
      <c r="F8" s="50" t="s">
        <v>979</v>
      </c>
      <c r="G8" s="53" t="s">
        <v>848</v>
      </c>
      <c r="H8" s="50" t="s">
        <v>978</v>
      </c>
      <c r="I8" s="50">
        <v>5</v>
      </c>
      <c r="J8" s="50"/>
      <c r="K8" s="51" t="s">
        <v>148</v>
      </c>
      <c r="L8" s="50"/>
      <c r="M8" s="9"/>
      <c r="N8" s="9"/>
      <c r="O8" s="9"/>
      <c r="P8" s="8" t="s">
        <v>101</v>
      </c>
      <c r="Q8" s="8" t="s">
        <v>43</v>
      </c>
      <c r="R8" s="11" t="s">
        <v>140</v>
      </c>
    </row>
    <row r="9" spans="1:18" s="3" customFormat="1" ht="60" x14ac:dyDescent="0.25">
      <c r="A9" s="2" t="s">
        <v>17</v>
      </c>
      <c r="B9" s="50" t="s">
        <v>826</v>
      </c>
      <c r="C9" s="50" t="s">
        <v>458</v>
      </c>
      <c r="D9" s="50" t="s">
        <v>863</v>
      </c>
      <c r="E9" s="50" t="s">
        <v>967</v>
      </c>
      <c r="F9" s="50" t="s">
        <v>980</v>
      </c>
      <c r="G9" s="50" t="s">
        <v>849</v>
      </c>
      <c r="H9" s="50" t="s">
        <v>982</v>
      </c>
      <c r="I9" s="50">
        <v>3</v>
      </c>
      <c r="J9" s="50"/>
      <c r="K9" s="51" t="s">
        <v>148</v>
      </c>
      <c r="L9" s="50"/>
      <c r="M9" s="9"/>
      <c r="N9" s="9"/>
      <c r="O9" s="9"/>
      <c r="P9" s="8" t="s">
        <v>101</v>
      </c>
      <c r="Q9" s="8" t="s">
        <v>34</v>
      </c>
      <c r="R9" s="11"/>
    </row>
    <row r="10" spans="1:18" s="3" customFormat="1" ht="60" x14ac:dyDescent="0.25">
      <c r="A10" s="2" t="s">
        <v>16</v>
      </c>
      <c r="B10" s="50" t="s">
        <v>826</v>
      </c>
      <c r="C10" s="50" t="s">
        <v>458</v>
      </c>
      <c r="D10" s="50" t="s">
        <v>863</v>
      </c>
      <c r="E10" s="50" t="s">
        <v>967</v>
      </c>
      <c r="F10" s="50"/>
      <c r="G10" s="50"/>
      <c r="H10" s="50"/>
      <c r="I10" s="52"/>
      <c r="J10" s="50"/>
      <c r="K10" s="51" t="s">
        <v>839</v>
      </c>
      <c r="L10" s="50"/>
      <c r="M10" s="9"/>
      <c r="N10" s="9"/>
      <c r="O10" s="9"/>
      <c r="P10" s="8" t="s">
        <v>101</v>
      </c>
      <c r="Q10" s="8" t="s">
        <v>38</v>
      </c>
      <c r="R10" s="11">
        <v>4.5</v>
      </c>
    </row>
    <row r="11" spans="1:18" s="3" customFormat="1" ht="135" x14ac:dyDescent="0.25">
      <c r="A11" s="2" t="s">
        <v>4</v>
      </c>
      <c r="B11" s="50" t="s">
        <v>826</v>
      </c>
      <c r="C11" s="50" t="s">
        <v>458</v>
      </c>
      <c r="D11" s="50" t="s">
        <v>863</v>
      </c>
      <c r="E11" s="50" t="s">
        <v>967</v>
      </c>
      <c r="F11" s="50" t="s">
        <v>983</v>
      </c>
      <c r="G11" s="50" t="s">
        <v>981</v>
      </c>
      <c r="H11" s="50" t="s">
        <v>984</v>
      </c>
      <c r="I11" s="50">
        <v>4</v>
      </c>
      <c r="J11" s="50"/>
      <c r="K11" s="51" t="s">
        <v>148</v>
      </c>
      <c r="L11" s="50"/>
      <c r="M11" s="9"/>
      <c r="N11" s="9"/>
      <c r="O11" s="9"/>
      <c r="P11" s="7" t="s">
        <v>62</v>
      </c>
      <c r="Q11" s="7" t="s">
        <v>39</v>
      </c>
      <c r="R11" s="11"/>
    </row>
    <row r="12" spans="1:18" s="3" customFormat="1" ht="180" x14ac:dyDescent="0.25">
      <c r="A12" s="2" t="s">
        <v>7</v>
      </c>
      <c r="B12" s="50" t="s">
        <v>826</v>
      </c>
      <c r="C12" s="50" t="s">
        <v>458</v>
      </c>
      <c r="D12" s="50" t="s">
        <v>863</v>
      </c>
      <c r="E12" s="50" t="s">
        <v>967</v>
      </c>
      <c r="F12" s="50" t="s">
        <v>979</v>
      </c>
      <c r="G12" s="50" t="s">
        <v>851</v>
      </c>
      <c r="H12" s="50" t="s">
        <v>985</v>
      </c>
      <c r="I12" s="50">
        <v>5</v>
      </c>
      <c r="J12" s="50"/>
      <c r="K12" s="51" t="s">
        <v>148</v>
      </c>
      <c r="L12" s="50"/>
      <c r="M12" s="9"/>
      <c r="N12" s="9"/>
      <c r="O12" s="9"/>
      <c r="P12" s="8" t="s">
        <v>101</v>
      </c>
      <c r="Q12" s="12" t="s">
        <v>40</v>
      </c>
      <c r="R12" s="11"/>
    </row>
    <row r="13" spans="1:18" s="3" customFormat="1" ht="60" x14ac:dyDescent="0.25">
      <c r="A13" s="2" t="s">
        <v>19</v>
      </c>
      <c r="B13" s="50" t="s">
        <v>826</v>
      </c>
      <c r="C13" s="50" t="s">
        <v>458</v>
      </c>
      <c r="D13" s="50" t="s">
        <v>863</v>
      </c>
      <c r="E13" s="50" t="s">
        <v>967</v>
      </c>
      <c r="F13" s="50" t="s">
        <v>983</v>
      </c>
      <c r="G13" s="50" t="s">
        <v>852</v>
      </c>
      <c r="H13" s="50" t="s">
        <v>984</v>
      </c>
      <c r="I13" s="50">
        <v>5</v>
      </c>
      <c r="J13" s="50"/>
      <c r="K13" s="51" t="s">
        <v>148</v>
      </c>
      <c r="L13" s="50"/>
      <c r="M13" s="9"/>
      <c r="N13" s="9"/>
      <c r="O13" s="9"/>
      <c r="P13" s="8" t="s">
        <v>101</v>
      </c>
      <c r="Q13" s="8" t="s">
        <v>50</v>
      </c>
      <c r="R13" s="11" t="s">
        <v>135</v>
      </c>
    </row>
    <row r="14" spans="1:18" s="3" customFormat="1" ht="60" x14ac:dyDescent="0.25">
      <c r="A14" s="2" t="s">
        <v>9</v>
      </c>
      <c r="B14" s="50" t="s">
        <v>826</v>
      </c>
      <c r="C14" s="50" t="s">
        <v>458</v>
      </c>
      <c r="D14" s="50" t="s">
        <v>863</v>
      </c>
      <c r="E14" s="50" t="s">
        <v>967</v>
      </c>
      <c r="F14" s="50" t="s">
        <v>986</v>
      </c>
      <c r="G14" s="50" t="s">
        <v>853</v>
      </c>
      <c r="H14" s="50" t="s">
        <v>987</v>
      </c>
      <c r="I14" s="52"/>
      <c r="J14" s="50"/>
      <c r="K14" s="51" t="s">
        <v>148</v>
      </c>
      <c r="L14" s="50"/>
      <c r="M14" s="9"/>
      <c r="N14" s="9"/>
      <c r="O14" s="9"/>
      <c r="P14" s="8" t="s">
        <v>101</v>
      </c>
      <c r="Q14" s="8" t="s">
        <v>42</v>
      </c>
      <c r="R14" s="11"/>
    </row>
    <row r="15" spans="1:18" s="3" customFormat="1" ht="90" x14ac:dyDescent="0.25">
      <c r="A15" s="2" t="s">
        <v>10</v>
      </c>
      <c r="B15" s="50" t="s">
        <v>826</v>
      </c>
      <c r="C15" s="50" t="s">
        <v>458</v>
      </c>
      <c r="D15" s="50" t="s">
        <v>863</v>
      </c>
      <c r="E15" s="50" t="s">
        <v>967</v>
      </c>
      <c r="F15" s="50" t="s">
        <v>968</v>
      </c>
      <c r="G15" s="50" t="s">
        <v>854</v>
      </c>
      <c r="H15" s="50" t="s">
        <v>988</v>
      </c>
      <c r="I15" s="52"/>
      <c r="J15" s="50"/>
      <c r="K15" s="51" t="s">
        <v>148</v>
      </c>
      <c r="L15" s="50"/>
      <c r="M15" s="9"/>
      <c r="N15" s="9"/>
      <c r="O15" s="9"/>
      <c r="P15" s="8" t="s">
        <v>101</v>
      </c>
      <c r="Q15" s="8" t="s">
        <v>41</v>
      </c>
      <c r="R15" s="11"/>
    </row>
    <row r="16" spans="1:18" s="3" customFormat="1" ht="60" x14ac:dyDescent="0.25">
      <c r="A16" s="2" t="s">
        <v>11</v>
      </c>
      <c r="B16" s="50" t="s">
        <v>826</v>
      </c>
      <c r="C16" s="50" t="s">
        <v>458</v>
      </c>
      <c r="D16" s="50" t="s">
        <v>863</v>
      </c>
      <c r="E16" s="50" t="s">
        <v>967</v>
      </c>
      <c r="F16" s="50" t="s">
        <v>968</v>
      </c>
      <c r="G16" s="50" t="s">
        <v>855</v>
      </c>
      <c r="H16" s="50" t="s">
        <v>988</v>
      </c>
      <c r="I16" s="52"/>
      <c r="J16" s="50"/>
      <c r="K16" s="51" t="s">
        <v>148</v>
      </c>
      <c r="L16" s="50"/>
      <c r="M16" s="9"/>
      <c r="N16" s="9"/>
      <c r="O16" s="9"/>
      <c r="P16" s="8" t="s">
        <v>101</v>
      </c>
      <c r="Q16" s="8" t="s">
        <v>44</v>
      </c>
      <c r="R16" s="11"/>
    </row>
    <row r="17" spans="1:18" s="3" customFormat="1" ht="90" x14ac:dyDescent="0.25">
      <c r="A17" s="2" t="s">
        <v>12</v>
      </c>
      <c r="B17" s="50" t="s">
        <v>826</v>
      </c>
      <c r="C17" s="50" t="s">
        <v>458</v>
      </c>
      <c r="D17" s="50" t="s">
        <v>863</v>
      </c>
      <c r="E17" s="50" t="s">
        <v>967</v>
      </c>
      <c r="F17" s="50" t="s">
        <v>973</v>
      </c>
      <c r="G17" s="50" t="s">
        <v>856</v>
      </c>
      <c r="H17" s="50" t="s">
        <v>989</v>
      </c>
      <c r="I17" s="52"/>
      <c r="J17" s="50"/>
      <c r="K17" s="51" t="s">
        <v>148</v>
      </c>
      <c r="L17" s="50"/>
      <c r="M17" s="9"/>
      <c r="N17" s="9"/>
      <c r="O17" s="9"/>
      <c r="P17" s="8" t="s">
        <v>101</v>
      </c>
      <c r="Q17" s="8" t="s">
        <v>45</v>
      </c>
      <c r="R17" s="11" t="s">
        <v>138</v>
      </c>
    </row>
    <row r="18" spans="1:18" s="3" customFormat="1" ht="75" x14ac:dyDescent="0.25">
      <c r="A18" s="2" t="s">
        <v>13</v>
      </c>
      <c r="B18" s="50" t="s">
        <v>826</v>
      </c>
      <c r="C18" s="50" t="s">
        <v>458</v>
      </c>
      <c r="D18" s="50" t="s">
        <v>863</v>
      </c>
      <c r="E18" s="50" t="s">
        <v>967</v>
      </c>
      <c r="F18" s="50" t="s">
        <v>990</v>
      </c>
      <c r="G18" s="50" t="s">
        <v>911</v>
      </c>
      <c r="H18" s="50" t="s">
        <v>969</v>
      </c>
      <c r="I18" s="52"/>
      <c r="J18" s="50"/>
      <c r="K18" s="51" t="s">
        <v>148</v>
      </c>
      <c r="L18" s="50"/>
      <c r="M18" s="9"/>
      <c r="N18" s="9"/>
      <c r="O18" s="9"/>
      <c r="P18" s="8" t="s">
        <v>101</v>
      </c>
      <c r="Q18" s="8" t="s">
        <v>51</v>
      </c>
      <c r="R18" s="11"/>
    </row>
    <row r="19" spans="1:18" s="3" customFormat="1" ht="90" x14ac:dyDescent="0.25">
      <c r="A19" s="2" t="s">
        <v>21</v>
      </c>
      <c r="B19" s="50" t="s">
        <v>826</v>
      </c>
      <c r="C19" s="50" t="s">
        <v>458</v>
      </c>
      <c r="D19" s="50" t="s">
        <v>863</v>
      </c>
      <c r="E19" s="50" t="s">
        <v>967</v>
      </c>
      <c r="F19" s="50" t="s">
        <v>968</v>
      </c>
      <c r="G19" s="50" t="s">
        <v>857</v>
      </c>
      <c r="H19" s="50" t="s">
        <v>988</v>
      </c>
      <c r="I19" s="52"/>
      <c r="J19" s="50"/>
      <c r="K19" s="51" t="s">
        <v>148</v>
      </c>
      <c r="L19" s="50"/>
      <c r="M19" s="9"/>
      <c r="N19" s="9"/>
      <c r="O19" s="9"/>
      <c r="P19" s="7" t="s">
        <v>62</v>
      </c>
      <c r="Q19" s="7" t="s">
        <v>52</v>
      </c>
      <c r="R19" s="11"/>
    </row>
    <row r="20" spans="1:18" s="3" customFormat="1" ht="60" x14ac:dyDescent="0.25">
      <c r="A20" s="2" t="s">
        <v>6</v>
      </c>
      <c r="B20" s="50" t="s">
        <v>826</v>
      </c>
      <c r="C20" s="50" t="s">
        <v>458</v>
      </c>
      <c r="D20" s="50" t="s">
        <v>863</v>
      </c>
      <c r="E20" s="50" t="s">
        <v>967</v>
      </c>
      <c r="F20" s="50"/>
      <c r="G20" s="50"/>
      <c r="H20" s="50"/>
      <c r="I20" s="52"/>
      <c r="J20" s="50"/>
      <c r="K20" s="51" t="s">
        <v>840</v>
      </c>
      <c r="L20" s="50"/>
      <c r="M20" s="9"/>
      <c r="N20" s="9"/>
      <c r="O20" s="9"/>
      <c r="P20" s="8" t="s">
        <v>101</v>
      </c>
      <c r="Q20" s="8" t="s">
        <v>46</v>
      </c>
      <c r="R20" s="11"/>
    </row>
    <row r="21" spans="1:18" s="3" customFormat="1" ht="60" x14ac:dyDescent="0.25">
      <c r="A21" s="2" t="s">
        <v>3</v>
      </c>
      <c r="B21" s="50" t="s">
        <v>826</v>
      </c>
      <c r="C21" s="50" t="s">
        <v>458</v>
      </c>
      <c r="D21" s="50" t="s">
        <v>863</v>
      </c>
      <c r="E21" s="50" t="s">
        <v>967</v>
      </c>
      <c r="F21" s="50" t="s">
        <v>971</v>
      </c>
      <c r="G21" s="50" t="s">
        <v>843</v>
      </c>
      <c r="H21" s="50" t="s">
        <v>991</v>
      </c>
      <c r="I21" s="52"/>
      <c r="J21" s="50"/>
      <c r="K21" s="51" t="s">
        <v>148</v>
      </c>
      <c r="L21" s="50"/>
      <c r="M21" s="9"/>
      <c r="N21" s="9"/>
      <c r="O21" s="9"/>
      <c r="P21" s="8" t="s">
        <v>101</v>
      </c>
      <c r="Q21" s="8" t="s">
        <v>53</v>
      </c>
      <c r="R21" s="11" t="s">
        <v>133</v>
      </c>
    </row>
    <row r="22" spans="1:18" s="3" customFormat="1" ht="60" x14ac:dyDescent="0.25">
      <c r="A22" s="2" t="s">
        <v>18</v>
      </c>
      <c r="B22" s="50" t="s">
        <v>826</v>
      </c>
      <c r="C22" s="50" t="s">
        <v>458</v>
      </c>
      <c r="D22" s="50" t="s">
        <v>863</v>
      </c>
      <c r="E22" s="50" t="s">
        <v>967</v>
      </c>
      <c r="F22" s="50" t="s">
        <v>971</v>
      </c>
      <c r="G22" s="50" t="s">
        <v>858</v>
      </c>
      <c r="H22" s="50" t="s">
        <v>991</v>
      </c>
      <c r="I22" s="52"/>
      <c r="J22" s="50"/>
      <c r="K22" s="51" t="s">
        <v>148</v>
      </c>
      <c r="L22" s="50"/>
      <c r="M22" s="9"/>
      <c r="N22" s="9"/>
      <c r="O22" s="9"/>
      <c r="P22" s="8" t="s">
        <v>62</v>
      </c>
      <c r="Q22" s="8" t="s">
        <v>47</v>
      </c>
      <c r="R22" s="11" t="s">
        <v>139</v>
      </c>
    </row>
    <row r="23" spans="1:18" s="3" customFormat="1" ht="75" x14ac:dyDescent="0.25">
      <c r="A23" s="2" t="s">
        <v>8</v>
      </c>
      <c r="B23" s="50" t="s">
        <v>826</v>
      </c>
      <c r="C23" s="50" t="s">
        <v>458</v>
      </c>
      <c r="D23" s="50" t="s">
        <v>863</v>
      </c>
      <c r="E23" s="50" t="s">
        <v>967</v>
      </c>
      <c r="F23" s="50" t="s">
        <v>990</v>
      </c>
      <c r="G23" s="50" t="s">
        <v>859</v>
      </c>
      <c r="H23" s="50" t="s">
        <v>969</v>
      </c>
      <c r="I23" s="52"/>
      <c r="J23" s="50"/>
      <c r="K23" s="51" t="s">
        <v>148</v>
      </c>
      <c r="L23" s="50"/>
      <c r="M23" s="9"/>
      <c r="N23" s="9"/>
      <c r="O23" s="9"/>
      <c r="P23" s="8" t="s">
        <v>62</v>
      </c>
      <c r="Q23" s="8" t="s">
        <v>31</v>
      </c>
      <c r="R23" s="11"/>
    </row>
    <row r="24" spans="1:18" s="3" customFormat="1" ht="60" x14ac:dyDescent="0.25">
      <c r="A24" s="2" t="s">
        <v>14</v>
      </c>
      <c r="B24" s="50" t="s">
        <v>826</v>
      </c>
      <c r="C24" s="50" t="s">
        <v>458</v>
      </c>
      <c r="D24" s="50" t="s">
        <v>863</v>
      </c>
      <c r="E24" s="50" t="s">
        <v>967</v>
      </c>
      <c r="F24" s="50" t="s">
        <v>968</v>
      </c>
      <c r="G24" s="50" t="s">
        <v>860</v>
      </c>
      <c r="H24" s="50" t="s">
        <v>988</v>
      </c>
      <c r="I24" s="52"/>
      <c r="J24" s="50"/>
      <c r="K24" s="51" t="s">
        <v>148</v>
      </c>
      <c r="L24" s="50"/>
      <c r="M24" s="9"/>
      <c r="N24" s="9"/>
      <c r="O24" s="9"/>
      <c r="P24" s="8" t="s">
        <v>62</v>
      </c>
      <c r="Q24" s="8" t="s">
        <v>48</v>
      </c>
      <c r="R24" s="11"/>
    </row>
    <row r="25" spans="1:18" s="3" customFormat="1" ht="60" x14ac:dyDescent="0.25">
      <c r="A25" s="2" t="s">
        <v>0</v>
      </c>
      <c r="B25" s="50" t="s">
        <v>826</v>
      </c>
      <c r="C25" s="50" t="s">
        <v>458</v>
      </c>
      <c r="D25" s="50" t="s">
        <v>863</v>
      </c>
      <c r="E25" s="50" t="s">
        <v>967</v>
      </c>
      <c r="F25" s="50"/>
      <c r="G25" s="50"/>
      <c r="H25" s="50"/>
      <c r="I25" s="52"/>
      <c r="J25" s="50"/>
      <c r="K25" s="51" t="s">
        <v>839</v>
      </c>
      <c r="L25" s="54"/>
      <c r="M25" s="9"/>
      <c r="N25" s="9"/>
      <c r="O25" s="9"/>
      <c r="P25" s="8" t="s">
        <v>62</v>
      </c>
      <c r="Q25" s="8" t="s">
        <v>49</v>
      </c>
      <c r="R25" s="11"/>
    </row>
    <row r="26" spans="1:18" s="3" customFormat="1" ht="60" x14ac:dyDescent="0.25">
      <c r="A26" s="2" t="s">
        <v>54</v>
      </c>
      <c r="B26" s="50" t="s">
        <v>826</v>
      </c>
      <c r="C26" s="50" t="s">
        <v>458</v>
      </c>
      <c r="D26" s="50" t="s">
        <v>863</v>
      </c>
      <c r="E26" s="50" t="s">
        <v>967</v>
      </c>
      <c r="F26" s="50" t="s">
        <v>968</v>
      </c>
      <c r="G26" s="50" t="s">
        <v>861</v>
      </c>
      <c r="H26" s="50" t="s">
        <v>988</v>
      </c>
      <c r="I26" s="52"/>
      <c r="J26" s="50"/>
      <c r="K26" s="51" t="s">
        <v>148</v>
      </c>
      <c r="L26" s="50"/>
      <c r="M26" s="9"/>
      <c r="N26" s="9"/>
      <c r="O26" s="9"/>
      <c r="P26" s="8" t="s">
        <v>101</v>
      </c>
      <c r="Q26" s="8" t="s">
        <v>55</v>
      </c>
      <c r="R26" s="11"/>
    </row>
    <row r="27" spans="1:18" s="3" customFormat="1" ht="75" x14ac:dyDescent="0.25">
      <c r="A27" s="2" t="s">
        <v>15</v>
      </c>
      <c r="B27" s="50" t="s">
        <v>826</v>
      </c>
      <c r="C27" s="50" t="s">
        <v>458</v>
      </c>
      <c r="D27" s="50" t="s">
        <v>863</v>
      </c>
      <c r="E27" s="50" t="s">
        <v>967</v>
      </c>
      <c r="F27" s="50" t="s">
        <v>968</v>
      </c>
      <c r="G27" s="50" t="s">
        <v>862</v>
      </c>
      <c r="H27" s="50" t="s">
        <v>988</v>
      </c>
      <c r="I27" s="52"/>
      <c r="J27" s="50"/>
      <c r="K27" s="51" t="s">
        <v>148</v>
      </c>
      <c r="L27" s="50"/>
      <c r="M27" s="9"/>
      <c r="N27" s="9"/>
      <c r="O27" s="9"/>
      <c r="P27" s="8" t="s">
        <v>101</v>
      </c>
      <c r="Q27" s="8" t="s">
        <v>56</v>
      </c>
      <c r="R27" s="11"/>
    </row>
    <row r="28" spans="1:18" s="3" customFormat="1" ht="105" x14ac:dyDescent="0.25">
      <c r="A28" s="2" t="s">
        <v>20</v>
      </c>
      <c r="B28" s="50" t="s">
        <v>826</v>
      </c>
      <c r="C28" s="50" t="s">
        <v>458</v>
      </c>
      <c r="D28" s="50" t="s">
        <v>863</v>
      </c>
      <c r="E28" s="50" t="s">
        <v>967</v>
      </c>
      <c r="F28" s="50" t="s">
        <v>992</v>
      </c>
      <c r="G28" s="50" t="s">
        <v>993</v>
      </c>
      <c r="H28" s="50">
        <v>479327786</v>
      </c>
      <c r="I28" s="50">
        <v>1</v>
      </c>
      <c r="J28" s="50"/>
      <c r="K28" s="51" t="s">
        <v>148</v>
      </c>
      <c r="L28" s="50"/>
      <c r="M28" s="9"/>
      <c r="N28" s="9"/>
      <c r="O28" s="9"/>
      <c r="P28" s="8" t="s">
        <v>101</v>
      </c>
      <c r="Q28" s="8" t="s">
        <v>57</v>
      </c>
      <c r="R28" s="11" t="s">
        <v>134</v>
      </c>
    </row>
    <row r="29" spans="1:18" s="3" customFormat="1" ht="105" x14ac:dyDescent="0.25">
      <c r="A29" s="2" t="s">
        <v>20</v>
      </c>
      <c r="B29" s="50" t="s">
        <v>826</v>
      </c>
      <c r="C29" s="50" t="s">
        <v>458</v>
      </c>
      <c r="D29" s="50" t="s">
        <v>863</v>
      </c>
      <c r="E29" s="50" t="s">
        <v>967</v>
      </c>
      <c r="F29" s="50" t="s">
        <v>994</v>
      </c>
      <c r="G29" s="50" t="s">
        <v>996</v>
      </c>
      <c r="H29" s="50" t="s">
        <v>995</v>
      </c>
      <c r="I29" s="50">
        <v>1</v>
      </c>
      <c r="J29" s="50"/>
      <c r="K29" s="51" t="s">
        <v>148</v>
      </c>
      <c r="L29" s="50"/>
      <c r="M29" s="9"/>
      <c r="N29" s="9"/>
      <c r="O29" s="9"/>
      <c r="P29" s="8" t="s">
        <v>101</v>
      </c>
      <c r="Q29" s="8" t="s">
        <v>57</v>
      </c>
      <c r="R29" s="11" t="s">
        <v>134</v>
      </c>
    </row>
    <row r="30" spans="1:18" s="3" customFormat="1" ht="105" x14ac:dyDescent="0.25">
      <c r="A30" s="2" t="s">
        <v>20</v>
      </c>
      <c r="B30" s="50" t="s">
        <v>826</v>
      </c>
      <c r="C30" s="50" t="s">
        <v>458</v>
      </c>
      <c r="D30" s="50" t="s">
        <v>863</v>
      </c>
      <c r="E30" s="50" t="s">
        <v>967</v>
      </c>
      <c r="F30" s="50" t="s">
        <v>997</v>
      </c>
      <c r="G30" s="50" t="s">
        <v>1001</v>
      </c>
      <c r="H30" s="50">
        <v>4790343108</v>
      </c>
      <c r="I30" s="50">
        <v>1</v>
      </c>
      <c r="J30" s="50"/>
      <c r="K30" s="51" t="s">
        <v>148</v>
      </c>
      <c r="L30" s="50"/>
      <c r="M30" s="9"/>
      <c r="N30" s="9"/>
      <c r="O30" s="9"/>
      <c r="P30" s="8" t="s">
        <v>101</v>
      </c>
      <c r="Q30" s="8" t="s">
        <v>57</v>
      </c>
      <c r="R30" s="11" t="s">
        <v>134</v>
      </c>
    </row>
    <row r="31" spans="1:18" s="3" customFormat="1" ht="60" x14ac:dyDescent="0.25">
      <c r="A31" s="2" t="s">
        <v>20</v>
      </c>
      <c r="B31" s="50" t="s">
        <v>826</v>
      </c>
      <c r="C31" s="50" t="s">
        <v>458</v>
      </c>
      <c r="D31" s="1" t="s">
        <v>863</v>
      </c>
      <c r="E31" s="50" t="s">
        <v>967</v>
      </c>
      <c r="F31" s="1" t="s">
        <v>998</v>
      </c>
      <c r="G31" s="1" t="s">
        <v>1002</v>
      </c>
      <c r="H31" s="1" t="s">
        <v>999</v>
      </c>
      <c r="I31" s="1">
        <v>1</v>
      </c>
      <c r="J31" s="1"/>
      <c r="K31" s="29" t="s">
        <v>148</v>
      </c>
      <c r="L31" s="1"/>
      <c r="M31" s="9"/>
      <c r="N31" s="9"/>
      <c r="O31" s="9"/>
      <c r="R31" s="11"/>
    </row>
    <row r="32" spans="1:18" s="3" customFormat="1" ht="60" x14ac:dyDescent="0.25">
      <c r="A32" s="2" t="s">
        <v>20</v>
      </c>
      <c r="B32" s="50" t="s">
        <v>826</v>
      </c>
      <c r="C32" s="50" t="s">
        <v>458</v>
      </c>
      <c r="D32" s="1" t="s">
        <v>863</v>
      </c>
      <c r="E32" s="50" t="s">
        <v>967</v>
      </c>
      <c r="F32" s="1" t="s">
        <v>1000</v>
      </c>
      <c r="G32" s="1" t="s">
        <v>1003</v>
      </c>
      <c r="H32" s="1" t="s">
        <v>999</v>
      </c>
      <c r="I32" s="1">
        <v>1</v>
      </c>
      <c r="J32" s="1"/>
      <c r="K32" s="29" t="s">
        <v>148</v>
      </c>
      <c r="L32" s="1"/>
      <c r="M32" s="9"/>
      <c r="N32" s="9"/>
      <c r="O32" s="9"/>
      <c r="R32" s="11"/>
    </row>
    <row r="33" spans="1:18" s="3" customFormat="1" ht="60" x14ac:dyDescent="0.25">
      <c r="A33" s="2" t="s">
        <v>20</v>
      </c>
      <c r="B33" s="1" t="s">
        <v>826</v>
      </c>
      <c r="C33" s="50" t="s">
        <v>458</v>
      </c>
      <c r="D33" s="1" t="s">
        <v>863</v>
      </c>
      <c r="E33" s="50" t="s">
        <v>967</v>
      </c>
      <c r="F33" s="1" t="s">
        <v>1004</v>
      </c>
      <c r="G33" s="1" t="s">
        <v>1003</v>
      </c>
      <c r="H33" s="1" t="s">
        <v>999</v>
      </c>
      <c r="I33" s="1">
        <v>1</v>
      </c>
      <c r="J33" s="1"/>
      <c r="K33" s="29" t="s">
        <v>148</v>
      </c>
      <c r="L33" s="29"/>
      <c r="M33" s="9"/>
      <c r="N33" s="9"/>
      <c r="O33" s="9"/>
      <c r="Q33" s="7"/>
      <c r="R33" s="11"/>
    </row>
    <row r="34" spans="1:18" x14ac:dyDescent="0.25">
      <c r="Q34" s="10"/>
    </row>
    <row r="35" spans="1:18" x14ac:dyDescent="0.25">
      <c r="Q35" s="10"/>
    </row>
    <row r="36" spans="1:18" x14ac:dyDescent="0.25">
      <c r="Q36" s="10"/>
    </row>
    <row r="37" spans="1:18" x14ac:dyDescent="0.25">
      <c r="Q37" s="10"/>
    </row>
    <row r="38" spans="1:18" x14ac:dyDescent="0.25">
      <c r="Q38" s="10"/>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sheetData>
  <conditionalFormatting sqref="K3:K29">
    <cfRule type="expression" dxfId="258" priority="51">
      <formula>COUNTBLANK($K3)</formula>
    </cfRule>
  </conditionalFormatting>
  <conditionalFormatting sqref="A6:A9 A11:A13 A28:A29 A34:A39">
    <cfRule type="expression" dxfId="257" priority="50">
      <formula>COUNTBLANK($F6:$I6)+COUNTBLANK(K6)</formula>
    </cfRule>
  </conditionalFormatting>
  <conditionalFormatting sqref="A3:A8 A10 A14:A27">
    <cfRule type="expression" dxfId="256" priority="49">
      <formula>COUNTBLANK($F3:$H3)+COUNTBLANK(K3)</formula>
    </cfRule>
  </conditionalFormatting>
  <conditionalFormatting sqref="F31:F39 F3:F29">
    <cfRule type="expression" dxfId="255" priority="45">
      <formula>COUNTBLANK($F3)</formula>
    </cfRule>
  </conditionalFormatting>
  <conditionalFormatting sqref="H31:H39 H3:H29">
    <cfRule type="expression" dxfId="254" priority="46">
      <formula>COUNTBLANK($G3)</formula>
    </cfRule>
    <cfRule type="expression" dxfId="253" priority="47">
      <formula>COUNTBLANK($H3)</formula>
    </cfRule>
  </conditionalFormatting>
  <conditionalFormatting sqref="A3:A29 A34:A39">
    <cfRule type="expression" dxfId="252" priority="37">
      <formula>$K3="Not Applicable"</formula>
    </cfRule>
    <cfRule type="expression" dxfId="251" priority="38">
      <formula>$K3="Not Audited"</formula>
    </cfRule>
  </conditionalFormatting>
  <conditionalFormatting sqref="I6:I9 I11:I13 I28:I29 I31:I39">
    <cfRule type="expression" dxfId="250" priority="48">
      <formula>COUNTBLANK($I6)</formula>
    </cfRule>
  </conditionalFormatting>
  <conditionalFormatting sqref="E28:I28 B3:F3 B4:D30 F29:I29 E23:E30 H3:I27 E4:F27 B31:I39">
    <cfRule type="expression" dxfId="2" priority="36">
      <formula>$K3="Not Applicable"</formula>
    </cfRule>
    <cfRule type="expression" dxfId="1" priority="39">
      <formula>$K3="Not Audited"</formula>
    </cfRule>
  </conditionalFormatting>
  <conditionalFormatting sqref="D3:D39">
    <cfRule type="expression" dxfId="0" priority="43">
      <formula>COUNTBLANK($D3)</formula>
    </cfRule>
  </conditionalFormatting>
  <conditionalFormatting sqref="E3:E39">
    <cfRule type="expression" dxfId="249" priority="44">
      <formula>COUNTBLANK($E3)</formula>
    </cfRule>
  </conditionalFormatting>
  <conditionalFormatting sqref="B3:B39">
    <cfRule type="expression" dxfId="248" priority="41">
      <formula>COUNTBLANK($B3)</formula>
    </cfRule>
  </conditionalFormatting>
  <conditionalFormatting sqref="C3:C39">
    <cfRule type="expression" dxfId="247" priority="42">
      <formula>COUNTBLANK($C3)</formula>
    </cfRule>
  </conditionalFormatting>
  <conditionalFormatting sqref="G28:G29 G31:G39">
    <cfRule type="expression" dxfId="246" priority="40">
      <formula>COUNTBLANK($G28)</formula>
    </cfRule>
  </conditionalFormatting>
  <conditionalFormatting sqref="K30">
    <cfRule type="expression" dxfId="245" priority="23">
      <formula>COUNTBLANK($K30)</formula>
    </cfRule>
  </conditionalFormatting>
  <conditionalFormatting sqref="A30:A33">
    <cfRule type="expression" dxfId="244" priority="22">
      <formula>COUNTBLANK($F30:$I30)+COUNTBLANK(K30)</formula>
    </cfRule>
  </conditionalFormatting>
  <conditionalFormatting sqref="F30">
    <cfRule type="expression" dxfId="243" priority="18">
      <formula>COUNTBLANK($F30)</formula>
    </cfRule>
  </conditionalFormatting>
  <conditionalFormatting sqref="H30">
    <cfRule type="expression" dxfId="242" priority="19">
      <formula>COUNTBLANK($G30)</formula>
    </cfRule>
    <cfRule type="expression" dxfId="241" priority="20">
      <formula>COUNTBLANK($H30)</formula>
    </cfRule>
  </conditionalFormatting>
  <conditionalFormatting sqref="A30:A33">
    <cfRule type="expression" dxfId="240" priority="10">
      <formula>$K30="Not Applicable"</formula>
    </cfRule>
    <cfRule type="expression" dxfId="239" priority="11">
      <formula>$K30="Not Audited"</formula>
    </cfRule>
  </conditionalFormatting>
  <conditionalFormatting sqref="I30">
    <cfRule type="expression" dxfId="238" priority="21">
      <formula>COUNTBLANK($I30)</formula>
    </cfRule>
  </conditionalFormatting>
  <conditionalFormatting sqref="F30:I30">
    <cfRule type="expression" dxfId="237" priority="12">
      <formula>$K30="Not Applicable"</formula>
    </cfRule>
    <cfRule type="expression" dxfId="236" priority="13">
      <formula>$K30="Not Audited"</formula>
    </cfRule>
  </conditionalFormatting>
  <conditionalFormatting sqref="G30">
    <cfRule type="expression" dxfId="234" priority="9">
      <formula>COUNTBLANK($G30)</formula>
    </cfRule>
  </conditionalFormatting>
  <conditionalFormatting sqref="G3:G17 G19:G20 G22:G27">
    <cfRule type="expression" dxfId="233" priority="7">
      <formula>$K3="Not Applicable"</formula>
    </cfRule>
    <cfRule type="expression" dxfId="232" priority="8">
      <formula>$K3="Not Audited"</formula>
    </cfRule>
  </conditionalFormatting>
  <conditionalFormatting sqref="G18">
    <cfRule type="expression" dxfId="203" priority="5">
      <formula>$K18="Not Applicable"</formula>
    </cfRule>
    <cfRule type="expression" dxfId="202" priority="6">
      <formula>$K18="Not Audited"</formula>
    </cfRule>
  </conditionalFormatting>
  <conditionalFormatting sqref="J21">
    <cfRule type="expression" dxfId="201" priority="3">
      <formula>$K21="Not Applicable"</formula>
    </cfRule>
    <cfRule type="expression" dxfId="200" priority="4">
      <formula>$K21="Not Audited"</formula>
    </cfRule>
  </conditionalFormatting>
  <conditionalFormatting sqref="G21">
    <cfRule type="expression" dxfId="199" priority="1">
      <formula>$K21="Not Applicable"</formula>
    </cfRule>
    <cfRule type="expression" dxfId="198" priority="2">
      <formula>$K21="Not Audited"</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8" operator="equal" id="{D0FF7580-68F2-4CB5-B20F-8B162933AE11}">
            <xm:f>Sheet1!$A$5</xm:f>
            <x14:dxf>
              <fill>
                <patternFill>
                  <bgColor rgb="FFFF0000"/>
                </patternFill>
              </fill>
            </x14:dxf>
          </x14:cfRule>
          <x14:cfRule type="cellIs" priority="59" operator="equal" id="{6EE15F34-F46F-44F7-A4F5-E8BAE0941CD1}">
            <xm:f>Sheet1!$A$4</xm:f>
            <x14:dxf>
              <fill>
                <patternFill>
                  <bgColor rgb="FFFFFF00"/>
                </patternFill>
              </fill>
            </x14:dxf>
          </x14:cfRule>
          <x14:cfRule type="cellIs" priority="60" operator="equal" id="{FDF7F775-7308-41DB-8649-AC7FF468A2E4}">
            <xm:f>Sheet1!$A$3</xm:f>
            <x14:dxf>
              <fill>
                <patternFill>
                  <bgColor theme="9" tint="0.59996337778862885"/>
                </patternFill>
              </fill>
            </x14:dxf>
          </x14:cfRule>
          <x14:cfRule type="cellIs" priority="61" operator="equal" id="{913B4C84-EA36-4FF5-B458-D4523144232C}">
            <xm:f>Sheet1!$A$2</xm:f>
            <x14:dxf>
              <fill>
                <patternFill>
                  <bgColor theme="9" tint="0.39994506668294322"/>
                </patternFill>
              </fill>
            </x14:dxf>
          </x14:cfRule>
          <xm:sqref>L33</xm:sqref>
        </x14:conditionalFormatting>
        <x14:conditionalFormatting xmlns:xm="http://schemas.microsoft.com/office/excel/2006/main">
          <x14:cfRule type="cellIs" priority="62" operator="equal" id="{10487F49-CC47-4C08-9159-75086FEAD449}">
            <xm:f>Sheet1!$A$7</xm:f>
            <x14:dxf>
              <fill>
                <patternFill>
                  <bgColor theme="5"/>
                </patternFill>
              </fill>
            </x14:dxf>
          </x14:cfRule>
          <x14:cfRule type="cellIs" priority="63" operator="equal" id="{8D79EC05-FB3B-4E6B-86DC-A8BD18C5FB6E}">
            <xm:f>Sheet1!$A$6</xm:f>
            <x14:dxf>
              <fill>
                <patternFill>
                  <bgColor rgb="FF00B0F0"/>
                </patternFill>
              </fill>
            </x14:dxf>
          </x14:cfRule>
          <x14:cfRule type="cellIs" priority="64" operator="equal" id="{B77C41E9-AA65-405B-A539-EDA1790DB2AD}">
            <xm:f>Sheet1!$A$5</xm:f>
            <x14:dxf>
              <fill>
                <patternFill>
                  <bgColor rgb="FFFF0000"/>
                </patternFill>
              </fill>
            </x14:dxf>
          </x14:cfRule>
          <x14:cfRule type="cellIs" priority="65" operator="equal" id="{BE047FF7-FFC3-42D0-9130-A86A07121432}">
            <xm:f>Sheet1!$A$4</xm:f>
            <x14:dxf>
              <fill>
                <patternFill>
                  <bgColor rgb="FFFFFF00"/>
                </patternFill>
              </fill>
            </x14:dxf>
          </x14:cfRule>
          <x14:cfRule type="cellIs" priority="66" operator="equal" id="{8265175F-2810-48DF-877F-5D4A12FA7F87}">
            <xm:f>Sheet1!$A$3</xm:f>
            <x14:dxf>
              <fill>
                <patternFill>
                  <bgColor theme="9" tint="0.59996337778862885"/>
                </patternFill>
              </fill>
            </x14:dxf>
          </x14:cfRule>
          <x14:cfRule type="cellIs" priority="67" operator="equal" id="{8D7A8010-F2CB-47F7-9719-3FC1FB7AEB62}">
            <xm:f>Sheet1!$A$2</xm:f>
            <x14:dxf>
              <fill>
                <patternFill>
                  <bgColor theme="9" tint="0.39994506668294322"/>
                </patternFill>
              </fill>
            </x14:dxf>
          </x14:cfRule>
          <xm:sqref>K3:K29 K31:K33</xm:sqref>
        </x14:conditionalFormatting>
        <x14:conditionalFormatting xmlns:xm="http://schemas.microsoft.com/office/excel/2006/main">
          <x14:cfRule type="cellIs" priority="52" operator="equal" id="{3CA35045-0849-4D81-B11A-4A8C251E5A7E}">
            <xm:f>Sheet1!$A$7</xm:f>
            <x14:dxf>
              <fill>
                <patternFill>
                  <bgColor theme="5"/>
                </patternFill>
              </fill>
            </x14:dxf>
          </x14:cfRule>
          <x14:cfRule type="cellIs" priority="53" operator="equal" id="{4FD97708-FEF6-4799-8BB6-30CA4AAA0379}">
            <xm:f>Sheet1!$A$6</xm:f>
            <x14:dxf>
              <fill>
                <patternFill>
                  <bgColor rgb="FF00B0F0"/>
                </patternFill>
              </fill>
            </x14:dxf>
          </x14:cfRule>
          <x14:cfRule type="cellIs" priority="54" operator="equal" id="{42A62E98-87D8-44E3-9B9D-EF5225799A8A}">
            <xm:f>Sheet1!$A$5</xm:f>
            <x14:dxf>
              <fill>
                <patternFill>
                  <bgColor rgb="FFFF0000"/>
                </patternFill>
              </fill>
            </x14:dxf>
          </x14:cfRule>
          <x14:cfRule type="cellIs" priority="55" operator="equal" id="{A6143403-D1EB-4FB2-8467-8C27A3C10C25}">
            <xm:f>Sheet1!$A$4</xm:f>
            <x14:dxf>
              <fill>
                <patternFill>
                  <bgColor rgb="FFFFFF00"/>
                </patternFill>
              </fill>
            </x14:dxf>
          </x14:cfRule>
          <x14:cfRule type="cellIs" priority="56" operator="equal" id="{0EFBDA9B-EA66-443B-AC89-6155BB3DF126}">
            <xm:f>Sheet1!$A$3</xm:f>
            <x14:dxf>
              <fill>
                <patternFill>
                  <bgColor theme="9" tint="0.59996337778862885"/>
                </patternFill>
              </fill>
            </x14:dxf>
          </x14:cfRule>
          <x14:cfRule type="cellIs" priority="57" operator="equal" id="{8091BD15-435C-43E9-9E54-DFAF1C9910EF}">
            <xm:f>Sheet1!$A$2</xm:f>
            <x14:dxf>
              <fill>
                <patternFill>
                  <bgColor theme="9" tint="0.39994506668294322"/>
                </patternFill>
              </fill>
            </x14:dxf>
          </x14:cfRule>
          <xm:sqref>K3:K29</xm:sqref>
        </x14:conditionalFormatting>
        <x14:conditionalFormatting xmlns:xm="http://schemas.microsoft.com/office/excel/2006/main">
          <x14:cfRule type="cellIs" priority="30" operator="equal" id="{3BD0AB8F-C41B-48DA-8032-4A492AC870D3}">
            <xm:f>Sheet1!$A$7</xm:f>
            <x14:dxf>
              <fill>
                <patternFill>
                  <bgColor theme="5"/>
                </patternFill>
              </fill>
            </x14:dxf>
          </x14:cfRule>
          <x14:cfRule type="cellIs" priority="31" operator="equal" id="{9DF75FBD-55FA-4F5B-99FA-6C48F6CB8D70}">
            <xm:f>Sheet1!$A$6</xm:f>
            <x14:dxf>
              <fill>
                <patternFill>
                  <bgColor rgb="FF00B0F0"/>
                </patternFill>
              </fill>
            </x14:dxf>
          </x14:cfRule>
          <x14:cfRule type="cellIs" priority="32" operator="equal" id="{09F4B7B5-0125-4E3F-A048-33D62E6538C7}">
            <xm:f>Sheet1!$A$5</xm:f>
            <x14:dxf>
              <fill>
                <patternFill>
                  <bgColor rgb="FFFF0000"/>
                </patternFill>
              </fill>
            </x14:dxf>
          </x14:cfRule>
          <x14:cfRule type="cellIs" priority="33" operator="equal" id="{07F2DE76-DF6A-46E5-BAE8-CB2CB5802904}">
            <xm:f>Sheet1!$A$4</xm:f>
            <x14:dxf>
              <fill>
                <patternFill>
                  <bgColor rgb="FFFFFF00"/>
                </patternFill>
              </fill>
            </x14:dxf>
          </x14:cfRule>
          <x14:cfRule type="cellIs" priority="34" operator="equal" id="{516AC633-E7BD-4EBB-8AC5-2E7F6588C7DA}">
            <xm:f>Sheet1!$A$3</xm:f>
            <x14:dxf>
              <fill>
                <patternFill>
                  <bgColor theme="9" tint="0.59996337778862885"/>
                </patternFill>
              </fill>
            </x14:dxf>
          </x14:cfRule>
          <x14:cfRule type="cellIs" priority="35" operator="equal" id="{60B507C8-7B78-4EBB-82CA-49A1087F854C}">
            <xm:f>Sheet1!$A$2</xm:f>
            <x14:dxf>
              <fill>
                <patternFill>
                  <bgColor theme="9" tint="0.39994506668294322"/>
                </patternFill>
              </fill>
            </x14:dxf>
          </x14:cfRule>
          <xm:sqref>K30</xm:sqref>
        </x14:conditionalFormatting>
        <x14:conditionalFormatting xmlns:xm="http://schemas.microsoft.com/office/excel/2006/main">
          <x14:cfRule type="cellIs" priority="24" operator="equal" id="{BB834B76-C182-41AD-8DCF-1DA20E77A338}">
            <xm:f>Sheet1!$A$7</xm:f>
            <x14:dxf>
              <fill>
                <patternFill>
                  <bgColor theme="5"/>
                </patternFill>
              </fill>
            </x14:dxf>
          </x14:cfRule>
          <x14:cfRule type="cellIs" priority="25" operator="equal" id="{D9375F64-11AB-46C9-8F0E-C4A24C2D2B6A}">
            <xm:f>Sheet1!$A$6</xm:f>
            <x14:dxf>
              <fill>
                <patternFill>
                  <bgColor rgb="FF00B0F0"/>
                </patternFill>
              </fill>
            </x14:dxf>
          </x14:cfRule>
          <x14:cfRule type="cellIs" priority="26" operator="equal" id="{1E937D4B-956A-4AF4-B731-1896C04A64EA}">
            <xm:f>Sheet1!$A$5</xm:f>
            <x14:dxf>
              <fill>
                <patternFill>
                  <bgColor rgb="FFFF0000"/>
                </patternFill>
              </fill>
            </x14:dxf>
          </x14:cfRule>
          <x14:cfRule type="cellIs" priority="27" operator="equal" id="{5CE80DF5-DA1E-4BDC-941D-80617636AE87}">
            <xm:f>Sheet1!$A$4</xm:f>
            <x14:dxf>
              <fill>
                <patternFill>
                  <bgColor rgb="FFFFFF00"/>
                </patternFill>
              </fill>
            </x14:dxf>
          </x14:cfRule>
          <x14:cfRule type="cellIs" priority="28" operator="equal" id="{FCB841A1-7A1E-4777-AAC4-FD30555A7B58}">
            <xm:f>Sheet1!$A$3</xm:f>
            <x14:dxf>
              <fill>
                <patternFill>
                  <bgColor theme="9" tint="0.59996337778862885"/>
                </patternFill>
              </fill>
            </x14:dxf>
          </x14:cfRule>
          <x14:cfRule type="cellIs" priority="29" operator="equal" id="{D820DE4C-34D8-43F4-96AC-A7BA998EB00C}">
            <xm:f>Sheet1!$A$2</xm:f>
            <x14:dxf>
              <fill>
                <patternFill>
                  <bgColor theme="9" tint="0.39994506668294322"/>
                </patternFill>
              </fill>
            </x14:dxf>
          </x14:cfRule>
          <xm:sqref>K30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F66B9686-7FEB-41AD-9A3D-0C3D49A81F4E}">
          <x14:formula1>
            <xm:f>Sheet1!$A$2:$A$5</xm:f>
          </x14:formula1>
          <xm:sqref>L33</xm:sqref>
        </x14:dataValidation>
        <x14:dataValidation type="list" allowBlank="1" showInputMessage="1" showErrorMessage="1" xr:uid="{53EE42AD-051C-4856-A6CB-C989FC2FC2DC}">
          <x14:formula1>
            <xm:f>Sheet1!$E$2:$E$49</xm:f>
          </x14:formula1>
          <xm:sqref>E3:E33</xm:sqref>
        </x14:dataValidation>
        <x14:dataValidation type="list" allowBlank="1" xr:uid="{D437FFD8-2E38-4A99-993A-0634B7BEB5D9}">
          <x14:formula1>
            <xm:f>Sheet1!$B$2:$B$6</xm:f>
          </x14:formula1>
          <xm:sqref>B3:B32</xm:sqref>
        </x14:dataValidation>
        <x14:dataValidation type="list" allowBlank="1" showInputMessage="1" showErrorMessage="1" xr:uid="{F376E587-F29D-4848-A276-BC4A4DC80039}">
          <x14:formula1>
            <xm:f>Sheet1!$D$2:$D$281</xm:f>
          </x14:formula1>
          <xm:sqref>D3:D30</xm:sqref>
        </x14:dataValidation>
        <x14:dataValidation type="list" allowBlank="1" showInputMessage="1" showErrorMessage="1" xr:uid="{12C36126-6BEB-417A-970C-B72A463D88BC}">
          <x14:formula1>
            <xm:f>Sheet1!$A$2:$A$7</xm:f>
          </x14:formula1>
          <xm:sqref>K3:K33</xm:sqref>
        </x14:dataValidation>
        <x14:dataValidation type="list" allowBlank="1" showInputMessage="1" showErrorMessage="1" xr:uid="{5AF25D12-5AD5-4F8D-83E0-E215CE5D55F3}">
          <x14:formula1>
            <xm:f>_xlfn.IFS(B3=Sheet1!$B$2,Sheet1!$C$2:$C$114,B3=Sheet1!$B$3,Sheet1!$C$115:$C$239, B3=Sheet1!$B$4,Sheet1!$C$240:$C$297,B3=Sheet1!$B$5,Sheet1!$C$298:$C$347,B3=Sheet1!$B$6,Sheet1!$C$2:$C$347)</xm:f>
          </x14:formula1>
          <xm:sqref>C3:C33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18"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821</v>
      </c>
      <c r="B1" s="43" t="s">
        <v>832</v>
      </c>
      <c r="D1" s="44" t="s">
        <v>833</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831</v>
      </c>
      <c r="C2" s="5" t="s">
        <v>142</v>
      </c>
      <c r="D2" s="5" t="s">
        <v>143</v>
      </c>
      <c r="E2" s="5" t="s">
        <v>141</v>
      </c>
      <c r="F2" s="5" t="s">
        <v>822</v>
      </c>
      <c r="G2" s="5" t="s">
        <v>144</v>
      </c>
      <c r="H2" s="5" t="s">
        <v>23</v>
      </c>
      <c r="I2" s="5" t="s">
        <v>60</v>
      </c>
      <c r="J2" s="5" t="s">
        <v>145</v>
      </c>
      <c r="K2" s="5" t="s">
        <v>834</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835</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836</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823</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97" priority="60">
      <formula>COUNTBLANK($F3)</formula>
    </cfRule>
  </conditionalFormatting>
  <conditionalFormatting sqref="I7 I27:I32">
    <cfRule type="expression" dxfId="196" priority="58">
      <formula>COUNTBLANK($I7)</formula>
    </cfRule>
  </conditionalFormatting>
  <conditionalFormatting sqref="G3:G32">
    <cfRule type="expression" dxfId="195" priority="50">
      <formula>COUNTBLANK($G3)</formula>
    </cfRule>
  </conditionalFormatting>
  <conditionalFormatting sqref="H3:H32">
    <cfRule type="expression" dxfId="194" priority="49">
      <formula>COUNTBLANK($H3)</formula>
    </cfRule>
  </conditionalFormatting>
  <conditionalFormatting sqref="A3">
    <cfRule type="expression" dxfId="193" priority="40">
      <formula>COUNTBLANK($F3:$H3)</formula>
    </cfRule>
  </conditionalFormatting>
  <conditionalFormatting sqref="I11:I12">
    <cfRule type="expression" dxfId="192" priority="36">
      <formula>COUNTBLANK($I11)</formula>
    </cfRule>
  </conditionalFormatting>
  <conditionalFormatting sqref="I14:I18">
    <cfRule type="expression" dxfId="191" priority="35">
      <formula>COUNTBLANK($I14)</formula>
    </cfRule>
  </conditionalFormatting>
  <conditionalFormatting sqref="K3:K32">
    <cfRule type="expression" dxfId="190" priority="11">
      <formula>COUNTBLANK($K3)</formula>
    </cfRule>
  </conditionalFormatting>
  <conditionalFormatting sqref="A3">
    <cfRule type="expression" dxfId="189" priority="12">
      <formula>$K3="Not Audited"</formula>
    </cfRule>
    <cfRule type="expression" dxfId="188" priority="13">
      <formula>$K3="Not Applicable"</formula>
    </cfRule>
  </conditionalFormatting>
  <conditionalFormatting sqref="A4:A32">
    <cfRule type="expression" dxfId="187" priority="3">
      <formula>COUNTBLANK($F4:$I4)</formula>
    </cfRule>
  </conditionalFormatting>
  <conditionalFormatting sqref="A4:A32">
    <cfRule type="expression" dxfId="186" priority="1">
      <formula>$K4="Not Audited"</formula>
    </cfRule>
    <cfRule type="expression" dxfId="185"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05335-48A7-488B-9AED-968AA2AC50E8}">
  <sheetPr codeName="Sheet5"/>
  <dimension ref="A1:T44"/>
  <sheetViews>
    <sheetView zoomScale="90" zoomScaleNormal="90" workbookViewId="0">
      <pane xSplit="1" ySplit="2" topLeftCell="B18" activePane="bottomRight" state="frozen"/>
      <selection pane="topRight" activeCell="B1" sqref="B1"/>
      <selection pane="bottomLeft" activeCell="A2" sqref="A2"/>
      <selection pane="bottomRight" activeCell="G21" sqref="G21"/>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9" x14ac:dyDescent="0.25">
      <c r="A1" s="55" t="s">
        <v>867</v>
      </c>
      <c r="B1" s="55" t="s">
        <v>868</v>
      </c>
      <c r="D1" s="56" t="s">
        <v>866</v>
      </c>
      <c r="E1" s="55"/>
    </row>
    <row r="2" spans="1:19" s="3" customFormat="1" ht="85.5" customHeight="1" x14ac:dyDescent="0.25">
      <c r="A2" s="4" t="s">
        <v>61</v>
      </c>
      <c r="B2" s="5"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9" s="3" customFormat="1" ht="165" x14ac:dyDescent="0.25">
      <c r="A3" s="2" t="s">
        <v>29</v>
      </c>
      <c r="B3" s="50" t="s">
        <v>826</v>
      </c>
      <c r="C3" s="50" t="s">
        <v>458</v>
      </c>
      <c r="D3" s="50" t="s">
        <v>863</v>
      </c>
      <c r="E3" s="50" t="s">
        <v>869</v>
      </c>
      <c r="F3" s="50" t="s">
        <v>870</v>
      </c>
      <c r="G3" s="50" t="s">
        <v>843</v>
      </c>
      <c r="H3" s="50" t="s">
        <v>871</v>
      </c>
      <c r="I3" s="52"/>
      <c r="J3" s="50" t="s">
        <v>872</v>
      </c>
      <c r="K3" s="57" t="s">
        <v>148</v>
      </c>
      <c r="L3" s="50"/>
      <c r="M3" s="9"/>
      <c r="N3" s="9"/>
      <c r="O3" s="9"/>
      <c r="P3" s="8" t="s">
        <v>101</v>
      </c>
      <c r="Q3" s="11" t="s">
        <v>35</v>
      </c>
      <c r="R3" s="11" t="s">
        <v>132</v>
      </c>
    </row>
    <row r="4" spans="1:19" s="3" customFormat="1" ht="165" x14ac:dyDescent="0.25">
      <c r="A4" s="2" t="s">
        <v>30</v>
      </c>
      <c r="B4" s="50" t="s">
        <v>826</v>
      </c>
      <c r="C4" s="50" t="s">
        <v>458</v>
      </c>
      <c r="D4" s="50" t="s">
        <v>863</v>
      </c>
      <c r="E4" s="50" t="s">
        <v>869</v>
      </c>
      <c r="F4" s="50" t="s">
        <v>873</v>
      </c>
      <c r="G4" s="53" t="s">
        <v>844</v>
      </c>
      <c r="H4" s="50" t="s">
        <v>871</v>
      </c>
      <c r="I4" s="52"/>
      <c r="J4" s="50" t="s">
        <v>874</v>
      </c>
      <c r="K4" s="57" t="s">
        <v>148</v>
      </c>
      <c r="L4" s="50"/>
      <c r="M4" s="9"/>
      <c r="N4" s="9"/>
      <c r="O4" s="9"/>
      <c r="P4" s="8" t="s">
        <v>62</v>
      </c>
      <c r="Q4" s="11" t="s">
        <v>36</v>
      </c>
      <c r="R4" s="11"/>
    </row>
    <row r="5" spans="1:19" s="3" customFormat="1" ht="45" x14ac:dyDescent="0.25">
      <c r="A5" s="2" t="s">
        <v>28</v>
      </c>
      <c r="B5" s="50" t="s">
        <v>826</v>
      </c>
      <c r="C5" s="50" t="s">
        <v>458</v>
      </c>
      <c r="D5" s="50" t="s">
        <v>863</v>
      </c>
      <c r="E5" s="50" t="s">
        <v>869</v>
      </c>
      <c r="F5" s="50" t="s">
        <v>875</v>
      </c>
      <c r="G5" s="50" t="s">
        <v>845</v>
      </c>
      <c r="H5" s="53" t="s">
        <v>876</v>
      </c>
      <c r="I5" s="52"/>
      <c r="J5" s="50" t="s">
        <v>877</v>
      </c>
      <c r="K5" s="57" t="s">
        <v>148</v>
      </c>
      <c r="L5" s="50"/>
      <c r="M5" s="9"/>
      <c r="N5" s="9"/>
      <c r="O5" s="9"/>
      <c r="P5" s="8" t="s">
        <v>101</v>
      </c>
      <c r="Q5" s="8" t="s">
        <v>37</v>
      </c>
      <c r="R5" s="11"/>
    </row>
    <row r="6" spans="1:19" s="3" customFormat="1" ht="213" customHeight="1" x14ac:dyDescent="0.25">
      <c r="A6" s="2" t="s">
        <v>2</v>
      </c>
      <c r="B6" s="50" t="s">
        <v>826</v>
      </c>
      <c r="C6" s="50" t="s">
        <v>458</v>
      </c>
      <c r="D6" s="50" t="s">
        <v>863</v>
      </c>
      <c r="E6" s="50" t="s">
        <v>869</v>
      </c>
      <c r="F6" s="50" t="s">
        <v>878</v>
      </c>
      <c r="G6" s="53" t="s">
        <v>846</v>
      </c>
      <c r="H6" s="50" t="s">
        <v>879</v>
      </c>
      <c r="I6" s="50">
        <v>18</v>
      </c>
      <c r="J6" s="50" t="s">
        <v>880</v>
      </c>
      <c r="K6" s="57" t="s">
        <v>149</v>
      </c>
      <c r="L6" s="58" t="s">
        <v>881</v>
      </c>
      <c r="M6" s="9"/>
      <c r="N6" s="9"/>
      <c r="O6" s="9"/>
      <c r="P6" s="8" t="s">
        <v>101</v>
      </c>
      <c r="Q6" s="8" t="s">
        <v>32</v>
      </c>
      <c r="R6" s="11" t="s">
        <v>131</v>
      </c>
    </row>
    <row r="7" spans="1:19" s="3" customFormat="1" ht="120" x14ac:dyDescent="0.25">
      <c r="A7" s="2" t="s">
        <v>1</v>
      </c>
      <c r="B7" s="50" t="s">
        <v>826</v>
      </c>
      <c r="C7" s="50" t="s">
        <v>458</v>
      </c>
      <c r="D7" s="50" t="s">
        <v>863</v>
      </c>
      <c r="E7" s="50" t="s">
        <v>869</v>
      </c>
      <c r="F7" s="50" t="s">
        <v>882</v>
      </c>
      <c r="G7" s="50" t="s">
        <v>847</v>
      </c>
      <c r="H7" s="50" t="s">
        <v>883</v>
      </c>
      <c r="I7" s="50">
        <v>8</v>
      </c>
      <c r="J7" s="50" t="s">
        <v>884</v>
      </c>
      <c r="K7" s="57" t="s">
        <v>148</v>
      </c>
      <c r="L7" s="50"/>
      <c r="M7" s="9"/>
      <c r="N7" s="9"/>
      <c r="O7" s="9"/>
      <c r="P7" s="8" t="s">
        <v>101</v>
      </c>
      <c r="Q7" s="11" t="s">
        <v>33</v>
      </c>
      <c r="R7" s="11"/>
    </row>
    <row r="8" spans="1:19" s="3" customFormat="1" ht="244.5" customHeight="1" x14ac:dyDescent="0.25">
      <c r="A8" s="2" t="s">
        <v>5</v>
      </c>
      <c r="B8" s="50" t="s">
        <v>826</v>
      </c>
      <c r="C8" s="50" t="s">
        <v>458</v>
      </c>
      <c r="D8" s="50" t="s">
        <v>863</v>
      </c>
      <c r="E8" s="50" t="s">
        <v>869</v>
      </c>
      <c r="F8" s="50" t="s">
        <v>885</v>
      </c>
      <c r="G8" s="53" t="s">
        <v>848</v>
      </c>
      <c r="H8" s="50" t="s">
        <v>886</v>
      </c>
      <c r="I8" s="50">
        <v>4</v>
      </c>
      <c r="J8" s="50" t="s">
        <v>887</v>
      </c>
      <c r="K8" s="57" t="s">
        <v>148</v>
      </c>
      <c r="L8" s="50"/>
      <c r="M8" s="9"/>
      <c r="N8" s="9"/>
      <c r="O8" s="9"/>
      <c r="P8" s="8" t="s">
        <v>101</v>
      </c>
      <c r="Q8" s="8" t="s">
        <v>43</v>
      </c>
      <c r="R8" s="11" t="s">
        <v>140</v>
      </c>
    </row>
    <row r="9" spans="1:19" s="3" customFormat="1" ht="240" x14ac:dyDescent="0.25">
      <c r="A9" s="2" t="s">
        <v>17</v>
      </c>
      <c r="B9" s="50" t="s">
        <v>826</v>
      </c>
      <c r="C9" s="50" t="s">
        <v>458</v>
      </c>
      <c r="D9" s="50" t="s">
        <v>863</v>
      </c>
      <c r="E9" s="50" t="s">
        <v>869</v>
      </c>
      <c r="F9" s="50" t="s">
        <v>888</v>
      </c>
      <c r="G9" s="50" t="s">
        <v>849</v>
      </c>
      <c r="H9" s="50" t="s">
        <v>889</v>
      </c>
      <c r="I9" s="50">
        <v>4</v>
      </c>
      <c r="J9" s="50" t="s">
        <v>890</v>
      </c>
      <c r="K9" s="57" t="s">
        <v>148</v>
      </c>
      <c r="L9" s="50"/>
      <c r="M9" s="9"/>
      <c r="N9" s="9"/>
      <c r="O9" s="9"/>
      <c r="P9" s="8" t="s">
        <v>101</v>
      </c>
      <c r="Q9" s="8" t="s">
        <v>34</v>
      </c>
      <c r="R9" s="11"/>
    </row>
    <row r="10" spans="1:19" s="3" customFormat="1" ht="30" x14ac:dyDescent="0.25">
      <c r="A10" s="2" t="s">
        <v>16</v>
      </c>
      <c r="B10" s="50" t="s">
        <v>826</v>
      </c>
      <c r="C10" s="50" t="s">
        <v>458</v>
      </c>
      <c r="D10" s="50" t="s">
        <v>863</v>
      </c>
      <c r="E10" s="50"/>
      <c r="F10" s="50"/>
      <c r="G10" s="50"/>
      <c r="H10" s="50"/>
      <c r="I10" s="52"/>
      <c r="J10" s="50" t="s">
        <v>891</v>
      </c>
      <c r="K10" s="57" t="s">
        <v>840</v>
      </c>
      <c r="L10" s="50"/>
      <c r="M10" s="9"/>
      <c r="N10" s="9"/>
      <c r="O10" s="9"/>
      <c r="P10" s="8" t="s">
        <v>101</v>
      </c>
      <c r="Q10" s="8" t="s">
        <v>38</v>
      </c>
      <c r="R10" s="11">
        <v>4.5</v>
      </c>
    </row>
    <row r="11" spans="1:19" s="3" customFormat="1" ht="205.5" customHeight="1" x14ac:dyDescent="0.25">
      <c r="A11" s="2" t="s">
        <v>4</v>
      </c>
      <c r="B11" s="50" t="s">
        <v>826</v>
      </c>
      <c r="C11" s="50" t="s">
        <v>458</v>
      </c>
      <c r="D11" s="50" t="s">
        <v>863</v>
      </c>
      <c r="E11" s="50" t="s">
        <v>869</v>
      </c>
      <c r="F11" s="50" t="s">
        <v>882</v>
      </c>
      <c r="G11" s="50" t="s">
        <v>850</v>
      </c>
      <c r="H11" s="53" t="s">
        <v>892</v>
      </c>
      <c r="I11" s="50">
        <v>6</v>
      </c>
      <c r="J11" s="50" t="s">
        <v>893</v>
      </c>
      <c r="K11" s="57" t="s">
        <v>148</v>
      </c>
      <c r="L11" s="50"/>
      <c r="M11" s="9"/>
      <c r="N11" s="9"/>
      <c r="O11" s="9"/>
      <c r="P11" s="7" t="s">
        <v>62</v>
      </c>
      <c r="Q11" s="7" t="s">
        <v>39</v>
      </c>
      <c r="R11" s="11"/>
    </row>
    <row r="12" spans="1:19" s="3" customFormat="1" ht="247.5" customHeight="1" x14ac:dyDescent="0.25">
      <c r="A12" s="2" t="s">
        <v>7</v>
      </c>
      <c r="B12" s="50" t="s">
        <v>826</v>
      </c>
      <c r="C12" s="50" t="s">
        <v>458</v>
      </c>
      <c r="D12" s="50" t="s">
        <v>863</v>
      </c>
      <c r="E12" s="50" t="s">
        <v>869</v>
      </c>
      <c r="F12" s="53" t="s">
        <v>894</v>
      </c>
      <c r="G12" s="50" t="s">
        <v>851</v>
      </c>
      <c r="H12" s="53" t="s">
        <v>895</v>
      </c>
      <c r="I12" s="50">
        <v>7</v>
      </c>
      <c r="J12" s="50" t="s">
        <v>896</v>
      </c>
      <c r="K12" s="57" t="s">
        <v>148</v>
      </c>
      <c r="L12" s="50"/>
      <c r="M12" s="9"/>
      <c r="N12" s="9"/>
      <c r="O12" s="9"/>
      <c r="P12" s="8" t="s">
        <v>101</v>
      </c>
      <c r="Q12" s="8" t="s">
        <v>40</v>
      </c>
      <c r="R12" s="11"/>
    </row>
    <row r="13" spans="1:19" s="3" customFormat="1" ht="120" x14ac:dyDescent="0.25">
      <c r="A13" s="2" t="s">
        <v>19</v>
      </c>
      <c r="B13" s="50" t="s">
        <v>826</v>
      </c>
      <c r="C13" s="50" t="s">
        <v>458</v>
      </c>
      <c r="D13" s="50" t="s">
        <v>863</v>
      </c>
      <c r="E13" s="50" t="s">
        <v>869</v>
      </c>
      <c r="F13" s="50" t="s">
        <v>897</v>
      </c>
      <c r="G13" s="50" t="s">
        <v>852</v>
      </c>
      <c r="H13" s="50" t="s">
        <v>892</v>
      </c>
      <c r="I13" s="50">
        <v>6</v>
      </c>
      <c r="J13" s="50" t="s">
        <v>898</v>
      </c>
      <c r="K13" s="57" t="s">
        <v>148</v>
      </c>
      <c r="L13" s="50"/>
      <c r="M13" s="9"/>
      <c r="N13" s="9"/>
      <c r="O13" s="9"/>
      <c r="P13" s="8" t="s">
        <v>101</v>
      </c>
      <c r="Q13" s="8" t="s">
        <v>50</v>
      </c>
      <c r="R13" s="11" t="s">
        <v>135</v>
      </c>
      <c r="S13" s="3" t="s">
        <v>899</v>
      </c>
    </row>
    <row r="14" spans="1:19" s="3" customFormat="1" ht="327" customHeight="1" x14ac:dyDescent="0.25">
      <c r="A14" s="2" t="s">
        <v>9</v>
      </c>
      <c r="B14" s="50" t="s">
        <v>826</v>
      </c>
      <c r="C14" s="50" t="s">
        <v>458</v>
      </c>
      <c r="D14" s="50" t="s">
        <v>863</v>
      </c>
      <c r="E14" s="50" t="s">
        <v>869</v>
      </c>
      <c r="F14" s="50" t="s">
        <v>900</v>
      </c>
      <c r="G14" s="50" t="s">
        <v>853</v>
      </c>
      <c r="H14" s="50" t="s">
        <v>901</v>
      </c>
      <c r="I14" s="52"/>
      <c r="J14" s="50" t="s">
        <v>902</v>
      </c>
      <c r="K14" s="57" t="s">
        <v>148</v>
      </c>
      <c r="L14" s="58"/>
      <c r="M14" s="9"/>
      <c r="N14" s="9"/>
      <c r="O14" s="9"/>
      <c r="P14" s="8" t="s">
        <v>101</v>
      </c>
      <c r="Q14" s="8" t="s">
        <v>42</v>
      </c>
      <c r="R14" s="11"/>
    </row>
    <row r="15" spans="1:19" s="3" customFormat="1" ht="90" x14ac:dyDescent="0.25">
      <c r="A15" s="2" t="s">
        <v>10</v>
      </c>
      <c r="B15" s="50" t="s">
        <v>826</v>
      </c>
      <c r="C15" s="50" t="s">
        <v>458</v>
      </c>
      <c r="D15" s="50" t="s">
        <v>863</v>
      </c>
      <c r="E15" s="50" t="s">
        <v>869</v>
      </c>
      <c r="F15" s="50" t="s">
        <v>903</v>
      </c>
      <c r="G15" s="50" t="s">
        <v>854</v>
      </c>
      <c r="H15" s="50" t="s">
        <v>904</v>
      </c>
      <c r="I15" s="52"/>
      <c r="J15" s="50" t="s">
        <v>905</v>
      </c>
      <c r="K15" s="57" t="s">
        <v>148</v>
      </c>
      <c r="L15" s="50"/>
      <c r="M15" s="9"/>
      <c r="N15" s="9"/>
      <c r="O15" s="9"/>
      <c r="P15" s="8" t="s">
        <v>101</v>
      </c>
      <c r="Q15" s="8" t="s">
        <v>41</v>
      </c>
      <c r="R15" s="11"/>
    </row>
    <row r="16" spans="1:19" s="3" customFormat="1" ht="60" x14ac:dyDescent="0.25">
      <c r="A16" s="2" t="s">
        <v>11</v>
      </c>
      <c r="B16" s="50" t="s">
        <v>826</v>
      </c>
      <c r="C16" s="50" t="s">
        <v>458</v>
      </c>
      <c r="D16" s="50" t="s">
        <v>863</v>
      </c>
      <c r="E16" s="50" t="s">
        <v>869</v>
      </c>
      <c r="F16" s="50" t="s">
        <v>903</v>
      </c>
      <c r="G16" s="50" t="s">
        <v>855</v>
      </c>
      <c r="H16" s="50" t="s">
        <v>906</v>
      </c>
      <c r="I16" s="52"/>
      <c r="J16" s="50" t="s">
        <v>907</v>
      </c>
      <c r="K16" s="57" t="s">
        <v>148</v>
      </c>
      <c r="L16" s="50"/>
      <c r="M16" s="9"/>
      <c r="N16" s="9"/>
      <c r="O16" s="9"/>
      <c r="P16" s="8" t="s">
        <v>101</v>
      </c>
      <c r="Q16" s="8" t="s">
        <v>44</v>
      </c>
      <c r="R16" s="11"/>
    </row>
    <row r="17" spans="1:20" s="3" customFormat="1" ht="90" x14ac:dyDescent="0.25">
      <c r="A17" s="2" t="s">
        <v>12</v>
      </c>
      <c r="B17" s="50" t="s">
        <v>826</v>
      </c>
      <c r="C17" s="50" t="s">
        <v>458</v>
      </c>
      <c r="D17" s="50" t="s">
        <v>863</v>
      </c>
      <c r="E17" s="50" t="s">
        <v>869</v>
      </c>
      <c r="F17" s="50" t="s">
        <v>908</v>
      </c>
      <c r="G17" s="50" t="s">
        <v>856</v>
      </c>
      <c r="H17" s="50" t="s">
        <v>909</v>
      </c>
      <c r="I17" s="52"/>
      <c r="J17" s="50" t="s">
        <v>905</v>
      </c>
      <c r="K17" s="57" t="s">
        <v>148</v>
      </c>
      <c r="L17" s="50"/>
      <c r="M17" s="9"/>
      <c r="N17" s="9"/>
      <c r="O17" s="9"/>
      <c r="P17" s="8" t="s">
        <v>101</v>
      </c>
      <c r="Q17" s="8" t="s">
        <v>45</v>
      </c>
      <c r="R17" s="11" t="s">
        <v>138</v>
      </c>
    </row>
    <row r="18" spans="1:20" s="3" customFormat="1" ht="105" x14ac:dyDescent="0.25">
      <c r="A18" s="2" t="s">
        <v>13</v>
      </c>
      <c r="B18" s="50" t="s">
        <v>826</v>
      </c>
      <c r="C18" s="50" t="s">
        <v>458</v>
      </c>
      <c r="D18" s="50" t="s">
        <v>863</v>
      </c>
      <c r="E18" s="50" t="s">
        <v>869</v>
      </c>
      <c r="F18" s="50" t="s">
        <v>910</v>
      </c>
      <c r="G18" s="50" t="s">
        <v>911</v>
      </c>
      <c r="H18" s="50" t="s">
        <v>912</v>
      </c>
      <c r="I18" s="52"/>
      <c r="J18" s="50" t="s">
        <v>913</v>
      </c>
      <c r="K18" s="57" t="s">
        <v>148</v>
      </c>
      <c r="L18" s="50"/>
      <c r="M18" s="9"/>
      <c r="N18" s="9"/>
      <c r="O18" s="9"/>
      <c r="P18" s="8" t="s">
        <v>101</v>
      </c>
      <c r="Q18" s="8" t="s">
        <v>51</v>
      </c>
      <c r="R18" s="11"/>
    </row>
    <row r="19" spans="1:20" s="3" customFormat="1" ht="135" x14ac:dyDescent="0.25">
      <c r="A19" s="2" t="s">
        <v>21</v>
      </c>
      <c r="B19" s="50" t="s">
        <v>826</v>
      </c>
      <c r="C19" s="50" t="s">
        <v>458</v>
      </c>
      <c r="D19" s="50" t="s">
        <v>863</v>
      </c>
      <c r="E19" s="50" t="s">
        <v>869</v>
      </c>
      <c r="F19" s="50" t="s">
        <v>908</v>
      </c>
      <c r="G19" s="50" t="s">
        <v>857</v>
      </c>
      <c r="H19" s="50" t="s">
        <v>914</v>
      </c>
      <c r="I19" s="52"/>
      <c r="J19" s="50" t="s">
        <v>915</v>
      </c>
      <c r="K19" s="57" t="s">
        <v>148</v>
      </c>
      <c r="L19" s="59" t="s">
        <v>916</v>
      </c>
      <c r="M19" s="9"/>
      <c r="N19" s="9"/>
      <c r="O19" s="9"/>
      <c r="P19" s="7" t="s">
        <v>62</v>
      </c>
      <c r="Q19" s="7" t="s">
        <v>52</v>
      </c>
      <c r="R19" s="11"/>
    </row>
    <row r="20" spans="1:20" s="3" customFormat="1" ht="45" x14ac:dyDescent="0.25">
      <c r="A20" s="2" t="s">
        <v>6</v>
      </c>
      <c r="B20" s="50" t="s">
        <v>826</v>
      </c>
      <c r="C20" s="50" t="s">
        <v>458</v>
      </c>
      <c r="D20" s="50" t="s">
        <v>863</v>
      </c>
      <c r="E20" s="50" t="s">
        <v>869</v>
      </c>
      <c r="F20" s="50"/>
      <c r="G20" s="50"/>
      <c r="H20" s="50"/>
      <c r="I20" s="52"/>
      <c r="J20" s="50" t="s">
        <v>917</v>
      </c>
      <c r="K20" s="57" t="s">
        <v>840</v>
      </c>
      <c r="L20" s="50"/>
      <c r="M20" s="9"/>
      <c r="N20" s="9"/>
      <c r="O20" s="9"/>
      <c r="P20" s="8" t="s">
        <v>101</v>
      </c>
      <c r="Q20" s="8" t="s">
        <v>46</v>
      </c>
      <c r="R20" s="11"/>
    </row>
    <row r="21" spans="1:20" s="3" customFormat="1" ht="75" x14ac:dyDescent="0.25">
      <c r="A21" s="2" t="s">
        <v>3</v>
      </c>
      <c r="B21" s="50" t="s">
        <v>826</v>
      </c>
      <c r="C21" s="50" t="s">
        <v>458</v>
      </c>
      <c r="D21" s="50" t="s">
        <v>863</v>
      </c>
      <c r="E21" s="50" t="s">
        <v>869</v>
      </c>
      <c r="F21" s="50" t="s">
        <v>918</v>
      </c>
      <c r="G21" s="50" t="s">
        <v>843</v>
      </c>
      <c r="H21" s="50" t="s">
        <v>919</v>
      </c>
      <c r="I21" s="52"/>
      <c r="J21" s="50"/>
      <c r="K21" s="57" t="s">
        <v>148</v>
      </c>
      <c r="L21" s="50"/>
      <c r="M21" s="9"/>
      <c r="N21" s="9"/>
      <c r="O21" s="9"/>
      <c r="P21" s="8" t="s">
        <v>101</v>
      </c>
      <c r="Q21" s="8" t="s">
        <v>53</v>
      </c>
      <c r="R21" s="11" t="s">
        <v>133</v>
      </c>
    </row>
    <row r="22" spans="1:20" s="3" customFormat="1" ht="165" x14ac:dyDescent="0.25">
      <c r="A22" s="2" t="s">
        <v>18</v>
      </c>
      <c r="B22" s="50" t="s">
        <v>826</v>
      </c>
      <c r="C22" s="50" t="s">
        <v>458</v>
      </c>
      <c r="D22" s="50" t="s">
        <v>863</v>
      </c>
      <c r="E22" s="50" t="s">
        <v>869</v>
      </c>
      <c r="F22" s="50" t="s">
        <v>920</v>
      </c>
      <c r="G22" s="50" t="s">
        <v>858</v>
      </c>
      <c r="H22" s="50" t="s">
        <v>921</v>
      </c>
      <c r="I22" s="52"/>
      <c r="J22" s="50" t="s">
        <v>922</v>
      </c>
      <c r="K22" s="57" t="s">
        <v>148</v>
      </c>
      <c r="L22" s="50"/>
      <c r="M22" s="9"/>
      <c r="N22" s="9"/>
      <c r="O22" s="9"/>
      <c r="P22" s="8" t="s">
        <v>62</v>
      </c>
      <c r="Q22" s="8" t="s">
        <v>47</v>
      </c>
      <c r="R22" s="11" t="s">
        <v>139</v>
      </c>
    </row>
    <row r="23" spans="1:20" s="3" customFormat="1" ht="165" x14ac:dyDescent="0.25">
      <c r="A23" s="2" t="s">
        <v>8</v>
      </c>
      <c r="B23" s="50" t="s">
        <v>826</v>
      </c>
      <c r="C23" s="50" t="s">
        <v>458</v>
      </c>
      <c r="D23" s="50" t="s">
        <v>863</v>
      </c>
      <c r="E23" s="50" t="s">
        <v>869</v>
      </c>
      <c r="F23" s="50" t="s">
        <v>920</v>
      </c>
      <c r="G23" s="50" t="s">
        <v>859</v>
      </c>
      <c r="H23" s="50" t="s">
        <v>923</v>
      </c>
      <c r="I23" s="52"/>
      <c r="J23" s="50" t="s">
        <v>924</v>
      </c>
      <c r="K23" s="57" t="s">
        <v>148</v>
      </c>
      <c r="L23" s="50"/>
      <c r="M23" s="9"/>
      <c r="N23" s="9"/>
      <c r="O23" s="9"/>
      <c r="P23" s="8" t="s">
        <v>62</v>
      </c>
      <c r="Q23" s="8" t="s">
        <v>31</v>
      </c>
      <c r="R23" s="11"/>
    </row>
    <row r="24" spans="1:20" s="3" customFormat="1" ht="45" x14ac:dyDescent="0.25">
      <c r="A24" s="2" t="s">
        <v>14</v>
      </c>
      <c r="B24" s="50" t="s">
        <v>826</v>
      </c>
      <c r="C24" s="50" t="s">
        <v>458</v>
      </c>
      <c r="D24" s="50" t="s">
        <v>863</v>
      </c>
      <c r="E24" s="50" t="s">
        <v>869</v>
      </c>
      <c r="F24" s="50" t="s">
        <v>903</v>
      </c>
      <c r="G24" s="50" t="s">
        <v>860</v>
      </c>
      <c r="H24" s="50" t="s">
        <v>905</v>
      </c>
      <c r="I24" s="52"/>
      <c r="J24" s="50" t="s">
        <v>925</v>
      </c>
      <c r="K24" s="57" t="s">
        <v>148</v>
      </c>
      <c r="L24" s="50"/>
      <c r="M24" s="9"/>
      <c r="N24" s="9"/>
      <c r="O24" s="9"/>
      <c r="P24" s="8" t="s">
        <v>62</v>
      </c>
      <c r="Q24" s="8" t="s">
        <v>48</v>
      </c>
      <c r="R24" s="11"/>
    </row>
    <row r="25" spans="1:20" s="3" customFormat="1" ht="45" x14ac:dyDescent="0.25">
      <c r="A25" s="2" t="s">
        <v>0</v>
      </c>
      <c r="B25" s="50" t="s">
        <v>826</v>
      </c>
      <c r="C25" s="50" t="s">
        <v>458</v>
      </c>
      <c r="D25" s="50" t="s">
        <v>863</v>
      </c>
      <c r="E25" s="50" t="s">
        <v>869</v>
      </c>
      <c r="F25" s="50"/>
      <c r="G25" s="50"/>
      <c r="H25" s="50"/>
      <c r="I25" s="52"/>
      <c r="J25" s="50" t="s">
        <v>926</v>
      </c>
      <c r="K25" s="57" t="s">
        <v>839</v>
      </c>
      <c r="L25" s="54"/>
      <c r="M25" s="9"/>
      <c r="N25" s="9"/>
      <c r="O25" s="9"/>
      <c r="P25" s="8" t="s">
        <v>62</v>
      </c>
      <c r="Q25" s="8" t="s">
        <v>49</v>
      </c>
      <c r="R25" s="11"/>
    </row>
    <row r="26" spans="1:20" s="3" customFormat="1" ht="60" x14ac:dyDescent="0.25">
      <c r="A26" s="2" t="s">
        <v>54</v>
      </c>
      <c r="B26" s="50" t="s">
        <v>826</v>
      </c>
      <c r="C26" s="50" t="s">
        <v>458</v>
      </c>
      <c r="D26" s="50" t="s">
        <v>863</v>
      </c>
      <c r="E26" s="50" t="s">
        <v>869</v>
      </c>
      <c r="F26" s="50" t="s">
        <v>908</v>
      </c>
      <c r="G26" s="50" t="s">
        <v>861</v>
      </c>
      <c r="H26" s="50" t="s">
        <v>927</v>
      </c>
      <c r="I26" s="52"/>
      <c r="J26" s="50" t="s">
        <v>928</v>
      </c>
      <c r="K26" s="57" t="s">
        <v>148</v>
      </c>
      <c r="L26" s="50"/>
      <c r="M26" s="9"/>
      <c r="N26" s="9"/>
      <c r="O26" s="9"/>
      <c r="P26" s="8" t="s">
        <v>101</v>
      </c>
      <c r="Q26" s="8" t="s">
        <v>55</v>
      </c>
      <c r="R26" s="11"/>
      <c r="S26" s="3" t="s">
        <v>929</v>
      </c>
    </row>
    <row r="27" spans="1:20" s="3" customFormat="1" ht="135" x14ac:dyDescent="0.25">
      <c r="A27" s="2" t="s">
        <v>15</v>
      </c>
      <c r="B27" s="50" t="s">
        <v>826</v>
      </c>
      <c r="C27" s="50" t="s">
        <v>458</v>
      </c>
      <c r="D27" s="50" t="s">
        <v>863</v>
      </c>
      <c r="E27" s="50" t="s">
        <v>869</v>
      </c>
      <c r="F27" s="50" t="s">
        <v>930</v>
      </c>
      <c r="G27" s="50" t="s">
        <v>862</v>
      </c>
      <c r="H27" s="50" t="s">
        <v>931</v>
      </c>
      <c r="I27" s="52"/>
      <c r="J27" s="50" t="s">
        <v>932</v>
      </c>
      <c r="K27" s="57" t="s">
        <v>148</v>
      </c>
      <c r="L27" s="60"/>
      <c r="M27" s="9"/>
      <c r="N27" s="9"/>
      <c r="O27" s="9"/>
      <c r="P27" s="8" t="s">
        <v>101</v>
      </c>
      <c r="Q27" s="8" t="s">
        <v>56</v>
      </c>
      <c r="R27" s="11"/>
    </row>
    <row r="28" spans="1:20" s="3" customFormat="1" ht="180" x14ac:dyDescent="0.25">
      <c r="A28" s="2" t="s">
        <v>20</v>
      </c>
      <c r="B28" s="50" t="s">
        <v>826</v>
      </c>
      <c r="C28" s="50" t="s">
        <v>458</v>
      </c>
      <c r="D28" s="50" t="s">
        <v>863</v>
      </c>
      <c r="E28" s="50" t="s">
        <v>799</v>
      </c>
      <c r="F28" s="50" t="s">
        <v>933</v>
      </c>
      <c r="G28" s="50" t="s">
        <v>934</v>
      </c>
      <c r="H28" s="50" t="s">
        <v>935</v>
      </c>
      <c r="I28" s="50">
        <v>1</v>
      </c>
      <c r="J28" s="50" t="s">
        <v>936</v>
      </c>
      <c r="K28" s="57" t="s">
        <v>148</v>
      </c>
      <c r="L28" s="50"/>
      <c r="M28" s="9"/>
      <c r="N28" s="9"/>
      <c r="O28" s="9"/>
      <c r="P28" s="8" t="s">
        <v>101</v>
      </c>
      <c r="Q28" s="8" t="s">
        <v>57</v>
      </c>
      <c r="R28" s="11" t="s">
        <v>134</v>
      </c>
    </row>
    <row r="29" spans="1:20" s="3" customFormat="1" ht="105" x14ac:dyDescent="0.25">
      <c r="A29" s="2" t="s">
        <v>20</v>
      </c>
      <c r="B29" s="50" t="s">
        <v>826</v>
      </c>
      <c r="C29" s="50" t="s">
        <v>458</v>
      </c>
      <c r="D29" s="50" t="s">
        <v>863</v>
      </c>
      <c r="E29" s="50" t="s">
        <v>799</v>
      </c>
      <c r="F29" s="50" t="s">
        <v>937</v>
      </c>
      <c r="G29" s="50" t="s">
        <v>938</v>
      </c>
      <c r="H29" s="50" t="s">
        <v>939</v>
      </c>
      <c r="I29" s="50">
        <v>1</v>
      </c>
      <c r="J29" s="50" t="s">
        <v>940</v>
      </c>
      <c r="K29" s="57" t="s">
        <v>148</v>
      </c>
      <c r="L29" s="50"/>
      <c r="M29" s="9"/>
      <c r="N29" s="9"/>
      <c r="O29" s="9"/>
      <c r="P29" s="8" t="s">
        <v>101</v>
      </c>
      <c r="Q29" s="8" t="s">
        <v>57</v>
      </c>
      <c r="R29" s="11" t="s">
        <v>134</v>
      </c>
    </row>
    <row r="30" spans="1:20" s="3" customFormat="1" ht="105" x14ac:dyDescent="0.25">
      <c r="A30" s="2" t="s">
        <v>20</v>
      </c>
      <c r="B30" s="50" t="s">
        <v>826</v>
      </c>
      <c r="C30" s="50" t="s">
        <v>458</v>
      </c>
      <c r="D30" s="50" t="s">
        <v>863</v>
      </c>
      <c r="E30" s="50" t="s">
        <v>799</v>
      </c>
      <c r="F30" s="50" t="s">
        <v>941</v>
      </c>
      <c r="G30" s="50" t="s">
        <v>942</v>
      </c>
      <c r="H30" s="50" t="s">
        <v>943</v>
      </c>
      <c r="I30" s="50" t="s">
        <v>944</v>
      </c>
      <c r="J30" s="50" t="s">
        <v>945</v>
      </c>
      <c r="K30" s="57" t="s">
        <v>148</v>
      </c>
      <c r="L30" s="50"/>
      <c r="M30" s="9"/>
      <c r="N30" s="9"/>
      <c r="O30" s="9"/>
      <c r="P30" s="8" t="s">
        <v>101</v>
      </c>
      <c r="Q30" s="8" t="s">
        <v>57</v>
      </c>
      <c r="R30" s="11" t="s">
        <v>134</v>
      </c>
    </row>
    <row r="31" spans="1:20" s="3" customFormat="1" ht="105" x14ac:dyDescent="0.25">
      <c r="A31" s="2" t="s">
        <v>20</v>
      </c>
      <c r="B31" s="50" t="s">
        <v>826</v>
      </c>
      <c r="C31" s="50" t="s">
        <v>458</v>
      </c>
      <c r="D31" s="50" t="s">
        <v>863</v>
      </c>
      <c r="E31" s="50" t="s">
        <v>799</v>
      </c>
      <c r="F31" s="50" t="s">
        <v>946</v>
      </c>
      <c r="G31" s="50" t="s">
        <v>947</v>
      </c>
      <c r="H31" s="50" t="s">
        <v>948</v>
      </c>
      <c r="I31" s="50">
        <v>1</v>
      </c>
      <c r="J31" s="50" t="s">
        <v>949</v>
      </c>
      <c r="K31" s="57" t="s">
        <v>148</v>
      </c>
      <c r="L31" s="50"/>
      <c r="M31" s="9"/>
      <c r="N31" s="9"/>
      <c r="O31" s="9"/>
      <c r="P31" s="8" t="s">
        <v>101</v>
      </c>
      <c r="Q31" s="8" t="s">
        <v>57</v>
      </c>
      <c r="R31" s="11" t="s">
        <v>134</v>
      </c>
    </row>
    <row r="32" spans="1:20" s="3" customFormat="1" ht="165" x14ac:dyDescent="0.25">
      <c r="A32" s="2" t="s">
        <v>20</v>
      </c>
      <c r="B32" s="50" t="s">
        <v>826</v>
      </c>
      <c r="C32" s="50" t="s">
        <v>458</v>
      </c>
      <c r="D32" s="50" t="s">
        <v>863</v>
      </c>
      <c r="E32" s="50" t="s">
        <v>869</v>
      </c>
      <c r="F32" s="50" t="s">
        <v>950</v>
      </c>
      <c r="G32" s="50" t="s">
        <v>951</v>
      </c>
      <c r="H32" s="50" t="s">
        <v>952</v>
      </c>
      <c r="I32" s="50">
        <v>1</v>
      </c>
      <c r="J32" s="50" t="s">
        <v>953</v>
      </c>
      <c r="K32" s="57" t="s">
        <v>148</v>
      </c>
      <c r="L32" s="50"/>
      <c r="M32" s="9"/>
      <c r="N32" s="9"/>
      <c r="O32" s="9"/>
      <c r="P32" s="8" t="s">
        <v>101</v>
      </c>
      <c r="Q32" s="8" t="s">
        <v>57</v>
      </c>
      <c r="R32" s="11" t="s">
        <v>134</v>
      </c>
      <c r="T32" t="s">
        <v>954</v>
      </c>
    </row>
    <row r="33" spans="1:20" s="3" customFormat="1" ht="180" x14ac:dyDescent="0.25">
      <c r="A33" s="2" t="s">
        <v>20</v>
      </c>
      <c r="B33" s="50" t="s">
        <v>826</v>
      </c>
      <c r="C33" s="50" t="s">
        <v>458</v>
      </c>
      <c r="D33" s="50" t="s">
        <v>863</v>
      </c>
      <c r="E33" s="50" t="s">
        <v>869</v>
      </c>
      <c r="F33" s="50" t="s">
        <v>955</v>
      </c>
      <c r="G33" s="50" t="s">
        <v>956</v>
      </c>
      <c r="H33" s="50" t="s">
        <v>957</v>
      </c>
      <c r="I33" s="50">
        <v>1</v>
      </c>
      <c r="J33" s="50" t="s">
        <v>958</v>
      </c>
      <c r="K33" s="57" t="s">
        <v>148</v>
      </c>
      <c r="L33" s="50"/>
      <c r="M33" s="9"/>
      <c r="N33" s="9"/>
      <c r="O33" s="9"/>
      <c r="P33" s="8" t="s">
        <v>101</v>
      </c>
      <c r="Q33" s="8" t="s">
        <v>57</v>
      </c>
      <c r="R33" s="11" t="s">
        <v>134</v>
      </c>
      <c r="T33"/>
    </row>
    <row r="34" spans="1:20" s="3" customFormat="1" ht="165" x14ac:dyDescent="0.25">
      <c r="A34" s="2" t="s">
        <v>20</v>
      </c>
      <c r="B34" s="50" t="s">
        <v>826</v>
      </c>
      <c r="C34" s="50" t="s">
        <v>458</v>
      </c>
      <c r="D34" s="50" t="s">
        <v>863</v>
      </c>
      <c r="E34" s="50" t="s">
        <v>869</v>
      </c>
      <c r="F34" s="50" t="s">
        <v>959</v>
      </c>
      <c r="G34" s="50" t="s">
        <v>960</v>
      </c>
      <c r="H34" s="53" t="s">
        <v>961</v>
      </c>
      <c r="I34" s="50">
        <v>1</v>
      </c>
      <c r="J34" s="50" t="s">
        <v>962</v>
      </c>
      <c r="K34" s="57" t="s">
        <v>148</v>
      </c>
      <c r="L34" s="50"/>
      <c r="M34" s="9"/>
      <c r="N34" s="9"/>
      <c r="O34" s="9"/>
      <c r="P34" s="8" t="s">
        <v>101</v>
      </c>
      <c r="Q34" s="8" t="s">
        <v>57</v>
      </c>
      <c r="R34" s="11" t="s">
        <v>134</v>
      </c>
    </row>
    <row r="35" spans="1:20" s="3" customFormat="1" ht="135" x14ac:dyDescent="0.25">
      <c r="A35" s="2" t="s">
        <v>20</v>
      </c>
      <c r="B35" s="50" t="s">
        <v>826</v>
      </c>
      <c r="C35" s="50" t="s">
        <v>458</v>
      </c>
      <c r="D35" s="50" t="s">
        <v>863</v>
      </c>
      <c r="E35" s="50" t="s">
        <v>869</v>
      </c>
      <c r="F35" s="50" t="s">
        <v>963</v>
      </c>
      <c r="G35" s="50" t="s">
        <v>964</v>
      </c>
      <c r="H35" s="53" t="s">
        <v>965</v>
      </c>
      <c r="I35" s="50" t="s">
        <v>965</v>
      </c>
      <c r="J35" s="53" t="s">
        <v>966</v>
      </c>
      <c r="K35" s="57" t="s">
        <v>148</v>
      </c>
      <c r="L35" s="50"/>
      <c r="M35" s="9"/>
      <c r="N35" s="9"/>
      <c r="O35" s="9"/>
      <c r="P35" s="8" t="s">
        <v>101</v>
      </c>
      <c r="Q35" s="8" t="s">
        <v>57</v>
      </c>
      <c r="R35" s="11" t="s">
        <v>134</v>
      </c>
    </row>
    <row r="36" spans="1:20" x14ac:dyDescent="0.25">
      <c r="E36" s="50"/>
      <c r="Q36" s="10"/>
    </row>
    <row r="37" spans="1:20" x14ac:dyDescent="0.25">
      <c r="E37" s="50"/>
      <c r="Q37" s="10"/>
    </row>
    <row r="38" spans="1:20" x14ac:dyDescent="0.25">
      <c r="E38" s="50"/>
      <c r="Q38" s="10"/>
    </row>
    <row r="39" spans="1:20" x14ac:dyDescent="0.25">
      <c r="E39" s="50"/>
      <c r="Q39" s="10"/>
    </row>
    <row r="40" spans="1:20" x14ac:dyDescent="0.25">
      <c r="Q40" s="10"/>
    </row>
    <row r="41" spans="1:20" x14ac:dyDescent="0.25">
      <c r="Q41" s="10"/>
    </row>
    <row r="42" spans="1:20" x14ac:dyDescent="0.25">
      <c r="Q42" s="10"/>
    </row>
    <row r="43" spans="1:20" x14ac:dyDescent="0.25">
      <c r="Q43" s="10"/>
    </row>
    <row r="44" spans="1:20" x14ac:dyDescent="0.25">
      <c r="Q44" s="10"/>
    </row>
  </sheetData>
  <conditionalFormatting sqref="A6:A9 A28:A29 A36:A38 A11:A13">
    <cfRule type="expression" dxfId="120" priority="116">
      <formula>COUNTBLANK($F6:$I6)+COUNTBLANK(K6)</formula>
    </cfRule>
  </conditionalFormatting>
  <conditionalFormatting sqref="A3:A8 A10 A14:A27">
    <cfRule type="expression" dxfId="119" priority="115">
      <formula>COUNTBLANK($F3:$H3)+COUNTBLANK(K3)</formula>
    </cfRule>
  </conditionalFormatting>
  <conditionalFormatting sqref="F36:F38 F29 F3:F27">
    <cfRule type="expression" dxfId="118" priority="111">
      <formula>COUNTBLANK($F3)</formula>
    </cfRule>
  </conditionalFormatting>
  <conditionalFormatting sqref="H36:H38 H29 H14:H23 H25:H27 H3:H12">
    <cfRule type="expression" dxfId="117" priority="112">
      <formula>COUNTBLANK($G3)</formula>
    </cfRule>
    <cfRule type="expression" dxfId="116" priority="113">
      <formula>COUNTBLANK($H3)</formula>
    </cfRule>
  </conditionalFormatting>
  <conditionalFormatting sqref="A36:A38 A3:A29">
    <cfRule type="expression" dxfId="115" priority="103">
      <formula>$K3="Not Applicable"</formula>
    </cfRule>
    <cfRule type="expression" dxfId="114" priority="104">
      <formula>$K3="Not Audited"</formula>
    </cfRule>
  </conditionalFormatting>
  <conditionalFormatting sqref="I6:I9 I11:I13 I28:I29 I36:I38">
    <cfRule type="expression" dxfId="113" priority="114">
      <formula>COUNTBLANK($I6)</formula>
    </cfRule>
  </conditionalFormatting>
  <conditionalFormatting sqref="B36:D38 F29:I29 I28 H14:I27 I13:J13 B8:F8 B9:D30 F9:F27 F36:I38 B3:D7 F3:F7 E9:E39 H3:I12">
    <cfRule type="expression" dxfId="112" priority="102">
      <formula>$K3="Not Applicable"</formula>
    </cfRule>
    <cfRule type="expression" dxfId="111" priority="105">
      <formula>$K3="Not Audited"</formula>
    </cfRule>
  </conditionalFormatting>
  <conditionalFormatting sqref="D36:D38 D3:D30">
    <cfRule type="expression" dxfId="110" priority="109">
      <formula>COUNTBLANK($D3)</formula>
    </cfRule>
  </conditionalFormatting>
  <conditionalFormatting sqref="E8:E39">
    <cfRule type="expression" dxfId="109" priority="110">
      <formula>COUNTBLANK($E8)</formula>
    </cfRule>
  </conditionalFormatting>
  <conditionalFormatting sqref="B36:B38 B3:B30">
    <cfRule type="expression" dxfId="108" priority="107">
      <formula>COUNTBLANK($B3)</formula>
    </cfRule>
  </conditionalFormatting>
  <conditionalFormatting sqref="C36:C38 C3:C30">
    <cfRule type="expression" dxfId="107" priority="108">
      <formula>COUNTBLANK($C3)</formula>
    </cfRule>
  </conditionalFormatting>
  <conditionalFormatting sqref="G29 G36:G38">
    <cfRule type="expression" dxfId="106" priority="106">
      <formula>COUNTBLANK($G29)</formula>
    </cfRule>
  </conditionalFormatting>
  <conditionalFormatting sqref="A30">
    <cfRule type="expression" dxfId="105" priority="101">
      <formula>COUNTBLANK($F30:$I30)+COUNTBLANK(K30)</formula>
    </cfRule>
  </conditionalFormatting>
  <conditionalFormatting sqref="F30">
    <cfRule type="expression" dxfId="104" priority="97">
      <formula>COUNTBLANK($F30)</formula>
    </cfRule>
  </conditionalFormatting>
  <conditionalFormatting sqref="H30">
    <cfRule type="expression" dxfId="103" priority="98">
      <formula>COUNTBLANK($G30)</formula>
    </cfRule>
    <cfRule type="expression" dxfId="102" priority="99">
      <formula>COUNTBLANK($H30)</formula>
    </cfRule>
  </conditionalFormatting>
  <conditionalFormatting sqref="A30">
    <cfRule type="expression" dxfId="101" priority="93">
      <formula>$K30="Not Applicable"</formula>
    </cfRule>
    <cfRule type="expression" dxfId="100" priority="94">
      <formula>$K30="Not Audited"</formula>
    </cfRule>
  </conditionalFormatting>
  <conditionalFormatting sqref="I30">
    <cfRule type="expression" dxfId="99" priority="100">
      <formula>COUNTBLANK($I30)</formula>
    </cfRule>
  </conditionalFormatting>
  <conditionalFormatting sqref="F30:I30">
    <cfRule type="expression" dxfId="98" priority="95">
      <formula>$K30="Not Applicable"</formula>
    </cfRule>
    <cfRule type="expression" dxfId="97" priority="96">
      <formula>$K30="Not Audited"</formula>
    </cfRule>
  </conditionalFormatting>
  <conditionalFormatting sqref="G30">
    <cfRule type="expression" dxfId="96" priority="92">
      <formula>COUNTBLANK($G30)</formula>
    </cfRule>
  </conditionalFormatting>
  <conditionalFormatting sqref="G3:G27">
    <cfRule type="expression" dxfId="95" priority="90">
      <formula>$K3="Not Applicable"</formula>
    </cfRule>
    <cfRule type="expression" dxfId="94" priority="91">
      <formula>$K3="Not Audited"</formula>
    </cfRule>
  </conditionalFormatting>
  <conditionalFormatting sqref="F28">
    <cfRule type="expression" dxfId="93" priority="87">
      <formula>COUNTBLANK($F28)</formula>
    </cfRule>
  </conditionalFormatting>
  <conditionalFormatting sqref="H28">
    <cfRule type="expression" dxfId="92" priority="88">
      <formula>COUNTBLANK($G28)</formula>
    </cfRule>
    <cfRule type="expression" dxfId="91" priority="89">
      <formula>COUNTBLANK($H28)</formula>
    </cfRule>
  </conditionalFormatting>
  <conditionalFormatting sqref="F28:H28">
    <cfRule type="expression" dxfId="90" priority="84">
      <formula>$K28="Not Applicable"</formula>
    </cfRule>
    <cfRule type="expression" dxfId="89" priority="85">
      <formula>$K28="Not Audited"</formula>
    </cfRule>
  </conditionalFormatting>
  <conditionalFormatting sqref="G28">
    <cfRule type="expression" dxfId="88" priority="86">
      <formula>COUNTBLANK($G28)</formula>
    </cfRule>
  </conditionalFormatting>
  <conditionalFormatting sqref="B31:D31">
    <cfRule type="expression" dxfId="87" priority="79">
      <formula>$K31="Not Applicable"</formula>
    </cfRule>
    <cfRule type="expression" dxfId="86" priority="80">
      <formula>$K31="Not Audited"</formula>
    </cfRule>
  </conditionalFormatting>
  <conditionalFormatting sqref="D31">
    <cfRule type="expression" dxfId="85" priority="83">
      <formula>COUNTBLANK($D31)</formula>
    </cfRule>
  </conditionalFormatting>
  <conditionalFormatting sqref="B31">
    <cfRule type="expression" dxfId="84" priority="81">
      <formula>COUNTBLANK($B31)</formula>
    </cfRule>
  </conditionalFormatting>
  <conditionalFormatting sqref="C31">
    <cfRule type="expression" dxfId="83" priority="82">
      <formula>COUNTBLANK($C31)</formula>
    </cfRule>
  </conditionalFormatting>
  <conditionalFormatting sqref="A31">
    <cfRule type="expression" dxfId="82" priority="78">
      <formula>COUNTBLANK($F31:$I31)+COUNTBLANK(K31)</formula>
    </cfRule>
  </conditionalFormatting>
  <conditionalFormatting sqref="F31">
    <cfRule type="expression" dxfId="81" priority="74">
      <formula>COUNTBLANK($F31)</formula>
    </cfRule>
  </conditionalFormatting>
  <conditionalFormatting sqref="H31">
    <cfRule type="expression" dxfId="80" priority="75">
      <formula>COUNTBLANK($G31)</formula>
    </cfRule>
    <cfRule type="expression" dxfId="79" priority="76">
      <formula>COUNTBLANK($H31)</formula>
    </cfRule>
  </conditionalFormatting>
  <conditionalFormatting sqref="A31">
    <cfRule type="expression" dxfId="78" priority="70">
      <formula>$K31="Not Applicable"</formula>
    </cfRule>
    <cfRule type="expression" dxfId="77" priority="71">
      <formula>$K31="Not Audited"</formula>
    </cfRule>
  </conditionalFormatting>
  <conditionalFormatting sqref="I31">
    <cfRule type="expression" dxfId="76" priority="77">
      <formula>COUNTBLANK($I31)</formula>
    </cfRule>
  </conditionalFormatting>
  <conditionalFormatting sqref="F31:I31">
    <cfRule type="expression" dxfId="75" priority="72">
      <formula>$K31="Not Applicable"</formula>
    </cfRule>
    <cfRule type="expression" dxfId="74" priority="73">
      <formula>$K31="Not Audited"</formula>
    </cfRule>
  </conditionalFormatting>
  <conditionalFormatting sqref="G31">
    <cfRule type="expression" dxfId="73" priority="69">
      <formula>COUNTBLANK($G31)</formula>
    </cfRule>
  </conditionalFormatting>
  <conditionalFormatting sqref="B32:D32">
    <cfRule type="expression" dxfId="72" priority="64">
      <formula>$K32="Not Applicable"</formula>
    </cfRule>
    <cfRule type="expression" dxfId="71" priority="65">
      <formula>$K32="Not Audited"</formula>
    </cfRule>
  </conditionalFormatting>
  <conditionalFormatting sqref="D32">
    <cfRule type="expression" dxfId="70" priority="68">
      <formula>COUNTBLANK($D32)</formula>
    </cfRule>
  </conditionalFormatting>
  <conditionalFormatting sqref="B32">
    <cfRule type="expression" dxfId="69" priority="66">
      <formula>COUNTBLANK($B32)</formula>
    </cfRule>
  </conditionalFormatting>
  <conditionalFormatting sqref="C32">
    <cfRule type="expression" dxfId="68" priority="67">
      <formula>COUNTBLANK($C32)</formula>
    </cfRule>
  </conditionalFormatting>
  <conditionalFormatting sqref="A32">
    <cfRule type="expression" dxfId="67" priority="63">
      <formula>COUNTBLANK($F32:$I32)+COUNTBLANK(K32)</formula>
    </cfRule>
  </conditionalFormatting>
  <conditionalFormatting sqref="F32">
    <cfRule type="expression" dxfId="66" priority="59">
      <formula>COUNTBLANK($F32)</formula>
    </cfRule>
  </conditionalFormatting>
  <conditionalFormatting sqref="H32">
    <cfRule type="expression" dxfId="65" priority="60">
      <formula>COUNTBLANK($G32)</formula>
    </cfRule>
    <cfRule type="expression" dxfId="64" priority="61">
      <formula>COUNTBLANK($H32)</formula>
    </cfRule>
  </conditionalFormatting>
  <conditionalFormatting sqref="A32">
    <cfRule type="expression" dxfId="63" priority="55">
      <formula>$K32="Not Applicable"</formula>
    </cfRule>
    <cfRule type="expression" dxfId="62" priority="56">
      <formula>$K32="Not Audited"</formula>
    </cfRule>
  </conditionalFormatting>
  <conditionalFormatting sqref="I32">
    <cfRule type="expression" dxfId="61" priority="62">
      <formula>COUNTBLANK($I32)</formula>
    </cfRule>
  </conditionalFormatting>
  <conditionalFormatting sqref="F32:I32">
    <cfRule type="expression" dxfId="60" priority="57">
      <formula>$K32="Not Applicable"</formula>
    </cfRule>
    <cfRule type="expression" dxfId="59" priority="58">
      <formula>$K32="Not Audited"</formula>
    </cfRule>
  </conditionalFormatting>
  <conditionalFormatting sqref="G32">
    <cfRule type="expression" dxfId="58" priority="54">
      <formula>COUNTBLANK($G32)</formula>
    </cfRule>
  </conditionalFormatting>
  <conditionalFormatting sqref="B33:D33">
    <cfRule type="expression" dxfId="57" priority="49">
      <formula>$K33="Not Applicable"</formula>
    </cfRule>
    <cfRule type="expression" dxfId="56" priority="50">
      <formula>$K33="Not Audited"</formula>
    </cfRule>
  </conditionalFormatting>
  <conditionalFormatting sqref="D33">
    <cfRule type="expression" dxfId="55" priority="53">
      <formula>COUNTBLANK($D33)</formula>
    </cfRule>
  </conditionalFormatting>
  <conditionalFormatting sqref="B33">
    <cfRule type="expression" dxfId="54" priority="51">
      <formula>COUNTBLANK($B33)</formula>
    </cfRule>
  </conditionalFormatting>
  <conditionalFormatting sqref="C33">
    <cfRule type="expression" dxfId="53" priority="52">
      <formula>COUNTBLANK($C33)</formula>
    </cfRule>
  </conditionalFormatting>
  <conditionalFormatting sqref="A33">
    <cfRule type="expression" dxfId="52" priority="48">
      <formula>COUNTBLANK($F33:$I33)+COUNTBLANK(K33)</formula>
    </cfRule>
  </conditionalFormatting>
  <conditionalFormatting sqref="F33">
    <cfRule type="expression" dxfId="51" priority="44">
      <formula>COUNTBLANK($F33)</formula>
    </cfRule>
  </conditionalFormatting>
  <conditionalFormatting sqref="H33">
    <cfRule type="expression" dxfId="50" priority="45">
      <formula>COUNTBLANK($G33)</formula>
    </cfRule>
    <cfRule type="expression" dxfId="49" priority="46">
      <formula>COUNTBLANK($H33)</formula>
    </cfRule>
  </conditionalFormatting>
  <conditionalFormatting sqref="A33">
    <cfRule type="expression" dxfId="48" priority="40">
      <formula>$K33="Not Applicable"</formula>
    </cfRule>
    <cfRule type="expression" dxfId="47" priority="41">
      <formula>$K33="Not Audited"</formula>
    </cfRule>
  </conditionalFormatting>
  <conditionalFormatting sqref="I33">
    <cfRule type="expression" dxfId="46" priority="47">
      <formula>COUNTBLANK($I33)</formula>
    </cfRule>
  </conditionalFormatting>
  <conditionalFormatting sqref="F33:I33">
    <cfRule type="expression" dxfId="45" priority="42">
      <formula>$K33="Not Applicable"</formula>
    </cfRule>
    <cfRule type="expression" dxfId="44" priority="43">
      <formula>$K33="Not Audited"</formula>
    </cfRule>
  </conditionalFormatting>
  <conditionalFormatting sqref="G33">
    <cfRule type="expression" dxfId="43" priority="39">
      <formula>COUNTBLANK($G33)</formula>
    </cfRule>
  </conditionalFormatting>
  <conditionalFormatting sqref="B34:D34">
    <cfRule type="expression" dxfId="42" priority="34">
      <formula>$K34="Not Applicable"</formula>
    </cfRule>
    <cfRule type="expression" dxfId="41" priority="35">
      <formula>$K34="Not Audited"</formula>
    </cfRule>
  </conditionalFormatting>
  <conditionalFormatting sqref="D34">
    <cfRule type="expression" dxfId="40" priority="38">
      <formula>COUNTBLANK($D34)</formula>
    </cfRule>
  </conditionalFormatting>
  <conditionalFormatting sqref="B34">
    <cfRule type="expression" dxfId="39" priority="36">
      <formula>COUNTBLANK($B34)</formula>
    </cfRule>
  </conditionalFormatting>
  <conditionalFormatting sqref="C34">
    <cfRule type="expression" dxfId="38" priority="37">
      <formula>COUNTBLANK($C34)</formula>
    </cfRule>
  </conditionalFormatting>
  <conditionalFormatting sqref="A34">
    <cfRule type="expression" dxfId="37" priority="33">
      <formula>COUNTBLANK($F34:$I34)+COUNTBLANK(K34)</formula>
    </cfRule>
  </conditionalFormatting>
  <conditionalFormatting sqref="F34">
    <cfRule type="expression" dxfId="36" priority="29">
      <formula>COUNTBLANK($F34)</formula>
    </cfRule>
  </conditionalFormatting>
  <conditionalFormatting sqref="H34:H35">
    <cfRule type="expression" dxfId="35" priority="30">
      <formula>COUNTBLANK($G34)</formula>
    </cfRule>
    <cfRule type="expression" dxfId="34" priority="31">
      <formula>COUNTBLANK($H34)</formula>
    </cfRule>
  </conditionalFormatting>
  <conditionalFormatting sqref="A34">
    <cfRule type="expression" dxfId="33" priority="25">
      <formula>$K34="Not Applicable"</formula>
    </cfRule>
    <cfRule type="expression" dxfId="32" priority="26">
      <formula>$K34="Not Audited"</formula>
    </cfRule>
  </conditionalFormatting>
  <conditionalFormatting sqref="I34">
    <cfRule type="expression" dxfId="31" priority="32">
      <formula>COUNTBLANK($I34)</formula>
    </cfRule>
  </conditionalFormatting>
  <conditionalFormatting sqref="F34:I34 H35">
    <cfRule type="expression" dxfId="30" priority="27">
      <formula>$K34="Not Applicable"</formula>
    </cfRule>
    <cfRule type="expression" dxfId="29" priority="28">
      <formula>$K34="Not Audited"</formula>
    </cfRule>
  </conditionalFormatting>
  <conditionalFormatting sqref="G34">
    <cfRule type="expression" dxfId="28" priority="24">
      <formula>COUNTBLANK($G34)</formula>
    </cfRule>
  </conditionalFormatting>
  <conditionalFormatting sqref="B35:D35">
    <cfRule type="expression" dxfId="27" priority="19">
      <formula>$K35="Not Applicable"</formula>
    </cfRule>
    <cfRule type="expression" dxfId="26" priority="20">
      <formula>$K35="Not Audited"</formula>
    </cfRule>
  </conditionalFormatting>
  <conditionalFormatting sqref="D35">
    <cfRule type="expression" dxfId="25" priority="23">
      <formula>COUNTBLANK($D35)</formula>
    </cfRule>
  </conditionalFormatting>
  <conditionalFormatting sqref="B35">
    <cfRule type="expression" dxfId="24" priority="21">
      <formula>COUNTBLANK($B35)</formula>
    </cfRule>
  </conditionalFormatting>
  <conditionalFormatting sqref="C35">
    <cfRule type="expression" dxfId="23" priority="22">
      <formula>COUNTBLANK($C35)</formula>
    </cfRule>
  </conditionalFormatting>
  <conditionalFormatting sqref="A35">
    <cfRule type="expression" dxfId="22" priority="18">
      <formula>COUNTBLANK($F35:$I35)+COUNTBLANK(K35)</formula>
    </cfRule>
  </conditionalFormatting>
  <conditionalFormatting sqref="F35">
    <cfRule type="expression" dxfId="21" priority="16">
      <formula>COUNTBLANK($F35)</formula>
    </cfRule>
  </conditionalFormatting>
  <conditionalFormatting sqref="A35">
    <cfRule type="expression" dxfId="20" priority="12">
      <formula>$K35="Not Applicable"</formula>
    </cfRule>
    <cfRule type="expression" dxfId="19" priority="13">
      <formula>$K35="Not Audited"</formula>
    </cfRule>
  </conditionalFormatting>
  <conditionalFormatting sqref="I35">
    <cfRule type="expression" dxfId="18" priority="17">
      <formula>COUNTBLANK($I35)</formula>
    </cfRule>
  </conditionalFormatting>
  <conditionalFormatting sqref="F35:G35 I35">
    <cfRule type="expression" dxfId="17" priority="14">
      <formula>$K35="Not Applicable"</formula>
    </cfRule>
    <cfRule type="expression" dxfId="16" priority="15">
      <formula>$K35="Not Audited"</formula>
    </cfRule>
  </conditionalFormatting>
  <conditionalFormatting sqref="G35">
    <cfRule type="expression" dxfId="15" priority="11">
      <formula>COUNTBLANK($G35)</formula>
    </cfRule>
  </conditionalFormatting>
  <conditionalFormatting sqref="J13">
    <cfRule type="expression" dxfId="14" priority="117">
      <formula>COUNTBLANK($G13)</formula>
    </cfRule>
    <cfRule type="expression" dxfId="13" priority="118">
      <formula>COUNTBLANK($J13)</formula>
    </cfRule>
  </conditionalFormatting>
  <conditionalFormatting sqref="K3:K17 K20:K35">
    <cfRule type="expression" dxfId="12" priority="7">
      <formula>COUNTBLANK($K3)</formula>
    </cfRule>
  </conditionalFormatting>
  <conditionalFormatting sqref="F12">
    <cfRule type="expression" dxfId="11" priority="9">
      <formula>COUNTBLANK($G12)</formula>
    </cfRule>
    <cfRule type="expression" dxfId="10" priority="10">
      <formula>COUNTBLANK($H12)</formula>
    </cfRule>
  </conditionalFormatting>
  <conditionalFormatting sqref="K18:K19">
    <cfRule type="expression" dxfId="9" priority="8">
      <formula>COUNTBLANK($K18)</formula>
    </cfRule>
  </conditionalFormatting>
  <conditionalFormatting sqref="E3:E7">
    <cfRule type="expression" dxfId="8" priority="4">
      <formula>$K3="Not Applicable"</formula>
    </cfRule>
    <cfRule type="expression" dxfId="7" priority="5">
      <formula>$K3="Not Audited"</formula>
    </cfRule>
  </conditionalFormatting>
  <conditionalFormatting sqref="E3:E7">
    <cfRule type="expression" dxfId="6" priority="6">
      <formula>COUNTBLANK($E3)</formula>
    </cfRule>
  </conditionalFormatting>
  <conditionalFormatting sqref="H13">
    <cfRule type="expression" dxfId="5" priority="3">
      <formula>COUNTBLANK($I13)</formula>
    </cfRule>
  </conditionalFormatting>
  <conditionalFormatting sqref="H13">
    <cfRule type="expression" dxfId="4" priority="1">
      <formula>$K13="Not Applicable"</formula>
    </cfRule>
    <cfRule type="expression" dxfId="3" priority="2">
      <formula>$K13="Not Audited"</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838</v>
      </c>
    </row>
    <row r="6" spans="1:1" ht="60" x14ac:dyDescent="0.25">
      <c r="A6" s="3" t="s">
        <v>824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170" workbookViewId="0">
      <selection activeCell="C188" sqref="C188"/>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825</v>
      </c>
      <c r="C1" s="23" t="s">
        <v>494</v>
      </c>
      <c r="D1" s="23" t="s">
        <v>22</v>
      </c>
      <c r="E1" s="23" t="s">
        <v>775</v>
      </c>
      <c r="F1" s="23"/>
    </row>
    <row r="2" spans="1:6" x14ac:dyDescent="0.25">
      <c r="A2" s="27" t="s">
        <v>148</v>
      </c>
      <c r="B2" t="s">
        <v>826</v>
      </c>
      <c r="C2" s="36" t="s">
        <v>175</v>
      </c>
      <c r="D2" t="s">
        <v>495</v>
      </c>
      <c r="E2" t="s">
        <v>776</v>
      </c>
    </row>
    <row r="3" spans="1:6" x14ac:dyDescent="0.25">
      <c r="A3" s="24" t="s">
        <v>149</v>
      </c>
      <c r="B3" t="s">
        <v>827</v>
      </c>
      <c r="C3" s="36" t="s">
        <v>176</v>
      </c>
      <c r="D3" t="s">
        <v>496</v>
      </c>
      <c r="E3" t="s">
        <v>842</v>
      </c>
    </row>
    <row r="4" spans="1:6" x14ac:dyDescent="0.25">
      <c r="A4" s="25" t="s">
        <v>150</v>
      </c>
      <c r="B4" t="s">
        <v>828</v>
      </c>
      <c r="C4" s="36" t="s">
        <v>177</v>
      </c>
      <c r="D4" t="s">
        <v>497</v>
      </c>
      <c r="E4" t="s">
        <v>777</v>
      </c>
    </row>
    <row r="5" spans="1:6" x14ac:dyDescent="0.25">
      <c r="A5" s="26" t="s">
        <v>151</v>
      </c>
      <c r="B5" t="s">
        <v>829</v>
      </c>
      <c r="C5" s="36" t="s">
        <v>178</v>
      </c>
      <c r="D5" t="s">
        <v>498</v>
      </c>
      <c r="E5" t="s">
        <v>778</v>
      </c>
    </row>
    <row r="6" spans="1:6" x14ac:dyDescent="0.25">
      <c r="A6" s="49" t="s">
        <v>840</v>
      </c>
      <c r="B6" t="s">
        <v>830</v>
      </c>
      <c r="C6" s="36" t="s">
        <v>179</v>
      </c>
      <c r="D6" t="s">
        <v>499</v>
      </c>
      <c r="E6" t="s">
        <v>779</v>
      </c>
    </row>
    <row r="7" spans="1:6" x14ac:dyDescent="0.25">
      <c r="A7" s="48" t="s">
        <v>839</v>
      </c>
      <c r="C7" s="36" t="s">
        <v>180</v>
      </c>
      <c r="D7" t="s">
        <v>500</v>
      </c>
      <c r="E7" t="s">
        <v>780</v>
      </c>
    </row>
    <row r="8" spans="1:6" x14ac:dyDescent="0.25">
      <c r="C8" s="36" t="s">
        <v>181</v>
      </c>
      <c r="D8" t="s">
        <v>501</v>
      </c>
      <c r="E8" t="s">
        <v>781</v>
      </c>
    </row>
    <row r="9" spans="1:6" x14ac:dyDescent="0.25">
      <c r="C9" s="36" t="s">
        <v>182</v>
      </c>
      <c r="D9" t="s">
        <v>502</v>
      </c>
      <c r="E9" t="s">
        <v>782</v>
      </c>
    </row>
    <row r="10" spans="1:6" x14ac:dyDescent="0.25">
      <c r="C10" s="36" t="s">
        <v>183</v>
      </c>
      <c r="D10" t="s">
        <v>503</v>
      </c>
      <c r="E10" t="s">
        <v>783</v>
      </c>
    </row>
    <row r="11" spans="1:6" x14ac:dyDescent="0.25">
      <c r="C11" s="36" t="s">
        <v>184</v>
      </c>
      <c r="D11" t="s">
        <v>504</v>
      </c>
      <c r="E11" t="s">
        <v>784</v>
      </c>
    </row>
    <row r="12" spans="1:6" x14ac:dyDescent="0.25">
      <c r="C12" s="36" t="s">
        <v>185</v>
      </c>
      <c r="D12" t="s">
        <v>505</v>
      </c>
      <c r="E12" t="s">
        <v>785</v>
      </c>
    </row>
    <row r="13" spans="1:6" x14ac:dyDescent="0.25">
      <c r="C13" s="36" t="s">
        <v>186</v>
      </c>
      <c r="D13" t="s">
        <v>506</v>
      </c>
      <c r="E13" t="s">
        <v>786</v>
      </c>
    </row>
    <row r="14" spans="1:6" x14ac:dyDescent="0.25">
      <c r="C14" s="36" t="s">
        <v>187</v>
      </c>
      <c r="D14" t="s">
        <v>507</v>
      </c>
      <c r="E14" t="s">
        <v>787</v>
      </c>
    </row>
    <row r="15" spans="1:6" x14ac:dyDescent="0.25">
      <c r="C15" s="36" t="s">
        <v>188</v>
      </c>
      <c r="D15" t="s">
        <v>508</v>
      </c>
      <c r="E15" t="s">
        <v>788</v>
      </c>
    </row>
    <row r="16" spans="1:6" x14ac:dyDescent="0.25">
      <c r="C16" s="36" t="s">
        <v>313</v>
      </c>
      <c r="D16" t="s">
        <v>509</v>
      </c>
      <c r="E16" t="s">
        <v>789</v>
      </c>
    </row>
    <row r="17" spans="3:5" x14ac:dyDescent="0.25">
      <c r="C17" s="36" t="s">
        <v>375</v>
      </c>
      <c r="D17" t="s">
        <v>510</v>
      </c>
      <c r="E17" t="s">
        <v>790</v>
      </c>
    </row>
    <row r="18" spans="3:5" x14ac:dyDescent="0.25">
      <c r="C18" s="36" t="s">
        <v>376</v>
      </c>
      <c r="D18" t="s">
        <v>511</v>
      </c>
      <c r="E18" t="s">
        <v>791</v>
      </c>
    </row>
    <row r="19" spans="3:5" x14ac:dyDescent="0.25">
      <c r="C19" s="36" t="s">
        <v>370</v>
      </c>
      <c r="D19" t="s">
        <v>512</v>
      </c>
      <c r="E19" t="s">
        <v>792</v>
      </c>
    </row>
    <row r="20" spans="3:5" x14ac:dyDescent="0.25">
      <c r="C20" s="36" t="s">
        <v>396</v>
      </c>
      <c r="D20" t="s">
        <v>513</v>
      </c>
      <c r="E20" t="s">
        <v>793</v>
      </c>
    </row>
    <row r="21" spans="3:5" x14ac:dyDescent="0.25">
      <c r="C21" s="36" t="s">
        <v>397</v>
      </c>
      <c r="D21" t="s">
        <v>514</v>
      </c>
      <c r="E21" t="s">
        <v>794</v>
      </c>
    </row>
    <row r="22" spans="3:5" x14ac:dyDescent="0.25">
      <c r="C22" s="36" t="s">
        <v>398</v>
      </c>
      <c r="D22" t="s">
        <v>515</v>
      </c>
      <c r="E22" t="s">
        <v>795</v>
      </c>
    </row>
    <row r="23" spans="3:5" x14ac:dyDescent="0.25">
      <c r="C23" s="36" t="s">
        <v>399</v>
      </c>
      <c r="D23" t="s">
        <v>516</v>
      </c>
      <c r="E23" t="s">
        <v>796</v>
      </c>
    </row>
    <row r="24" spans="3:5" x14ac:dyDescent="0.25">
      <c r="C24" s="36" t="s">
        <v>400</v>
      </c>
      <c r="D24" t="s">
        <v>517</v>
      </c>
      <c r="E24" t="s">
        <v>797</v>
      </c>
    </row>
    <row r="25" spans="3:5" x14ac:dyDescent="0.25">
      <c r="C25" s="36" t="s">
        <v>401</v>
      </c>
      <c r="D25" t="s">
        <v>518</v>
      </c>
      <c r="E25" t="s">
        <v>798</v>
      </c>
    </row>
    <row r="26" spans="3:5" x14ac:dyDescent="0.25">
      <c r="C26" s="36" t="s">
        <v>402</v>
      </c>
      <c r="D26" t="s">
        <v>519</v>
      </c>
      <c r="E26" t="s">
        <v>796</v>
      </c>
    </row>
    <row r="27" spans="3:5" x14ac:dyDescent="0.25">
      <c r="C27" s="36" t="s">
        <v>403</v>
      </c>
      <c r="D27" t="s">
        <v>520</v>
      </c>
      <c r="E27" t="s">
        <v>799</v>
      </c>
    </row>
    <row r="28" spans="3:5" x14ac:dyDescent="0.25">
      <c r="C28" s="36" t="s">
        <v>404</v>
      </c>
      <c r="D28" t="s">
        <v>521</v>
      </c>
      <c r="E28" t="s">
        <v>800</v>
      </c>
    </row>
    <row r="29" spans="3:5" x14ac:dyDescent="0.25">
      <c r="C29" s="36" t="s">
        <v>405</v>
      </c>
      <c r="D29" t="s">
        <v>522</v>
      </c>
      <c r="E29" t="s">
        <v>801</v>
      </c>
    </row>
    <row r="30" spans="3:5" x14ac:dyDescent="0.25">
      <c r="C30" s="36" t="s">
        <v>406</v>
      </c>
      <c r="D30" t="s">
        <v>523</v>
      </c>
      <c r="E30" t="s">
        <v>802</v>
      </c>
    </row>
    <row r="31" spans="3:5" x14ac:dyDescent="0.25">
      <c r="C31" s="36" t="s">
        <v>407</v>
      </c>
      <c r="D31" t="s">
        <v>524</v>
      </c>
      <c r="E31" s="30" t="s">
        <v>803</v>
      </c>
    </row>
    <row r="32" spans="3:5" x14ac:dyDescent="0.25">
      <c r="C32" s="36" t="s">
        <v>408</v>
      </c>
      <c r="D32" t="s">
        <v>525</v>
      </c>
      <c r="E32" s="30" t="s">
        <v>804</v>
      </c>
    </row>
    <row r="33" spans="3:5" x14ac:dyDescent="0.25">
      <c r="C33" s="36" t="s">
        <v>409</v>
      </c>
      <c r="D33" t="s">
        <v>526</v>
      </c>
      <c r="E33" s="30" t="s">
        <v>805</v>
      </c>
    </row>
    <row r="34" spans="3:5" x14ac:dyDescent="0.25">
      <c r="C34" s="36" t="s">
        <v>410</v>
      </c>
      <c r="D34" t="s">
        <v>527</v>
      </c>
      <c r="E34" s="31" t="s">
        <v>806</v>
      </c>
    </row>
    <row r="35" spans="3:5" x14ac:dyDescent="0.25">
      <c r="C35" s="36" t="s">
        <v>411</v>
      </c>
      <c r="D35" t="s">
        <v>528</v>
      </c>
      <c r="E35" s="32" t="s">
        <v>807</v>
      </c>
    </row>
    <row r="36" spans="3:5" x14ac:dyDescent="0.25">
      <c r="C36" s="36" t="s">
        <v>412</v>
      </c>
      <c r="D36" t="s">
        <v>529</v>
      </c>
      <c r="E36" s="31" t="s">
        <v>808</v>
      </c>
    </row>
    <row r="37" spans="3:5" x14ac:dyDescent="0.25">
      <c r="C37" s="36" t="s">
        <v>413</v>
      </c>
      <c r="D37" t="s">
        <v>530</v>
      </c>
      <c r="E37" s="31" t="s">
        <v>809</v>
      </c>
    </row>
    <row r="38" spans="3:5" x14ac:dyDescent="0.25">
      <c r="C38" s="36" t="s">
        <v>414</v>
      </c>
      <c r="D38" t="s">
        <v>531</v>
      </c>
      <c r="E38" s="31" t="s">
        <v>810</v>
      </c>
    </row>
    <row r="39" spans="3:5" x14ac:dyDescent="0.25">
      <c r="C39" s="36" t="s">
        <v>415</v>
      </c>
      <c r="D39" t="s">
        <v>532</v>
      </c>
      <c r="E39" s="33" t="s">
        <v>811</v>
      </c>
    </row>
    <row r="40" spans="3:5" x14ac:dyDescent="0.25">
      <c r="C40" s="36" t="s">
        <v>416</v>
      </c>
      <c r="D40" t="s">
        <v>533</v>
      </c>
      <c r="E40" s="33" t="s">
        <v>812</v>
      </c>
    </row>
    <row r="41" spans="3:5" x14ac:dyDescent="0.25">
      <c r="C41" s="36" t="s">
        <v>417</v>
      </c>
      <c r="D41" t="s">
        <v>534</v>
      </c>
      <c r="E41" s="33" t="s">
        <v>815</v>
      </c>
    </row>
    <row r="42" spans="3:5" x14ac:dyDescent="0.25">
      <c r="C42" s="36" t="s">
        <v>418</v>
      </c>
      <c r="D42" t="s">
        <v>535</v>
      </c>
      <c r="E42" s="34" t="s">
        <v>813</v>
      </c>
    </row>
    <row r="43" spans="3:5" x14ac:dyDescent="0.25">
      <c r="C43" s="36" t="s">
        <v>419</v>
      </c>
      <c r="D43" t="s">
        <v>536</v>
      </c>
      <c r="E43" s="35" t="s">
        <v>814</v>
      </c>
    </row>
    <row r="44" spans="3:5" x14ac:dyDescent="0.25">
      <c r="C44" s="36" t="s">
        <v>420</v>
      </c>
      <c r="D44" t="s">
        <v>537</v>
      </c>
      <c r="E44" t="s">
        <v>816</v>
      </c>
    </row>
    <row r="45" spans="3:5" x14ac:dyDescent="0.25">
      <c r="C45" s="36" t="s">
        <v>421</v>
      </c>
      <c r="D45" t="s">
        <v>538</v>
      </c>
      <c r="E45" t="s">
        <v>817</v>
      </c>
    </row>
    <row r="46" spans="3:5" x14ac:dyDescent="0.25">
      <c r="C46" s="36" t="s">
        <v>422</v>
      </c>
      <c r="D46" t="s">
        <v>539</v>
      </c>
      <c r="E46" t="s">
        <v>818</v>
      </c>
    </row>
    <row r="47" spans="3:5" x14ac:dyDescent="0.25">
      <c r="C47" s="36" t="s">
        <v>423</v>
      </c>
      <c r="D47" t="s">
        <v>540</v>
      </c>
      <c r="E47" t="s">
        <v>819</v>
      </c>
    </row>
    <row r="48" spans="3:5" x14ac:dyDescent="0.25">
      <c r="C48" s="36" t="s">
        <v>424</v>
      </c>
      <c r="D48" t="s">
        <v>541</v>
      </c>
      <c r="E48" t="s">
        <v>820</v>
      </c>
    </row>
    <row r="49" spans="3:5" x14ac:dyDescent="0.25">
      <c r="C49" s="36" t="s">
        <v>425</v>
      </c>
      <c r="D49" t="s">
        <v>542</v>
      </c>
      <c r="E49" t="s">
        <v>841</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Brian</vt:lpstr>
      <vt:lpstr>ISO 17065</vt:lpstr>
      <vt:lpstr>Michael, Lizete</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2022-06-06T19:22:31Z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