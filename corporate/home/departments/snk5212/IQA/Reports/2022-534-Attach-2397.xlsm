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534 Queretaro\"/>
    </mc:Choice>
  </mc:AlternateContent>
  <xr:revisionPtr revIDLastSave="0" documentId="13_ncr:1_{8CE33CAE-4F75-4B59-B4B7-84D0BFA3FBB8}" xr6:coauthVersionLast="47" xr6:coauthVersionMax="47" xr10:uidLastSave="{00000000-0000-0000-0000-000000000000}"/>
  <bookViews>
    <workbookView xWindow="-120" yWindow="-120" windowWidth="29040" windowHeight="15840" firstSheet="1" activeTab="1" xr2:uid="{5426C36E-AAE0-45E3-9C4C-2C971D0504DB}"/>
  </bookViews>
  <sheets>
    <sheet name="ISO 17065" sheetId="13" state="hidden" r:id="rId1"/>
    <sheet name="ISO 17025" sheetId="15" r:id="rId2"/>
    <sheet name="Definition " sheetId="11" r:id="rId3"/>
    <sheet name="Sheet1" sheetId="14" state="hidden" r:id="rId4"/>
  </sheets>
  <definedNames>
    <definedName name="_xlnm._FilterDatabase" localSheetId="1" hidden="1">'ISO 17025'!$Q$2:$Q$78</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tc={B0E9B250-A41C-463C-9B5C-F44FDE99EC9D}</author>
    <author>tc={C86462AE-FF1D-442A-BF54-0D0A7D0C26D0}</author>
    <author>tc={0BB914E7-D3B5-4FE9-B057-B4ED5D97611E}</author>
  </authors>
  <commentList>
    <comment ref="Q28" authorId="0" shapeId="0" xr:uid="{B0E9B250-A41C-463C-9B5C-F44FDE99EC9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C86462AE-FF1D-442A-BF54-0D0A7D0C26D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0BB914E7-D3B5-4FE9-B057-B4ED5D97611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<sst xmlns="http://schemas.openxmlformats.org/spreadsheetml/2006/main" count="1199" uniqueCount="910">
  <si>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</si>
  <si>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</si>
  <si>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</si>
  <si>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</si>
  <si>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</si>
  <si>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</si>
  <si>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</si>
  <si>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</si>
  <si>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</si>
  <si>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</si>
  <si>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</si>
  <si>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</si>
  <si>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</si>
  <si>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</si>
  <si>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</si>
  <si>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</si>
  <si>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</si>
  <si>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</si>
  <si>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</si>
  <si>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</si>
  <si>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</si>
  <si>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</si>
  <si>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</si>
  <si>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</si>
  <si>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</si>
  <si>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</si>
  <si>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</si>
  <si>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</si>
  <si>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</si>
  <si>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</si>
  <si>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</si>
  <si>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</si>
  <si>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</si>
  <si>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</si>
  <si>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</si>
  <si>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</si>
  <si>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</si>
  <si>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</si>
  <si>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</si>
  <si>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</si>
  <si>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</si>
  <si>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</si>
  <si>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</si>
  <si>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</si>
  <si>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</si>
  <si>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</si>
  <si>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</si>
  <si>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</si>
  <si>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</si>
  <si>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</si>
  <si>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</si>
  <si>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</si>
  <si>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</si>
  <si>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</si>
  <si>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</si>
  <si>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</si>
  <si>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</si>
  <si>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</si>
  <si>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</si>
  <si>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</si>
  <si>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</si>
  <si>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</si>
  <si>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</si>
  <si>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</si>
  <si>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</si>
  <si>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</si>
  <si>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</si>
  <si>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</si>
  <si>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</si>
  <si>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</si>
  <si>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</si>
  <si>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</si>
  <si>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</si>
  <si>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</si>
  <si>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</si>
  <si>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</si>
  <si>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</si>
  <si>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</si>
  <si>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</si>
  <si>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</si>
  <si>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</si>
  <si>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</si>
  <si>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</si>
  <si>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</si>
  <si>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</si>
  <si>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</si>
  <si>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</si>
  <si>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</si>
  <si>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</si>
  <si>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</si>
  <si>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</si>
  <si>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</si>
  <si>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</si>
  <si>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</si>
  <si>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</si>
  <si>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</si>
  <si>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</si>
  <si>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</si>
  <si>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</si>
  <si>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</si>
  <si>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</si>
  <si>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</si>
  <si>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</si>
  <si>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</si>
  <si>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</si>
  <si>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</si>
  <si>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</si>
  <si>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</si>
  <si>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</si>
  <si>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</si>
  <si>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</si>
  <si>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</si>
  <si>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</si>
  <si>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</si>
  <si>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</si>
  <si>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</si>
  <si>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</si>
  <si>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</si>
  <si>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</si>
  <si>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</si>
  <si>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</si>
  <si>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</si>
  <si>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</si>
  <si>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</si>
  <si>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</si>
  <si>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</si>
  <si>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</si>
  <si>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</si>
  <si>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</si>
  <si>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</si>
  <si>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</si>
  <si>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</si>
  <si>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</si>
  <si>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</si>
  <si>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</si>
  <si>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</si>
  <si>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</si>
  <si>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</si>
  <si>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</si>
  <si>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</si>
  <si>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</si>
  <si>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</si>
  <si>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</si>
  <si>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</si>
  <si>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</si>
  <si>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</si>
  <si>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</si>
  <si>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</si>
  <si>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</si>
  <si>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</si>
  <si>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</si>
  <si>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</si>
  <si>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</si>
  <si>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</si>
  <si>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</si>
  <si>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</si>
  <si>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</si>
  <si>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</si>
  <si>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</si>
  <si>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</si>
  <si>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</si>
  <si>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</si>
  <si>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</si>
  <si>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</si>
  <si>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</si>
  <si>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</si>
  <si>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</si>
  <si>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</si>
  <si>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</si>
  <si>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</si>
  <si>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</si>
  <si>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</si>
  <si>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</si>
  <si>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</si>
  <si>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</si>
  <si>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</si>
  <si>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</si>
  <si>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</si>
  <si>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</si>
  <si>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</si>
  <si>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</si>
  <si>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</si>
  <si>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</si>
  <si>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</si>
  <si>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</si>
  <si>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</si>
  <si>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</si>
  <si>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</si>
  <si>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</si>
  <si>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</si>
  <si>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</si>
  <si>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</si>
  <si>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</si>
  <si>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</si>
  <si>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</si>
  <si>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</si>
  <si>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</si>
  <si>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</si>
  <si>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</si>
  <si>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</si>
  <si>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</si>
  <si>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</si>
  <si>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</si>
  <si>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</si>
  <si>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</si>
  <si>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</si>
  <si>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</si>
  <si>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</si>
  <si>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</si>
  <si>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</si>
  <si>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</si>
  <si>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</si>
  <si>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</si>
  <si>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</si>
  <si>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</si>
  <si>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</si>
  <si>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</si>
  <si>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</si>
  <si>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</si>
  <si>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</si>
  <si>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</si>
  <si>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</si>
  <si>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</si>
  <si>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</si>
  <si>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</si>
  <si>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</si>
  <si>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</si>
  <si>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</si>
  <si>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</si>
  <si>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</si>
  <si>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</si>
  <si>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</si>
  <si>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</si>
  <si>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</si>
  <si>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</si>
  <si>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</si>
  <si>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</si>
  <si>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</si>
  <si>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</si>
  <si>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</si>
  <si>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</si>
  <si>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</si>
  <si>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</si>
  <si>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</si>
  <si>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</si>
  <si>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</si>
  <si>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</si>
  <si>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</si>
  <si>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</si>
  <si>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</si>
  <si>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</si>
  <si>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</si>
  <si>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</si>
  <si>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</si>
  <si>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</si>
  <si>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</si>
  <si>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</si>
  <si>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</si>
  <si>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</si>
  <si>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</si>
  <si>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</si>
  <si>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</si>
  <si>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</si>
  <si>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</si>
  <si>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</si>
  <si>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</si>
  <si>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</si>
  <si>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</si>
  <si>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</si>
  <si>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</si>
  <si>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</si>
  <si>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</si>
  <si>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</si>
  <si>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</si>
  <si>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</si>
  <si>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</si>
  <si>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</si>
  <si>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</si>
  <si>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</si>
  <si>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</si>
  <si>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</si>
  <si>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</si>
  <si>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</si>
  <si>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</si>
  <si>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</si>
  <si>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</si>
  <si>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</si>
  <si>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</si>
  <si>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</si>
  <si>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</si>
  <si>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</si>
  <si>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</si>
  <si>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</si>
  <si>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</si>
  <si>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</si>
  <si>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</si>
  <si>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</si>
  <si>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</si>
  <si>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</si>
  <si>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</si>
  <si>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</si>
  <si>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</si>
  <si>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</si>
  <si>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</si>
  <si>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</si>
  <si>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</si>
  <si>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</si>
  <si>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</si>
  <si>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</si>
  <si>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</si>
  <si>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</si>
  <si>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</si>
  <si>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</si>
  <si>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</si>
  <si>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</si>
  <si>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</si>
  <si>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</si>
  <si>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</si>
  <si>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</si>
  <si>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</si>
  <si>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</si>
  <si>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</si>
  <si>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</si>
  <si>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</si>
  <si>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</si>
  <si>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</si>
  <si>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</si>
  <si>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</si>
  <si>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</si>
  <si>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</si>
  <si>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</si>
  <si>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</si>
  <si>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</si>
  <si>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</si>
  <si>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</si>
  <si>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</si>
  <si>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</si>
  <si>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</si>
  <si>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</si>
  <si>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</si>
  <si>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</si>
  <si>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</si>
  <si>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</si>
  <si>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</si>
  <si>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</si>
  <si>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</si>
  <si>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</si>
  <si>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</si>
  <si>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</si>
  <si>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</si>
  <si>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</si>
  <si>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</si>
  <si>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</si>
  <si>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</si>
  <si>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</si>
  <si>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</si>
  <si>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</si>
  <si>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</si>
  <si>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</si>
  <si>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</si>
  <si>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</si>
  <si>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</si>
  <si>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</si>
  <si>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</si>
  <si>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</si>
  <si>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</si>
  <si>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</si>
  <si>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</si>
  <si>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</si>
  <si>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</si>
  <si>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</si>
  <si>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</si>
  <si>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</si>
  <si>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</si>
  <si>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</si>
  <si>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</si>
  <si>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</si>
  <si>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</si>
  <si>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</si>
  <si>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</si>
  <si>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</si>
  <si>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</si>
  <si>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</si>
  <si>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</si>
  <si>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</si>
  <si>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</si>
  <si>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</si>
  <si>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</si>
  <si>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</si>
  <si>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</si>
  <si>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</si>
  <si>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</si>
  <si>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</si>
  <si>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</si>
  <si>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</si>
  <si>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</si>
  <si>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</si>
  <si>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</si>
  <si>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</si>
  <si>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</si>
  <si>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</si>
  <si>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</si>
  <si>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</si>
  <si>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</si>
  <si>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</si>
  <si>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</si>
  <si>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</si>
  <si>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</si>
  <si>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</si>
  <si>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</si>
  <si>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</si>
  <si>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</si>
  <si>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</si>
  <si>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</si>
  <si>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</si>
  <si>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</si>
  <si>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</si>
  <si>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</si>
  <si>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</si>
  <si>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</si>
  <si>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</si>
  <si>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</si>
  <si>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</si>
  <si>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</si>
  <si>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</si>
  <si>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</si>
  <si>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</si>
  <si>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</si>
  <si>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</si>
  <si>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</si>
  <si>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</si>
  <si>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</si>
  <si>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</si>
  <si>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</si>
  <si>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</si>
  <si>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</si>
  <si>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</si>
  <si>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</si>
  <si>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</si>
  <si>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</si>
  <si>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</si>
  <si>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</si>
  <si>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</si>
  <si>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</si>
  <si>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</si>
  <si>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</si>
  <si>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</si>
  <si>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</si>
  <si>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</si>
  <si>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</si>
  <si>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</si>
  <si>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</si>
  <si>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</si>
  <si>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</si>
  <si>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</si>
  <si>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</si>
  <si>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</si>
  <si>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</si>
  <si>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</si>
  <si>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</si>
  <si>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</si>
  <si>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</si>
  <si>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</si>
  <si>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</si>
  <si>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</si>
  <si>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</si>
  <si>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</si>
  <si>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</si>
  <si>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</si>
  <si>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</si>
  <si>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</si>
  <si>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</si>
  <si>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</si>
  <si>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</si>
  <si>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</si>
  <si>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</si>
  <si>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</si>
  <si>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</si>
  <si>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</si>
  <si>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</si>
  <si>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</si>
  <si>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</si>
  <si>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</si>
  <si>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</si>
  <si>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</si>
  <si>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</si>
  <si>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</si>
  <si>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</si>
  <si>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</si>
  <si>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</si>
  <si>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</si>
  <si>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</si>
  <si>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</si>
  <si>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</si>
  <si>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</si>
  <si>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</si>
  <si>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</si>
  <si>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</si>
  <si>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</si>
  <si>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</si>
  <si>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</si>
  <si>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</si>
  <si>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</si>
  <si>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</si>
  <si>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</si>
  <si>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</si>
  <si>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</si>
  <si>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</si>
  <si>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</si>
  <si>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</si>
  <si>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</si>
  <si>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</si>
  <si>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</si>
  <si>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</si>
  <si>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</si>
  <si>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</si>
  <si>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</si>
  <si>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</si>
  <si>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</si>
  <si>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</si>
  <si>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</si>
  <si>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</si>
  <si>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</si>
  <si>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</si>
  <si>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</si>
  <si>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</si>
  <si>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</si>
  <si>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</si>
  <si>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</si>
  <si>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</si>
  <si>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</si>
  <si>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</si>
  <si>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</si>
  <si>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</si>
  <si>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</si>
  <si>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</si>
  <si>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</si>
  <si>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</si>
  <si>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</si>
  <si>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</si>
  <si>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</si>
  <si>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</si>
  <si>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</si>
  <si>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</si>
  <si>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</si>
  <si>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</si>
  <si>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</si>
  <si>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</si>
  <si>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</si>
  <si>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</si>
  <si>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</si>
  <si>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</si>
  <si>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</si>
  <si>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</si>
  <si>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</si>
  <si>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</si>
  <si>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</si>
  <si>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</si>
  <si>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</si>
  <si>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</si>
  <si>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</si>
  <si>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</si>
  <si>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</si>
  <si>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</si>
  <si>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</si>
  <si>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</si>
  <si>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</si>
  <si>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</si>
  <si>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</si>
  <si>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</si>
  <si>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</si>
  <si>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</si>
  <si>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</si>
  <si>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</si>
  <si>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</si>
  <si>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</si>
  <si>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</si>
  <si>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</si>
  <si>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</si>
  <si>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</si>
  <si>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</si>
  <si>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</si>
  <si>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</si>
  <si>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</si>
  <si>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</si>
  <si>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</si>
  <si>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</si>
  <si>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</si>
  <si>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</si>
  <si>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</si>
  <si>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</si>
  <si>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</si>
  <si>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</si>
  <si>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</si>
  <si>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</si>
  <si>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</si>
  <si>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</si>
  <si>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</si>
  <si>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</si>
  <si>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</si>
  <si>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</si>
  <si>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</si>
  <si>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</si>
  <si>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</si>
  <si>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</si>
  <si>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</si>
  <si>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</si>
  <si>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</si>
  <si>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</si>
  <si>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</si>
  <si>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</si>
  <si>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</si>
  <si>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</si>
  <si>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</si>
  <si>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</si>
  <si>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</si>
  <si>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</si>
  <si>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</si>
  <si>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</si>
  <si>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</si>
  <si>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</si>
  <si>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</si>
  <si>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</si>
  <si>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</si>
  <si>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</si>
  <si>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</si>
  <si>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</si>
  <si>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</si>
  <si>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</si>
  <si>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</si>
  <si>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</si>
  <si>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</si>
  <si>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</si>
  <si>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</si>
  <si>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</si>
  <si>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</si>
  <si>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</si>
  <si>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</si>
  <si>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</si>
  <si>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</si>
  <si>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</si>
  <si>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</si>
  <si>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</si>
  <si>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</si>
  <si>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</si>
  <si>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</si>
  <si>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</si>
  <si>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</si>
  <si>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</si>
  <si>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</si>
  <si>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</si>
  <si>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</si>
  <si>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</si>
  <si>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</si>
  <si>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</si>
  <si>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</si>
  <si>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</si>
  <si>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</si>
  <si>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</si>
  <si>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</si>
  <si>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</si>
  <si>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</si>
  <si>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</si>
  <si>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</si>
  <si>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</si>
  <si>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</si>
  <si>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</si>
  <si>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</si>
  <si>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</si>
  <si>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</si>
  <si>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</si>
  <si>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</si>
  <si>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</si>
  <si>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</si>
  <si>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</si>
  <si>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</si>
  <si>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</si>
  <si>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</si>
  <si>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</si>
  <si>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</si>
  <si>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</si>
  <si>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</si>
  <si>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</si>
  <si>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</si>
  <si>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</si>
  <si>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</si>
  <si>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</si>
  <si>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</si>
  <si>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</si>
  <si>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</si>
  <si>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</si>
  <si>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</si>
  <si>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</si>
  <si>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</si>
  <si>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</si>
  <si>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</si>
  <si>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</si>
  <si>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</si>
  <si>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</si>
  <si>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</si>
  <si>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</si>
  <si>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</si>
  <si>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</si>
  <si>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</si>
  <si>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</si>
  <si>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</si>
  <si>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</si>
  <si>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</si>
  <si>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</si>
  <si>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</si>
  <si>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</si>
  <si>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</si>
  <si>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</si>
  <si>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</si>
  <si>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</si>
  <si>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</si>
  <si>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</si>
  <si>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</si>
  <si>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</si>
  <si>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</si>
  <si>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</si>
  <si>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</si>
  <si>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</si>
  <si>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</si>
  <si>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</si>
  <si>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</si>
  <si>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</si>
  <si>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</si>
  <si>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</si>
  <si>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</si>
  <si>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</si>
  <si>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</si>
  <si>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</si>
  <si>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</si>
  <si>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</si>
  <si>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</si>
  <si>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</si>
  <si>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</si>
  <si>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</si>
  <si>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</si>
  <si>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</si>
  <si>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</si>
  <si>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</si>
  <si>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</si>
  <si>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</si>
  <si>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</si>
  <si>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</si>
  <si>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</si>
  <si>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</si>
  <si>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</si>
  <si>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</si>
  <si>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</si>
  <si>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</si>
  <si>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</si>
  <si>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</si>
  <si>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</si>
  <si>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</si>
  <si>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</si>
  <si>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</si>
  <si>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</si>
  <si>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</si>
  <si>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</si>
  <si>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</si>
  <si>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</si>
  <si>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</si>
  <si>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</si>
  <si>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</si>
  <si>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</si>
  <si>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</si>
  <si>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</si>
  <si>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</si>
  <si>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</si>
  <si>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</si>
  <si>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</si>
  <si>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</si>
  <si>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</si>
  <si>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</si>
  <si>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</si>
  <si>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</si>
  <si>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</si>
  <si>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</si>
  <si>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</si>
  <si>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</si>
  <si>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</si>
  <si>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</si>
  <si>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</si>
  <si>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</si>
  <si>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</si>
  <si>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</si>
  <si>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</si>
  <si>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</si>
  <si>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</si>
  <si>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</si>
  <si>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</si>
  <si>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</si>
  <si>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</si>
  <si>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</si>
  <si>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</si>
  <si>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</si>
  <si>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</si>
  <si>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</si>
  <si>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</si>
  <si>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</si>
  <si>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</si>
  <si>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</si>
  <si>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</si>
  <si>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</si>
  <si>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</si>
  <si>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</si>
  <si>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</si>
  <si>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</si>
  <si>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</si>
  <si>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</si>
  <si>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</si>
  <si>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</si>
  <si>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</si>
  <si>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</si>
  <si>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</si>
  <si>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</si>
  <si>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</si>
  <si>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</si>
  <si>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</si>
  <si>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</si>
  <si>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</si>
  <si>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</si>
  <si>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</si>
  <si>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</si>
  <si>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</si>
  <si>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</si>
  <si>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</si>
  <si>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</si>
  <si>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</si>
  <si>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</si>
  <si>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</si>
  <si>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</si>
  <si>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</si>
  <si>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</si>
  <si>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</si>
  <si>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</si>
  <si>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</si>
  <si>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</si>
  <si>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</si>
  <si>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</si>
  <si>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Canada Safety Scheme, NOM Mark, US Safety Scheme</t>
  </si>
  <si>
    <t>Mariana Magana, Angela Gonzalez</t>
  </si>
  <si>
    <t>00-LC-P0851  Issue: 7.0</t>
  </si>
  <si>
    <t>Management Review Minutes</t>
  </si>
  <si>
    <t>Gabriela Gonzalez</t>
  </si>
  <si>
    <t>Confidentiality records for: Pablo Texon, Moises Navarette, David Mendoza, Alan Nava</t>
  </si>
  <si>
    <t>Reviewed organization structure with Ben Dahlen</t>
  </si>
  <si>
    <t>00-LO-S0855 Issue 18.0</t>
  </si>
  <si>
    <t>Trianing records for Gilberto Urneta and Brandon Seaman</t>
  </si>
  <si>
    <t>00-LO-P0851 Issue 7.0</t>
  </si>
  <si>
    <t>Reviewed PQA record and test methods</t>
  </si>
  <si>
    <t>Alan Nava</t>
  </si>
  <si>
    <t>00-LC-P0028 Issue 16.0</t>
  </si>
  <si>
    <t>MN108 Power Analizer, MN165 Environmental Chamber, MN107 Thermohygrometer, MN028 Fluke Scopemeter, MN117 Probe</t>
  </si>
  <si>
    <t>00-LO-S0409 Issue 7.0</t>
  </si>
  <si>
    <t>3689195 Oxygen, 3302880 Dextrose</t>
  </si>
  <si>
    <t>Angela Gonzalez</t>
  </si>
  <si>
    <t>N/A</t>
  </si>
  <si>
    <t>00-LC-P0851 Issue 7.0</t>
  </si>
  <si>
    <t>See Test Method Verification</t>
  </si>
  <si>
    <t>00-LC-S0278 Issue 13.0</t>
  </si>
  <si>
    <t>Creepage</t>
  </si>
  <si>
    <t>00-LC-P0028 Issue 15.0</t>
  </si>
  <si>
    <t>PTP, Review, Intralaboratory testing</t>
  </si>
  <si>
    <t>Alan Nava, Angela Gonzalez</t>
  </si>
  <si>
    <t>PTP, Intralaboratory testing</t>
  </si>
  <si>
    <t>00-LO-S0857 Issue 7.0</t>
  </si>
  <si>
    <t>None available</t>
  </si>
  <si>
    <t>00-IT-P0856 Issue 1.0</t>
  </si>
  <si>
    <t>Communication closet</t>
  </si>
  <si>
    <t>00-LC-P0046 Issue 10.0</t>
  </si>
  <si>
    <t>Process documentation</t>
  </si>
  <si>
    <t>ULDC used for document control</t>
  </si>
  <si>
    <t>Share point, ECM, Flex, Not all records accessible</t>
  </si>
  <si>
    <t>00-QA-S0006 Issue 27.0</t>
  </si>
  <si>
    <t>Reviewed during Management Review</t>
  </si>
  <si>
    <t>00-LC-F033, Issue 14.0</t>
  </si>
  <si>
    <t>2021 Management Review</t>
  </si>
  <si>
    <t>Jorge Felix, Eduardo Yanez</t>
  </si>
  <si>
    <t>PF 90155</t>
  </si>
  <si>
    <t>Thermal Shock</t>
  </si>
  <si>
    <t>DS/EN ISO 2813</t>
  </si>
  <si>
    <t>Determination of gloss at 20, 60, 80 degrees</t>
  </si>
  <si>
    <t>Rogelio Vazquez</t>
  </si>
  <si>
    <t>NMX-J-010-ANCE-2018</t>
  </si>
  <si>
    <t>Detail Examination of stranded conductor</t>
  </si>
  <si>
    <t xml:space="preserve">Reviewed onbording training plan for Priyank Patel </t>
  </si>
  <si>
    <t>PQA conducted every 3 years</t>
  </si>
  <si>
    <t xml:space="preserve">Reviewed Fox Valley Metrology site for cal certs. MET TEAM was down </t>
  </si>
  <si>
    <t>No subcontracting of testing</t>
  </si>
  <si>
    <t>Covered during COU audits</t>
  </si>
  <si>
    <t>Plan to conduct 3 in 2022</t>
  </si>
  <si>
    <t>Discussed procedure and traceback process</t>
  </si>
  <si>
    <t>Discussed control of information and communication closet access</t>
  </si>
  <si>
    <t>Handled primarily by Customer Advocacy</t>
  </si>
  <si>
    <t>Process is documented however a coporate system outgae occurred during the audit period</t>
  </si>
  <si>
    <t>IQA conducted by Corporate Quality</t>
  </si>
  <si>
    <t>Included on share point site</t>
  </si>
  <si>
    <t>Management review is conducted at a regional level.</t>
  </si>
  <si>
    <t>Moises Navarrete</t>
  </si>
  <si>
    <t>UL1598</t>
  </si>
  <si>
    <t>Dielectric Withstand Test</t>
  </si>
  <si>
    <t>Strain Relief of Conductors</t>
  </si>
  <si>
    <t>Audit # 2022-534-IQA</t>
  </si>
  <si>
    <t>Auditor Name: Brian Mahoney</t>
  </si>
  <si>
    <t>Audit Date Range: 03/22-24/2022</t>
  </si>
  <si>
    <t>and 4/4/2022 and 5/13/2022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</si>
</sst>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theme="1"/>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5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wrapText="1"/>
    </xf>
    <xf numFmtId="0" fontId="12" fillId="0" borderId="0" xfId="0" applyFont="1"/>
    <xf numFmtId="0" fontId="0" fillId="2" borderId="2" xfId="0" applyFill="1" applyBorder="1" applyAlignment="1">
      <alignment wrapText="1"/>
    </xf>
    <xf numFmtId="0" fontId="0" fillId="2" borderId="1" xfId="0" applyFill="1" applyBorder="1" applyAlignment="1">
      <alignment vertical="top" wrapText="1"/>
    </xf>
    <xf numFmtId="14" fontId="11" fillId="0" borderId="1" xfId="0" applyNumberFormat="1" applyFont="1" applyFill="1" applyBorder="1"/>
  </cellXfs>
  <cellStyles count="1">
    <cellStyle name="Normal" xfId="0" builtinId="0"/>
  </cellStyles>
  <dxfs count="89">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B0E9B250-A41C-463C-9B5C-F44FDE99EC9D}">
    <text>When looking test method,  need further discussion for additional form or pathnote</text>
  </threadedComment>
  <threadedComment ref="Q29" dT="2020-09-22T15:02:37.15" personId="{AC51E8DC-BF1C-40B5-8E58-84AE25CE4664}" id="{C86462AE-FF1D-442A-BF54-0D0A7D0C26D0}">
    <text>When looking test method,  need further discussion for additional form or pathnote</text>
  </threadedComment>
  <threadedComment ref="Q30" dT="2020-09-22T15:02:37.15" personId="{AC51E8DC-BF1C-40B5-8E58-84AE25CE4664}" id="{0BB914E7-D3B5-4FE9-B057-B4ED5D97611E}">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88" priority="60">
      <formula>COUNTBLANK($F3)</formula>
    </cfRule>
  </conditionalFormatting>
  <conditionalFormatting sqref="I7 I27:I32">
    <cfRule type="expression" dxfId="87" priority="58">
      <formula>COUNTBLANK($I7)</formula>
    </cfRule>
  </conditionalFormatting>
  <conditionalFormatting sqref="G3:G32">
    <cfRule type="expression" dxfId="86" priority="50">
      <formula>COUNTBLANK($G3)</formula>
    </cfRule>
  </conditionalFormatting>
  <conditionalFormatting sqref="H3:H32">
    <cfRule type="expression" dxfId="85" priority="49">
      <formula>COUNTBLANK($H3)</formula>
    </cfRule>
  </conditionalFormatting>
  <conditionalFormatting sqref="A3">
    <cfRule type="expression" dxfId="84" priority="40">
      <formula>COUNTBLANK($F3:$H3)</formula>
    </cfRule>
  </conditionalFormatting>
  <conditionalFormatting sqref="I11:I12">
    <cfRule type="expression" dxfId="83" priority="36">
      <formula>COUNTBLANK($I11)</formula>
    </cfRule>
  </conditionalFormatting>
  <conditionalFormatting sqref="I14:I18">
    <cfRule type="expression" dxfId="82" priority="35">
      <formula>COUNTBLANK($I14)</formula>
    </cfRule>
  </conditionalFormatting>
  <conditionalFormatting sqref="K3:K32">
    <cfRule type="expression" dxfId="81" priority="11">
      <formula>COUNTBLANK($K3)</formula>
    </cfRule>
  </conditionalFormatting>
  <conditionalFormatting sqref="A3">
    <cfRule type="expression" dxfId="80" priority="12">
      <formula>$K3="Not Audited"</formula>
    </cfRule>
    <cfRule type="expression" dxfId="79" priority="13">
      <formula>$K3="Not Applicable"</formula>
    </cfRule>
  </conditionalFormatting>
  <conditionalFormatting sqref="A4:A32">
    <cfRule type="expression" dxfId="78" priority="3">
      <formula>COUNTBLANK($F4:$I4)</formula>
    </cfRule>
  </conditionalFormatting>
  <conditionalFormatting sqref="A4:A32">
    <cfRule type="expression" dxfId="77" priority="1">
      <formula>$K4="Not Audited"</formula>
    </cfRule>
    <cfRule type="expression" dxfId="76"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R45"/>
  <sheetViews>
    <sheetView tabSelected="1" zoomScale="90" zoomScaleNormal="90" workbookViewId="0">
      <pane xSplit="1" ySplit="2" topLeftCell="B27" activePane="bottomRight" state="frozen"/>
      <selection pane="topRight" activeCell="B1" sqref="B1"/>
      <selection pane="bottomLeft" activeCell="A2" sqref="A2"/>
      <selection pane="bottomRight" activeCell="E30" sqref="E30:E32"/>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906</v>
      </c>
      <c r="B1" s="43" t="s">
        <v>907</v>
      </c>
      <c r="D1" s="44" t="s">
        <v>908</v>
      </c>
      <c r="E1" s="58" t="s">
        <v>909</v>
      </c>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30" x14ac:dyDescent="0.25">
      <c r="A3" s="2" t="s">
        <v>29</v>
      </c>
      <c r="B3" s="50" t="s">
        <v>827</v>
      </c>
      <c r="C3" s="50" t="s">
        <v>322</v>
      </c>
      <c r="D3" s="50" t="s">
        <v>843</v>
      </c>
      <c r="E3" s="50" t="s">
        <v>799</v>
      </c>
      <c r="F3" s="1" t="s">
        <v>844</v>
      </c>
      <c r="G3" s="1" t="s">
        <v>845</v>
      </c>
      <c r="H3" s="1" t="s">
        <v>846</v>
      </c>
      <c r="I3" s="52"/>
      <c r="J3" s="1"/>
      <c r="K3" s="51" t="s">
        <v>148</v>
      </c>
      <c r="L3" s="50"/>
      <c r="M3" s="9"/>
      <c r="N3" s="9"/>
      <c r="O3" s="9"/>
      <c r="P3" s="8" t="s">
        <v>101</v>
      </c>
      <c r="Q3" s="11" t="s">
        <v>35</v>
      </c>
      <c r="R3" s="11" t="s">
        <v>132</v>
      </c>
    </row>
    <row r="4" spans="1:18" s="3" customFormat="1" ht="45" x14ac:dyDescent="0.25">
      <c r="A4" s="2" t="s">
        <v>30</v>
      </c>
      <c r="B4" s="50" t="s">
        <v>827</v>
      </c>
      <c r="C4" s="50" t="s">
        <v>322</v>
      </c>
      <c r="D4" s="50" t="s">
        <v>843</v>
      </c>
      <c r="E4" s="50" t="s">
        <v>799</v>
      </c>
      <c r="F4" s="1" t="s">
        <v>847</v>
      </c>
      <c r="G4" s="1" t="s">
        <v>845</v>
      </c>
      <c r="H4" s="1" t="s">
        <v>848</v>
      </c>
      <c r="I4" s="52"/>
      <c r="J4" s="1"/>
      <c r="K4" s="51" t="s">
        <v>148</v>
      </c>
      <c r="L4" s="50"/>
      <c r="M4" s="9"/>
      <c r="N4" s="9"/>
      <c r="O4" s="9"/>
      <c r="P4" s="8" t="s">
        <v>62</v>
      </c>
      <c r="Q4" s="11" t="s">
        <v>36</v>
      </c>
      <c r="R4" s="11"/>
    </row>
    <row r="5" spans="1:18" s="3" customFormat="1" ht="30" x14ac:dyDescent="0.25">
      <c r="A5" s="2" t="s">
        <v>28</v>
      </c>
      <c r="B5" s="50" t="s">
        <v>827</v>
      </c>
      <c r="C5" s="50" t="s">
        <v>322</v>
      </c>
      <c r="D5" s="50" t="s">
        <v>843</v>
      </c>
      <c r="E5" s="50" t="s">
        <v>799</v>
      </c>
      <c r="F5" s="1" t="s">
        <v>844</v>
      </c>
      <c r="G5" s="1" t="s">
        <v>845</v>
      </c>
      <c r="H5" s="1" t="s">
        <v>849</v>
      </c>
      <c r="I5" s="52"/>
      <c r="J5" s="1"/>
      <c r="K5" s="51" t="s">
        <v>148</v>
      </c>
      <c r="L5" s="50"/>
      <c r="M5" s="9"/>
      <c r="N5" s="9"/>
      <c r="O5" s="9"/>
      <c r="P5" s="8" t="s">
        <v>101</v>
      </c>
      <c r="Q5" s="8" t="s">
        <v>37</v>
      </c>
      <c r="R5" s="11"/>
    </row>
    <row r="6" spans="1:18" s="3" customFormat="1" ht="45" x14ac:dyDescent="0.25">
      <c r="A6" s="2" t="s">
        <v>2</v>
      </c>
      <c r="B6" s="50" t="s">
        <v>827</v>
      </c>
      <c r="C6" s="50" t="s">
        <v>322</v>
      </c>
      <c r="D6" s="50" t="s">
        <v>843</v>
      </c>
      <c r="E6" s="50" t="s">
        <v>799</v>
      </c>
      <c r="F6" s="1" t="s">
        <v>844</v>
      </c>
      <c r="G6" s="1" t="s">
        <v>850</v>
      </c>
      <c r="H6" s="1" t="s">
        <v>851</v>
      </c>
      <c r="I6" s="50">
        <v>2</v>
      </c>
      <c r="J6" s="1" t="s">
        <v>889</v>
      </c>
      <c r="K6" s="51" t="s">
        <v>148</v>
      </c>
      <c r="L6" s="50"/>
      <c r="M6" s="9"/>
      <c r="N6" s="9"/>
      <c r="O6" s="9"/>
      <c r="P6" s="8" t="s">
        <v>101</v>
      </c>
      <c r="Q6" s="8" t="s">
        <v>32</v>
      </c>
      <c r="R6" s="11" t="s">
        <v>131</v>
      </c>
    </row>
    <row r="7" spans="1:18" s="3" customFormat="1" ht="30" x14ac:dyDescent="0.25">
      <c r="A7" s="2" t="s">
        <v>1</v>
      </c>
      <c r="B7" s="50" t="s">
        <v>827</v>
      </c>
      <c r="C7" s="50" t="s">
        <v>322</v>
      </c>
      <c r="D7" s="50" t="s">
        <v>843</v>
      </c>
      <c r="E7" s="50" t="s">
        <v>799</v>
      </c>
      <c r="F7" s="1" t="s">
        <v>844</v>
      </c>
      <c r="G7" s="1" t="s">
        <v>852</v>
      </c>
      <c r="H7" s="1" t="s">
        <v>853</v>
      </c>
      <c r="I7" s="50">
        <v>3</v>
      </c>
      <c r="J7" s="1" t="s">
        <v>890</v>
      </c>
      <c r="K7" s="51" t="s">
        <v>148</v>
      </c>
      <c r="L7" s="50"/>
      <c r="M7" s="9"/>
      <c r="N7" s="9"/>
      <c r="O7" s="9"/>
      <c r="P7" s="8" t="s">
        <v>101</v>
      </c>
      <c r="Q7" s="11" t="s">
        <v>33</v>
      </c>
      <c r="R7" s="11"/>
    </row>
    <row r="8" spans="1:18" s="3" customFormat="1" ht="75" x14ac:dyDescent="0.25">
      <c r="A8" s="2" t="s">
        <v>5</v>
      </c>
      <c r="B8" s="50" t="s">
        <v>827</v>
      </c>
      <c r="C8" s="50" t="s">
        <v>322</v>
      </c>
      <c r="D8" s="50" t="s">
        <v>843</v>
      </c>
      <c r="E8" s="50" t="s">
        <v>799</v>
      </c>
      <c r="F8" s="1" t="s">
        <v>854</v>
      </c>
      <c r="G8" s="1" t="s">
        <v>855</v>
      </c>
      <c r="H8" s="1" t="s">
        <v>856</v>
      </c>
      <c r="I8" s="50">
        <v>5</v>
      </c>
      <c r="J8" s="57" t="s">
        <v>891</v>
      </c>
      <c r="K8" s="51" t="s">
        <v>148</v>
      </c>
      <c r="L8" s="50"/>
      <c r="M8" s="9"/>
      <c r="N8" s="9"/>
      <c r="O8" s="9"/>
      <c r="P8" s="8" t="s">
        <v>101</v>
      </c>
      <c r="Q8" s="8" t="s">
        <v>43</v>
      </c>
      <c r="R8" s="11" t="s">
        <v>140</v>
      </c>
    </row>
    <row r="9" spans="1:18" s="3" customFormat="1" ht="31.5" x14ac:dyDescent="0.25">
      <c r="A9" s="2" t="s">
        <v>17</v>
      </c>
      <c r="B9" s="50" t="s">
        <v>827</v>
      </c>
      <c r="C9" s="50" t="s">
        <v>322</v>
      </c>
      <c r="D9" s="50" t="s">
        <v>843</v>
      </c>
      <c r="E9" s="50" t="s">
        <v>799</v>
      </c>
      <c r="F9" s="1" t="s">
        <v>854</v>
      </c>
      <c r="G9" s="1" t="s">
        <v>857</v>
      </c>
      <c r="H9" s="1" t="s">
        <v>858</v>
      </c>
      <c r="I9" s="50">
        <v>2</v>
      </c>
      <c r="J9" s="57"/>
      <c r="K9" s="51" t="s">
        <v>148</v>
      </c>
      <c r="L9" s="50"/>
      <c r="M9" s="9"/>
      <c r="N9" s="9"/>
      <c r="O9" s="9"/>
      <c r="P9" s="8" t="s">
        <v>101</v>
      </c>
      <c r="Q9" s="8" t="s">
        <v>34</v>
      </c>
      <c r="R9" s="11"/>
    </row>
    <row r="10" spans="1:18" s="3" customFormat="1" ht="30" x14ac:dyDescent="0.25">
      <c r="A10" s="2" t="s">
        <v>16</v>
      </c>
      <c r="B10" s="50" t="s">
        <v>827</v>
      </c>
      <c r="C10" s="50" t="s">
        <v>322</v>
      </c>
      <c r="D10" s="50" t="s">
        <v>843</v>
      </c>
      <c r="E10" s="50" t="s">
        <v>799</v>
      </c>
      <c r="F10" s="1" t="s">
        <v>859</v>
      </c>
      <c r="G10" s="1" t="s">
        <v>860</v>
      </c>
      <c r="H10" s="1" t="s">
        <v>860</v>
      </c>
      <c r="I10" s="52"/>
      <c r="J10" s="57" t="s">
        <v>892</v>
      </c>
      <c r="K10" s="51" t="s">
        <v>148</v>
      </c>
      <c r="L10" s="50"/>
      <c r="M10" s="9"/>
      <c r="N10" s="9"/>
      <c r="O10" s="9"/>
      <c r="P10" s="8" t="s">
        <v>101</v>
      </c>
      <c r="Q10" s="8" t="s">
        <v>38</v>
      </c>
      <c r="R10" s="11">
        <v>4.5</v>
      </c>
    </row>
    <row r="11" spans="1:18" s="3" customFormat="1" ht="45" x14ac:dyDescent="0.25">
      <c r="A11" s="2" t="s">
        <v>4</v>
      </c>
      <c r="B11" s="50" t="s">
        <v>827</v>
      </c>
      <c r="C11" s="50" t="s">
        <v>322</v>
      </c>
      <c r="D11" s="50" t="s">
        <v>843</v>
      </c>
      <c r="E11" s="50" t="s">
        <v>799</v>
      </c>
      <c r="F11" s="1" t="s">
        <v>859</v>
      </c>
      <c r="G11" s="1" t="s">
        <v>845</v>
      </c>
      <c r="H11" s="1" t="s">
        <v>860</v>
      </c>
      <c r="I11" s="50" t="s">
        <v>860</v>
      </c>
      <c r="J11" s="57" t="s">
        <v>893</v>
      </c>
      <c r="K11" s="51" t="s">
        <v>148</v>
      </c>
      <c r="L11" s="50"/>
      <c r="M11" s="9"/>
      <c r="N11" s="9"/>
      <c r="O11" s="9"/>
      <c r="P11" s="7" t="s">
        <v>62</v>
      </c>
      <c r="Q11" s="7" t="s">
        <v>39</v>
      </c>
      <c r="R11" s="11"/>
    </row>
    <row r="12" spans="1:18" s="3" customFormat="1" ht="60" x14ac:dyDescent="0.25">
      <c r="A12" s="2" t="s">
        <v>7</v>
      </c>
      <c r="B12" s="50" t="s">
        <v>827</v>
      </c>
      <c r="C12" s="50" t="s">
        <v>322</v>
      </c>
      <c r="D12" s="50" t="s">
        <v>843</v>
      </c>
      <c r="E12" s="50" t="s">
        <v>799</v>
      </c>
      <c r="F12" s="1" t="s">
        <v>854</v>
      </c>
      <c r="G12" s="1" t="s">
        <v>845</v>
      </c>
      <c r="H12" s="1" t="s">
        <v>856</v>
      </c>
      <c r="I12" s="50">
        <v>3</v>
      </c>
      <c r="J12" s="57"/>
      <c r="K12" s="51" t="s">
        <v>148</v>
      </c>
      <c r="L12" s="50"/>
      <c r="M12" s="9"/>
      <c r="N12" s="9"/>
      <c r="O12" s="9"/>
      <c r="P12" s="8" t="s">
        <v>101</v>
      </c>
      <c r="Q12" s="12" t="s">
        <v>40</v>
      </c>
      <c r="R12" s="11"/>
    </row>
    <row r="13" spans="1:18" s="3" customFormat="1" ht="45" x14ac:dyDescent="0.25">
      <c r="A13" s="2" t="s">
        <v>19</v>
      </c>
      <c r="B13" s="50" t="s">
        <v>827</v>
      </c>
      <c r="C13" s="50" t="s">
        <v>322</v>
      </c>
      <c r="D13" s="50" t="s">
        <v>843</v>
      </c>
      <c r="E13" s="50" t="s">
        <v>799</v>
      </c>
      <c r="F13" s="1" t="s">
        <v>859</v>
      </c>
      <c r="G13" s="1" t="s">
        <v>861</v>
      </c>
      <c r="H13" s="1" t="s">
        <v>862</v>
      </c>
      <c r="I13" s="50">
        <v>3</v>
      </c>
      <c r="J13" s="1"/>
      <c r="K13" s="51" t="s">
        <v>148</v>
      </c>
      <c r="L13" s="50"/>
      <c r="M13" s="9"/>
      <c r="N13" s="9"/>
      <c r="O13" s="9"/>
      <c r="P13" s="8" t="s">
        <v>101</v>
      </c>
      <c r="Q13" s="8" t="s">
        <v>50</v>
      </c>
      <c r="R13" s="11" t="s">
        <v>135</v>
      </c>
    </row>
    <row r="14" spans="1:18" s="3" customFormat="1" ht="30" x14ac:dyDescent="0.25">
      <c r="A14" s="2" t="s">
        <v>9</v>
      </c>
      <c r="B14" s="50" t="s">
        <v>827</v>
      </c>
      <c r="C14" s="50" t="s">
        <v>322</v>
      </c>
      <c r="D14" s="50" t="s">
        <v>843</v>
      </c>
      <c r="E14" s="50" t="s">
        <v>799</v>
      </c>
      <c r="F14" s="1" t="s">
        <v>854</v>
      </c>
      <c r="G14" s="1" t="s">
        <v>863</v>
      </c>
      <c r="H14" s="1" t="s">
        <v>864</v>
      </c>
      <c r="I14" s="52"/>
      <c r="J14" s="1"/>
      <c r="K14" s="51" t="s">
        <v>148</v>
      </c>
      <c r="L14" s="50"/>
      <c r="M14" s="9"/>
      <c r="N14" s="9"/>
      <c r="O14" s="9"/>
      <c r="P14" s="8" t="s">
        <v>101</v>
      </c>
      <c r="Q14" s="8" t="s">
        <v>42</v>
      </c>
      <c r="R14" s="11"/>
    </row>
    <row r="15" spans="1:18" s="3" customFormat="1" ht="30" x14ac:dyDescent="0.25">
      <c r="A15" s="2" t="s">
        <v>10</v>
      </c>
      <c r="B15" s="50" t="s">
        <v>827</v>
      </c>
      <c r="C15" s="50" t="s">
        <v>322</v>
      </c>
      <c r="D15" s="50" t="s">
        <v>843</v>
      </c>
      <c r="E15" s="50" t="s">
        <v>799</v>
      </c>
      <c r="F15" s="1" t="s">
        <v>844</v>
      </c>
      <c r="G15" s="1" t="s">
        <v>865</v>
      </c>
      <c r="H15" s="1" t="s">
        <v>866</v>
      </c>
      <c r="I15" s="52"/>
      <c r="J15" s="1" t="s">
        <v>894</v>
      </c>
      <c r="K15" s="51" t="s">
        <v>148</v>
      </c>
      <c r="L15" s="50"/>
      <c r="M15" s="9"/>
      <c r="N15" s="9"/>
      <c r="O15" s="9"/>
      <c r="P15" s="8" t="s">
        <v>101</v>
      </c>
      <c r="Q15" s="8" t="s">
        <v>41</v>
      </c>
      <c r="R15" s="11"/>
    </row>
    <row r="16" spans="1:18" s="3" customFormat="1" ht="30" x14ac:dyDescent="0.25">
      <c r="A16" s="2" t="s">
        <v>11</v>
      </c>
      <c r="B16" s="50" t="s">
        <v>827</v>
      </c>
      <c r="C16" s="50" t="s">
        <v>322</v>
      </c>
      <c r="D16" s="50" t="s">
        <v>843</v>
      </c>
      <c r="E16" s="50" t="s">
        <v>799</v>
      </c>
      <c r="F16" s="1" t="s">
        <v>867</v>
      </c>
      <c r="G16" s="1" t="s">
        <v>865</v>
      </c>
      <c r="H16" s="1" t="s">
        <v>868</v>
      </c>
      <c r="I16" s="52"/>
      <c r="J16" s="1" t="s">
        <v>894</v>
      </c>
      <c r="K16" s="51" t="s">
        <v>148</v>
      </c>
      <c r="L16" s="50"/>
      <c r="M16" s="9"/>
      <c r="N16" s="9"/>
      <c r="O16" s="9"/>
      <c r="P16" s="8" t="s">
        <v>101</v>
      </c>
      <c r="Q16" s="8" t="s">
        <v>44</v>
      </c>
      <c r="R16" s="11"/>
    </row>
    <row r="17" spans="1:18" s="3" customFormat="1" ht="30" x14ac:dyDescent="0.25">
      <c r="A17" s="2" t="s">
        <v>12</v>
      </c>
      <c r="B17" s="50" t="s">
        <v>827</v>
      </c>
      <c r="C17" s="50" t="s">
        <v>322</v>
      </c>
      <c r="D17" s="50" t="s">
        <v>843</v>
      </c>
      <c r="E17" s="50" t="s">
        <v>799</v>
      </c>
      <c r="F17" s="1" t="s">
        <v>859</v>
      </c>
      <c r="G17" s="1" t="s">
        <v>869</v>
      </c>
      <c r="H17" s="1" t="s">
        <v>870</v>
      </c>
      <c r="I17" s="52"/>
      <c r="J17" s="1" t="s">
        <v>895</v>
      </c>
      <c r="K17" s="51" t="s">
        <v>148</v>
      </c>
      <c r="L17" s="50"/>
      <c r="M17" s="9"/>
      <c r="N17" s="9"/>
      <c r="O17" s="9"/>
      <c r="P17" s="8" t="s">
        <v>101</v>
      </c>
      <c r="Q17" s="8" t="s">
        <v>45</v>
      </c>
      <c r="R17" s="11" t="s">
        <v>138</v>
      </c>
    </row>
    <row r="18" spans="1:18" s="3" customFormat="1" ht="45" x14ac:dyDescent="0.25">
      <c r="A18" s="2" t="s">
        <v>13</v>
      </c>
      <c r="B18" s="50" t="s">
        <v>827</v>
      </c>
      <c r="C18" s="50" t="s">
        <v>322</v>
      </c>
      <c r="D18" s="50" t="s">
        <v>843</v>
      </c>
      <c r="E18" s="50" t="s">
        <v>799</v>
      </c>
      <c r="F18" s="1" t="s">
        <v>854</v>
      </c>
      <c r="G18" s="1" t="s">
        <v>871</v>
      </c>
      <c r="H18" s="1" t="s">
        <v>872</v>
      </c>
      <c r="I18" s="52"/>
      <c r="J18" s="1" t="s">
        <v>896</v>
      </c>
      <c r="K18" s="51" t="s">
        <v>148</v>
      </c>
      <c r="L18" s="50"/>
      <c r="M18" s="9"/>
      <c r="N18" s="9"/>
      <c r="O18" s="9"/>
      <c r="P18" s="8" t="s">
        <v>101</v>
      </c>
      <c r="Q18" s="8" t="s">
        <v>51</v>
      </c>
      <c r="R18" s="11"/>
    </row>
    <row r="19" spans="1:18" s="3" customFormat="1" ht="45" x14ac:dyDescent="0.25">
      <c r="A19" s="2" t="s">
        <v>21</v>
      </c>
      <c r="B19" s="50" t="s">
        <v>827</v>
      </c>
      <c r="C19" s="50" t="s">
        <v>322</v>
      </c>
      <c r="D19" s="50" t="s">
        <v>843</v>
      </c>
      <c r="E19" s="50" t="s">
        <v>799</v>
      </c>
      <c r="F19" s="1" t="s">
        <v>844</v>
      </c>
      <c r="G19" s="54" t="s">
        <v>873</v>
      </c>
      <c r="H19" s="1" t="s">
        <v>846</v>
      </c>
      <c r="I19" s="52"/>
      <c r="J19" s="1" t="s">
        <v>897</v>
      </c>
      <c r="K19" s="51" t="s">
        <v>148</v>
      </c>
      <c r="L19" s="50"/>
      <c r="M19" s="9"/>
      <c r="N19" s="9"/>
      <c r="O19" s="9"/>
      <c r="P19" s="7" t="s">
        <v>62</v>
      </c>
      <c r="Q19" s="7" t="s">
        <v>52</v>
      </c>
      <c r="R19" s="11"/>
    </row>
    <row r="20" spans="1:18" s="3" customFormat="1" ht="30" x14ac:dyDescent="0.25">
      <c r="A20" s="2" t="s">
        <v>6</v>
      </c>
      <c r="B20" s="50" t="s">
        <v>827</v>
      </c>
      <c r="C20" s="50" t="s">
        <v>322</v>
      </c>
      <c r="D20" s="50" t="s">
        <v>843</v>
      </c>
      <c r="E20" s="50" t="s">
        <v>799</v>
      </c>
      <c r="F20" s="1" t="s">
        <v>860</v>
      </c>
      <c r="G20" s="1" t="s">
        <v>860</v>
      </c>
      <c r="H20" s="1" t="s">
        <v>860</v>
      </c>
      <c r="I20" s="52"/>
      <c r="J20" s="1"/>
      <c r="K20" s="51" t="s">
        <v>148</v>
      </c>
      <c r="L20" s="50"/>
      <c r="M20" s="9"/>
      <c r="N20" s="9"/>
      <c r="O20" s="9"/>
      <c r="P20" s="8" t="s">
        <v>101</v>
      </c>
      <c r="Q20" s="8" t="s">
        <v>46</v>
      </c>
      <c r="R20" s="11"/>
    </row>
    <row r="21" spans="1:18" s="3" customFormat="1" ht="45" x14ac:dyDescent="0.25">
      <c r="A21" s="2" t="s">
        <v>3</v>
      </c>
      <c r="B21" s="50" t="s">
        <v>827</v>
      </c>
      <c r="C21" s="50" t="s">
        <v>322</v>
      </c>
      <c r="D21" s="50" t="s">
        <v>843</v>
      </c>
      <c r="E21" s="50" t="s">
        <v>799</v>
      </c>
      <c r="F21" s="1" t="s">
        <v>844</v>
      </c>
      <c r="G21" s="1" t="s">
        <v>861</v>
      </c>
      <c r="H21" s="1" t="s">
        <v>874</v>
      </c>
      <c r="I21" s="52"/>
      <c r="J21" s="1" t="s">
        <v>898</v>
      </c>
      <c r="K21" s="51" t="s">
        <v>148</v>
      </c>
      <c r="L21" s="50"/>
      <c r="M21" s="9"/>
      <c r="N21" s="9"/>
      <c r="O21" s="9"/>
      <c r="P21" s="8" t="s">
        <v>101</v>
      </c>
      <c r="Q21" s="8" t="s">
        <v>53</v>
      </c>
      <c r="R21" s="11" t="s">
        <v>133</v>
      </c>
    </row>
    <row r="22" spans="1:18" s="3" customFormat="1" ht="30" x14ac:dyDescent="0.25">
      <c r="A22" s="2" t="s">
        <v>18</v>
      </c>
      <c r="B22" s="50" t="s">
        <v>827</v>
      </c>
      <c r="C22" s="50" t="s">
        <v>322</v>
      </c>
      <c r="D22" s="50" t="s">
        <v>843</v>
      </c>
      <c r="E22" s="50" t="s">
        <v>799</v>
      </c>
      <c r="F22" s="1" t="s">
        <v>844</v>
      </c>
      <c r="G22" s="1" t="s">
        <v>861</v>
      </c>
      <c r="H22" s="1" t="s">
        <v>875</v>
      </c>
      <c r="I22" s="52"/>
      <c r="J22" s="1"/>
      <c r="K22" s="51" t="s">
        <v>148</v>
      </c>
      <c r="L22" s="50"/>
      <c r="M22" s="9"/>
      <c r="N22" s="9"/>
      <c r="O22" s="9"/>
      <c r="P22" s="8" t="s">
        <v>62</v>
      </c>
      <c r="Q22" s="8" t="s">
        <v>47</v>
      </c>
      <c r="R22" s="11" t="s">
        <v>139</v>
      </c>
    </row>
    <row r="23" spans="1:18" s="3" customFormat="1" ht="30" x14ac:dyDescent="0.25">
      <c r="A23" s="2" t="s">
        <v>8</v>
      </c>
      <c r="B23" s="50" t="s">
        <v>827</v>
      </c>
      <c r="C23" s="50" t="s">
        <v>322</v>
      </c>
      <c r="D23" s="50" t="s">
        <v>843</v>
      </c>
      <c r="E23" s="50" t="s">
        <v>799</v>
      </c>
      <c r="F23" s="1" t="s">
        <v>844</v>
      </c>
      <c r="G23" s="1" t="s">
        <v>861</v>
      </c>
      <c r="H23" s="1" t="s">
        <v>876</v>
      </c>
      <c r="I23" s="52"/>
      <c r="J23" s="1"/>
      <c r="K23" s="51" t="s">
        <v>148</v>
      </c>
      <c r="L23" s="50"/>
      <c r="M23" s="9"/>
      <c r="N23" s="9"/>
      <c r="O23" s="9"/>
      <c r="P23" s="8" t="s">
        <v>62</v>
      </c>
      <c r="Q23" s="8" t="s">
        <v>31</v>
      </c>
      <c r="R23" s="11"/>
    </row>
    <row r="24" spans="1:18" s="3" customFormat="1" ht="30" x14ac:dyDescent="0.25">
      <c r="A24" s="2" t="s">
        <v>14</v>
      </c>
      <c r="B24" s="50" t="s">
        <v>827</v>
      </c>
      <c r="C24" s="50" t="s">
        <v>322</v>
      </c>
      <c r="D24" s="50" t="s">
        <v>843</v>
      </c>
      <c r="E24" s="50" t="s">
        <v>799</v>
      </c>
      <c r="F24" s="1" t="s">
        <v>844</v>
      </c>
      <c r="G24" s="1" t="s">
        <v>877</v>
      </c>
      <c r="H24" s="1" t="s">
        <v>878</v>
      </c>
      <c r="I24" s="52"/>
      <c r="J24" s="1"/>
      <c r="K24" s="51" t="s">
        <v>148</v>
      </c>
      <c r="L24" s="50"/>
      <c r="M24" s="9"/>
      <c r="N24" s="9"/>
      <c r="O24" s="9"/>
      <c r="P24" s="8" t="s">
        <v>62</v>
      </c>
      <c r="Q24" s="8" t="s">
        <v>48</v>
      </c>
      <c r="R24" s="11"/>
    </row>
    <row r="25" spans="1:18" s="3" customFormat="1" ht="30" x14ac:dyDescent="0.25">
      <c r="A25" s="2" t="s">
        <v>0</v>
      </c>
      <c r="B25" s="50" t="s">
        <v>827</v>
      </c>
      <c r="C25" s="50" t="s">
        <v>322</v>
      </c>
      <c r="D25" s="50" t="s">
        <v>843</v>
      </c>
      <c r="E25" s="50" t="s">
        <v>799</v>
      </c>
      <c r="F25" s="1" t="s">
        <v>860</v>
      </c>
      <c r="G25" s="1" t="s">
        <v>860</v>
      </c>
      <c r="H25" s="1" t="s">
        <v>860</v>
      </c>
      <c r="I25" s="52"/>
      <c r="J25" s="1" t="s">
        <v>899</v>
      </c>
      <c r="K25" s="51" t="s">
        <v>148</v>
      </c>
      <c r="L25" s="53"/>
      <c r="M25" s="9"/>
      <c r="N25" s="9"/>
      <c r="O25" s="9"/>
      <c r="P25" s="8" t="s">
        <v>62</v>
      </c>
      <c r="Q25" s="8" t="s">
        <v>49</v>
      </c>
      <c r="R25" s="11"/>
    </row>
    <row r="26" spans="1:18" s="3" customFormat="1" ht="30" x14ac:dyDescent="0.25">
      <c r="A26" s="2" t="s">
        <v>54</v>
      </c>
      <c r="B26" s="50" t="s">
        <v>827</v>
      </c>
      <c r="C26" s="50" t="s">
        <v>322</v>
      </c>
      <c r="D26" s="50" t="s">
        <v>843</v>
      </c>
      <c r="E26" s="50" t="s">
        <v>799</v>
      </c>
      <c r="F26" s="1" t="s">
        <v>844</v>
      </c>
      <c r="G26" s="1" t="s">
        <v>861</v>
      </c>
      <c r="H26" s="1" t="s">
        <v>878</v>
      </c>
      <c r="I26" s="52"/>
      <c r="J26" s="1" t="s">
        <v>900</v>
      </c>
      <c r="K26" s="51" t="s">
        <v>148</v>
      </c>
      <c r="L26" s="50"/>
      <c r="M26" s="9"/>
      <c r="N26" s="9"/>
      <c r="O26" s="9"/>
      <c r="P26" s="8" t="s">
        <v>101</v>
      </c>
      <c r="Q26" s="8" t="s">
        <v>55</v>
      </c>
      <c r="R26" s="11"/>
    </row>
    <row r="27" spans="1:18" s="3" customFormat="1" ht="30" x14ac:dyDescent="0.25">
      <c r="A27" s="2" t="s">
        <v>15</v>
      </c>
      <c r="B27" s="50" t="s">
        <v>827</v>
      </c>
      <c r="C27" s="50" t="s">
        <v>322</v>
      </c>
      <c r="D27" s="50" t="s">
        <v>843</v>
      </c>
      <c r="E27" s="50" t="s">
        <v>799</v>
      </c>
      <c r="F27" s="1" t="s">
        <v>844</v>
      </c>
      <c r="G27" s="1" t="s">
        <v>879</v>
      </c>
      <c r="H27" s="1" t="s">
        <v>880</v>
      </c>
      <c r="I27" s="52"/>
      <c r="J27" s="1" t="s">
        <v>901</v>
      </c>
      <c r="K27" s="51" t="s">
        <v>148</v>
      </c>
      <c r="L27" s="50"/>
      <c r="M27" s="9"/>
      <c r="N27" s="9"/>
      <c r="O27" s="9"/>
      <c r="P27" s="8" t="s">
        <v>101</v>
      </c>
      <c r="Q27" s="8" t="s">
        <v>56</v>
      </c>
      <c r="R27" s="11"/>
    </row>
    <row r="28" spans="1:18" s="3" customFormat="1" ht="105" x14ac:dyDescent="0.25">
      <c r="A28" s="2" t="s">
        <v>20</v>
      </c>
      <c r="B28" s="50" t="s">
        <v>827</v>
      </c>
      <c r="C28" s="50" t="s">
        <v>322</v>
      </c>
      <c r="D28" s="50" t="s">
        <v>843</v>
      </c>
      <c r="E28" s="50" t="s">
        <v>799</v>
      </c>
      <c r="F28" s="55" t="s">
        <v>881</v>
      </c>
      <c r="G28" s="55" t="s">
        <v>882</v>
      </c>
      <c r="H28" s="1" t="s">
        <v>883</v>
      </c>
      <c r="I28" s="50">
        <v>1</v>
      </c>
      <c r="J28" s="57"/>
      <c r="K28" s="51" t="s">
        <v>148</v>
      </c>
      <c r="L28" s="50"/>
      <c r="M28" s="9"/>
      <c r="N28" s="9"/>
      <c r="O28" s="9"/>
      <c r="P28" s="8" t="s">
        <v>101</v>
      </c>
      <c r="Q28" s="8" t="s">
        <v>57</v>
      </c>
      <c r="R28" s="11" t="s">
        <v>134</v>
      </c>
    </row>
    <row r="29" spans="1:18" s="3" customFormat="1" ht="105" x14ac:dyDescent="0.25">
      <c r="A29" s="2" t="s">
        <v>20</v>
      </c>
      <c r="B29" s="50" t="s">
        <v>827</v>
      </c>
      <c r="C29" s="50" t="s">
        <v>322</v>
      </c>
      <c r="D29" s="50" t="s">
        <v>843</v>
      </c>
      <c r="E29" s="50" t="s">
        <v>799</v>
      </c>
      <c r="F29" s="1" t="s">
        <v>881</v>
      </c>
      <c r="G29" s="55" t="s">
        <v>884</v>
      </c>
      <c r="H29" s="1" t="s">
        <v>885</v>
      </c>
      <c r="I29" s="50">
        <v>1</v>
      </c>
      <c r="J29" s="57"/>
      <c r="K29" s="51" t="s">
        <v>148</v>
      </c>
      <c r="L29" s="50"/>
      <c r="M29" s="9"/>
      <c r="N29" s="9"/>
      <c r="O29" s="9"/>
      <c r="P29" s="8" t="s">
        <v>101</v>
      </c>
      <c r="Q29" s="8" t="s">
        <v>57</v>
      </c>
      <c r="R29" s="11" t="s">
        <v>134</v>
      </c>
    </row>
    <row r="30" spans="1:18" s="3" customFormat="1" ht="105" x14ac:dyDescent="0.25">
      <c r="A30" s="2" t="s">
        <v>20</v>
      </c>
      <c r="B30" s="50" t="s">
        <v>827</v>
      </c>
      <c r="C30" s="50" t="s">
        <v>322</v>
      </c>
      <c r="D30" s="50" t="s">
        <v>843</v>
      </c>
      <c r="E30" s="50" t="s">
        <v>799</v>
      </c>
      <c r="F30" s="1" t="s">
        <v>886</v>
      </c>
      <c r="G30" s="56" t="s">
        <v>887</v>
      </c>
      <c r="H30" s="1" t="s">
        <v>888</v>
      </c>
      <c r="I30" s="50">
        <v>1</v>
      </c>
      <c r="J30" s="57"/>
      <c r="K30" s="51" t="s">
        <v>148</v>
      </c>
      <c r="L30" s="50"/>
      <c r="M30" s="9"/>
      <c r="N30" s="9"/>
      <c r="O30" s="9"/>
      <c r="P30" s="8" t="s">
        <v>101</v>
      </c>
      <c r="Q30" s="8" t="s">
        <v>57</v>
      </c>
      <c r="R30" s="11" t="s">
        <v>134</v>
      </c>
    </row>
    <row r="31" spans="1:18" s="3" customFormat="1" ht="30" x14ac:dyDescent="0.25">
      <c r="A31" s="2" t="s">
        <v>20</v>
      </c>
      <c r="B31" s="50" t="s">
        <v>827</v>
      </c>
      <c r="C31" s="50" t="s">
        <v>322</v>
      </c>
      <c r="D31" s="50" t="s">
        <v>843</v>
      </c>
      <c r="E31" s="50" t="s">
        <v>799</v>
      </c>
      <c r="F31" s="1" t="s">
        <v>902</v>
      </c>
      <c r="G31" s="1" t="s">
        <v>903</v>
      </c>
      <c r="H31" s="1" t="s">
        <v>904</v>
      </c>
      <c r="I31" s="1">
        <v>1</v>
      </c>
      <c r="J31" s="1"/>
      <c r="K31" s="29" t="s">
        <v>148</v>
      </c>
      <c r="L31" s="1"/>
      <c r="M31" s="9"/>
      <c r="N31" s="9"/>
      <c r="O31" s="9"/>
      <c r="R31" s="11"/>
    </row>
    <row r="32" spans="1:18" s="3" customFormat="1" ht="30" x14ac:dyDescent="0.25">
      <c r="A32" s="2" t="s">
        <v>20</v>
      </c>
      <c r="B32" s="50" t="s">
        <v>827</v>
      </c>
      <c r="C32" s="50" t="s">
        <v>322</v>
      </c>
      <c r="D32" s="50" t="s">
        <v>843</v>
      </c>
      <c r="E32" s="50" t="s">
        <v>799</v>
      </c>
      <c r="F32" s="1" t="s">
        <v>902</v>
      </c>
      <c r="G32" s="1" t="s">
        <v>903</v>
      </c>
      <c r="H32" s="1" t="s">
        <v>905</v>
      </c>
      <c r="I32" s="1">
        <v>1</v>
      </c>
      <c r="J32" s="1"/>
      <c r="K32" s="29" t="s">
        <v>148</v>
      </c>
      <c r="L32" s="1"/>
      <c r="M32" s="9"/>
      <c r="N32" s="9"/>
      <c r="O32" s="9"/>
      <c r="R32" s="11"/>
    </row>
    <row r="33" spans="1:18" s="3" customFormat="1" ht="15.75" x14ac:dyDescent="0.25">
      <c r="A33" s="2" t="s">
        <v>20</v>
      </c>
      <c r="B33" s="1"/>
      <c r="C33" s="1"/>
      <c r="D33" s="1"/>
      <c r="E33" s="1"/>
      <c r="F33" s="1"/>
      <c r="G33" s="1"/>
      <c r="H33" s="1"/>
      <c r="I33" s="1"/>
      <c r="J33" s="1"/>
      <c r="K33" s="29"/>
      <c r="L33" s="29"/>
      <c r="M33" s="9"/>
      <c r="N33" s="9"/>
      <c r="O33" s="9"/>
      <c r="Q33" s="7"/>
      <c r="R33" s="11"/>
    </row>
    <row r="34" spans="1:18" ht="15.75" x14ac:dyDescent="0.25">
      <c r="A34" s="2" t="s">
        <v>20</v>
      </c>
      <c r="Q34" s="10"/>
    </row>
    <row r="35" spans="1:18" ht="15.75" x14ac:dyDescent="0.25">
      <c r="A35" s="2" t="s">
        <v>20</v>
      </c>
      <c r="Q35" s="10"/>
    </row>
    <row r="36" spans="1:18" ht="15.75" x14ac:dyDescent="0.25">
      <c r="A36" s="2" t="s">
        <v>20</v>
      </c>
      <c r="Q36" s="10"/>
    </row>
    <row r="37" spans="1:18" ht="15.75" x14ac:dyDescent="0.25">
      <c r="A37" s="2" t="s">
        <v>20</v>
      </c>
      <c r="Q37" s="10"/>
    </row>
    <row r="38" spans="1:18" ht="15.75" x14ac:dyDescent="0.25">
      <c r="A38" s="2" t="s">
        <v>20</v>
      </c>
      <c r="Q38" s="10"/>
    </row>
    <row r="39" spans="1:18" ht="15.75" x14ac:dyDescent="0.25">
      <c r="A39" s="2" t="s">
        <v>20</v>
      </c>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69" priority="113">
      <formula>COUNTBLANK($K3)</formula>
    </cfRule>
  </conditionalFormatting>
  <conditionalFormatting sqref="A6:A9 A11:A13 A28:A29">
    <cfRule type="expression" dxfId="68" priority="112">
      <formula>COUNTBLANK($F6:$I6)+COUNTBLANK(K6)</formula>
    </cfRule>
  </conditionalFormatting>
  <conditionalFormatting sqref="A3:A8 A10 A14:A27">
    <cfRule type="expression" dxfId="67" priority="111">
      <formula>COUNTBLANK($F3:$H3)+COUNTBLANK(K3)</formula>
    </cfRule>
  </conditionalFormatting>
  <conditionalFormatting sqref="F31:F39">
    <cfRule type="expression" dxfId="66" priority="107">
      <formula>COUNTBLANK($F31)</formula>
    </cfRule>
  </conditionalFormatting>
  <conditionalFormatting sqref="H31:H39">
    <cfRule type="expression" dxfId="65" priority="108">
      <formula>COUNTBLANK($G31)</formula>
    </cfRule>
    <cfRule type="expression" dxfId="64" priority="109">
      <formula>COUNTBLANK($H31)</formula>
    </cfRule>
  </conditionalFormatting>
  <conditionalFormatting sqref="A3:A29">
    <cfRule type="expression" dxfId="63" priority="99">
      <formula>$K3="Not Applicable"</formula>
    </cfRule>
    <cfRule type="expression" dxfId="62" priority="100">
      <formula>$K3="Not Audited"</formula>
    </cfRule>
  </conditionalFormatting>
  <conditionalFormatting sqref="I6:I9 I11:I13 I28:I29 I31:I39">
    <cfRule type="expression" dxfId="61" priority="110">
      <formula>COUNTBLANK($I6)</formula>
    </cfRule>
  </conditionalFormatting>
  <conditionalFormatting sqref="B33:I39 B3:E3 I3:I29 F31:I32">
    <cfRule type="expression" dxfId="60" priority="46">
      <formula>$K3="Not Applicable"</formula>
    </cfRule>
    <cfRule type="expression" dxfId="59" priority="101">
      <formula>$K3="Not Audited"</formula>
    </cfRule>
  </conditionalFormatting>
  <conditionalFormatting sqref="D3 D33:D39">
    <cfRule type="expression" dxfId="58" priority="105">
      <formula>COUNTBLANK($D3)</formula>
    </cfRule>
  </conditionalFormatting>
  <conditionalFormatting sqref="E3 E33:E39">
    <cfRule type="expression" dxfId="57" priority="106">
      <formula>COUNTBLANK($E3)</formula>
    </cfRule>
  </conditionalFormatting>
  <conditionalFormatting sqref="B3 B33:B39">
    <cfRule type="expression" dxfId="56" priority="103">
      <formula>COUNTBLANK($B3)</formula>
    </cfRule>
  </conditionalFormatting>
  <conditionalFormatting sqref="C3 C33:C39">
    <cfRule type="expression" dxfId="55" priority="104">
      <formula>COUNTBLANK($C3)</formula>
    </cfRule>
  </conditionalFormatting>
  <conditionalFormatting sqref="G31:G39">
    <cfRule type="expression" dxfId="54" priority="102">
      <formula>COUNTBLANK($G31)</formula>
    </cfRule>
  </conditionalFormatting>
  <conditionalFormatting sqref="K30">
    <cfRule type="expression" dxfId="53" priority="33">
      <formula>COUNTBLANK($K30)</formula>
    </cfRule>
  </conditionalFormatting>
  <conditionalFormatting sqref="A30:A39">
    <cfRule type="expression" dxfId="52" priority="32">
      <formula>COUNTBLANK($F30:$I30)+COUNTBLANK(K30)</formula>
    </cfRule>
  </conditionalFormatting>
  <conditionalFormatting sqref="A30:A39">
    <cfRule type="expression" dxfId="51" priority="20">
      <formula>$K30="Not Applicable"</formula>
    </cfRule>
    <cfRule type="expression" dxfId="50" priority="21">
      <formula>$K30="Not Audited"</formula>
    </cfRule>
  </conditionalFormatting>
  <conditionalFormatting sqref="I30">
    <cfRule type="expression" dxfId="49" priority="31">
      <formula>COUNTBLANK($I30)</formula>
    </cfRule>
  </conditionalFormatting>
  <conditionalFormatting sqref="I30">
    <cfRule type="expression" dxfId="48" priority="22">
      <formula>$K30="Not Applicable"</formula>
    </cfRule>
    <cfRule type="expression" dxfId="47" priority="23">
      <formula>$K30="Not Audited"</formula>
    </cfRule>
  </conditionalFormatting>
  <conditionalFormatting sqref="B4:E32">
    <cfRule type="expression" dxfId="46" priority="11">
      <formula>$K4="Not Applicable"</formula>
    </cfRule>
    <cfRule type="expression" dxfId="45" priority="12">
      <formula>$K4="Not Audited"</formula>
    </cfRule>
  </conditionalFormatting>
  <conditionalFormatting sqref="D4:D32">
    <cfRule type="expression" dxfId="44" priority="15">
      <formula>COUNTBLANK($D4)</formula>
    </cfRule>
  </conditionalFormatting>
  <conditionalFormatting sqref="E4:E32">
    <cfRule type="expression" dxfId="43" priority="16">
      <formula>COUNTBLANK($E4)</formula>
    </cfRule>
  </conditionalFormatting>
  <conditionalFormatting sqref="B4:B32">
    <cfRule type="expression" dxfId="42" priority="13">
      <formula>COUNTBLANK($B4)</formula>
    </cfRule>
  </conditionalFormatting>
  <conditionalFormatting sqref="C4:C32">
    <cfRule type="expression" dxfId="41" priority="14">
      <formula>COUNTBLANK($C4)</formula>
    </cfRule>
  </conditionalFormatting>
  <conditionalFormatting sqref="F3">
    <cfRule type="expression" dxfId="40" priority="10">
      <formula>COUNTBLANK($F3)</formula>
    </cfRule>
  </conditionalFormatting>
  <conditionalFormatting sqref="G3:G5">
    <cfRule type="expression" dxfId="39" priority="9">
      <formula>COUNTBLANK($G3)</formula>
    </cfRule>
  </conditionalFormatting>
  <conditionalFormatting sqref="H3">
    <cfRule type="expression" dxfId="38" priority="8">
      <formula>COUNTBLANK($H3)</formula>
    </cfRule>
  </conditionalFormatting>
  <conditionalFormatting sqref="F4">
    <cfRule type="expression" dxfId="37" priority="7">
      <formula>COUNTBLANK($F4)</formula>
    </cfRule>
  </conditionalFormatting>
  <conditionalFormatting sqref="H4">
    <cfRule type="expression" dxfId="36" priority="6">
      <formula>COUNTBLANK($H4)</formula>
    </cfRule>
  </conditionalFormatting>
  <conditionalFormatting sqref="F5:F27">
    <cfRule type="expression" dxfId="35" priority="5">
      <formula>COUNTBLANK($F5)</formula>
    </cfRule>
  </conditionalFormatting>
  <conditionalFormatting sqref="G6:G27 G30">
    <cfRule type="expression" dxfId="34" priority="4">
      <formula>COUNTBLANK($G6)</formula>
    </cfRule>
  </conditionalFormatting>
  <conditionalFormatting sqref="H5:H28">
    <cfRule type="expression" dxfId="33" priority="3">
      <formula>COUNTBLANK($H5)</formula>
    </cfRule>
  </conditionalFormatting>
  <conditionalFormatting sqref="F29:F30">
    <cfRule type="expression" dxfId="32" priority="2">
      <formula>COUNTBLANK($F29)</formula>
    </cfRule>
  </conditionalFormatting>
  <conditionalFormatting sqref="H29:H30">
    <cfRule type="expression" dxfId="31" priority="1">
      <formula>COUNTBLANK($H29)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20" operator="equal" id="{5E896CFC-C653-4D1E-B65B-C128FDE14096}">
            <xm:f>Sheet1!$A$5</xm:f>
            <x14:dxf>
              <fill>
                <patternFill>
                  <bgColor rgb="FFFF0000"/>
                </patternFill>
              </fill>
            </x14:dxf>
          </x14:cfRule>
          <x14:cfRule type="cellIs" priority="121" operator="equal" id="{DF324F9C-4B7A-4970-BDEC-B8CEF50996A7}">
            <xm:f>Sheet1!$A$4</xm:f>
            <x14:dxf>
              <fill>
                <patternFill>
                  <bgColor rgb="FFFFFF00"/>
                </patternFill>
              </fill>
            </x14:dxf>
          </x14:cfRule>
          <x14:cfRule type="cellIs" priority="122" operator="equal" id="{A4552446-258E-4150-80B5-CDFADA61EE10}">
            <xm:f>Sheet1!$A$3</xm:f>
            <x14:dxf>
              <fill>
                <patternFill>
                  <bgColor theme="9" tint="0.59996337778862885"/>
                </patternFill>
              </fill>
            </x14:dxf>
          </x14:cfRule>
          <x14:cfRule type="cellIs" priority="123" operator="equal" id="{34AAA864-62F9-4DF4-B12C-F2781A8DC45F}">
            <xm:f>Sheet1!$A$2</xm:f>
            <x14:dxf>
              <fill>
                <patternFill>
                  <bgColor theme="9" tint="0.39994506668294322"/>
                </patternFill>
              </fill>
            </x14:dxf>
          </x14:cfRule>
          <xm:sqref>L33</xm:sqref>
        </x14:conditionalFormatting>
        <x14:conditionalFormatting xmlns:xm="http://schemas.microsoft.com/office/excel/2006/main">
          <x14:cfRule type="cellIs" priority="124" operator="equal" id="{48455C7A-E719-4C84-9B1D-8AE7CF92269C}">
            <xm:f>Sheet1!$A$7</xm:f>
            <x14:dxf>
              <fill>
                <patternFill>
                  <bgColor theme="5"/>
                </patternFill>
              </fill>
            </x14:dxf>
          </x14:cfRule>
          <x14:cfRule type="cellIs" priority="125" operator="equal" id="{846FB207-16EB-4E32-A747-8640934106DA}">
            <xm:f>Sheet1!$A$6</xm:f>
            <x14:dxf>
              <fill>
                <patternFill>
                  <bgColor rgb="FF00B0F0"/>
                </patternFill>
              </fill>
            </x14:dxf>
          </x14:cfRule>
          <x14:cfRule type="cellIs" priority="126" operator="equal" id="{0D41177D-0544-455C-B750-4A0D4B5B0BBB}">
            <xm:f>Sheet1!$A$5</xm:f>
            <x14:dxf>
              <fill>
                <patternFill>
                  <bgColor rgb="FFFF0000"/>
                </patternFill>
              </fill>
            </x14:dxf>
          </x14:cfRule>
          <x14:cfRule type="cellIs" priority="127" operator="equal" id="{9A4C4792-A34A-484A-9AC1-35520AA64F3C}">
            <xm:f>Sheet1!$A$4</xm:f>
            <x14:dxf>
              <fill>
                <patternFill>
                  <bgColor rgb="FFFFFF00"/>
                </patternFill>
              </fill>
            </x14:dxf>
          </x14:cfRule>
          <x14:cfRule type="cellIs" priority="128" operator="equal" id="{3AFBDEC4-353C-4E56-A1A8-59161BB85BFE}">
            <xm:f>Sheet1!$A$3</xm:f>
            <x14:dxf>
              <fill>
                <patternFill>
                  <bgColor theme="9" tint="0.59996337778862885"/>
                </patternFill>
              </fill>
            </x14:dxf>
          </x14:cfRule>
          <x14:cfRule type="cellIs" priority="129" operator="equal" id="{BC0769A6-D634-45DC-A5D1-E4C086958A18}">
            <xm:f>Sheet1!$A$2</xm:f>
            <x14:dxf>
              <fill>
                <patternFill>
                  <bgColor theme="9" tint="0.39994506668294322"/>
                </patternFill>
              </fill>
            </x14:dxf>
          </x14:cfRule>
          <xm:sqref>K31:K33 K3:K29</xm:sqref>
        </x14:conditionalFormatting>
        <x14:conditionalFormatting xmlns:xm="http://schemas.microsoft.com/office/excel/2006/main">
          <x14:cfRule type="cellIs" priority="114" operator="equal" id="{9621E075-CB94-4921-B9BB-1405F3D43A28}">
            <xm:f>Sheet1!$A$7</xm:f>
            <x14:dxf>
              <fill>
                <patternFill>
                  <bgColor theme="5"/>
                </patternFill>
              </fill>
            </x14:dxf>
          </x14:cfRule>
          <x14:cfRule type="cellIs" priority="115" operator="equal" id="{76625D32-0A8C-4ECE-82EE-33CE973B5C2F}">
            <xm:f>Sheet1!$A$6</xm:f>
            <x14:dxf>
              <fill>
                <patternFill>
                  <bgColor rgb="FF00B0F0"/>
                </patternFill>
              </fill>
            </x14:dxf>
          </x14:cfRule>
          <x14:cfRule type="cellIs" priority="116" operator="equal" id="{DFD88E48-C33B-4EA3-AA63-29B74A31B63E}">
            <xm:f>Sheet1!$A$5</xm:f>
            <x14:dxf>
              <fill>
                <patternFill>
                  <bgColor rgb="FFFF0000"/>
                </patternFill>
              </fill>
            </x14:dxf>
          </x14:cfRule>
          <x14:cfRule type="cellIs" priority="117" operator="equal" id="{1C5FDA26-EBA0-4669-A9C1-6D85A7441D74}">
            <xm:f>Sheet1!$A$4</xm:f>
            <x14:dxf>
              <fill>
                <patternFill>
                  <bgColor rgb="FFFFFF00"/>
                </patternFill>
              </fill>
            </x14:dxf>
          </x14:cfRule>
          <x14:cfRule type="cellIs" priority="118" operator="equal" id="{6279994F-D402-414E-843D-DB9C45A5E35B}">
            <xm:f>Sheet1!$A$3</xm:f>
            <x14:dxf>
              <fill>
                <patternFill>
                  <bgColor theme="9" tint="0.59996337778862885"/>
                </patternFill>
              </fill>
            </x14:dxf>
          </x14:cfRule>
          <x14:cfRule type="cellIs" priority="119" operator="equal" id="{10C31A3B-FA0B-4C22-8B2F-887168639673}">
            <xm:f>Sheet1!$A$2</xm:f>
            <x14:dxf>
              <fill>
                <patternFill>
                  <bgColor theme="9" tint="0.39994506668294322"/>
                </patternFill>
              </fill>
            </x14:dxf>
          </x14:cfRule>
          <xm:sqref>K3:K29</xm:sqref>
        </x14:conditionalFormatting>
        <x14:conditionalFormatting xmlns:xm="http://schemas.microsoft.com/office/excel/2006/main">
          <x14:cfRule type="cellIs" priority="40" operator="equal" id="{B53C3C7C-6EF1-4159-89E7-C729DF778931}">
            <xm:f>Sheet1!$A$7</xm:f>
            <x14:dxf>
              <fill>
                <patternFill>
                  <bgColor theme="5"/>
                </patternFill>
              </fill>
            </x14:dxf>
          </x14:cfRule>
          <x14:cfRule type="cellIs" priority="41" operator="equal" id="{B85FB004-FB89-4C08-882E-DDF0726742F6}">
            <xm:f>Sheet1!$A$6</xm:f>
            <x14:dxf>
              <fill>
                <patternFill>
                  <bgColor rgb="FF00B0F0"/>
                </patternFill>
              </fill>
            </x14:dxf>
          </x14:cfRule>
          <x14:cfRule type="cellIs" priority="42" operator="equal" id="{48C7B208-FC76-41CD-AEF0-01E1A9B649FC}">
            <xm:f>Sheet1!$A$5</xm:f>
            <x14:dxf>
              <fill>
                <patternFill>
                  <bgColor rgb="FFFF0000"/>
                </patternFill>
              </fill>
            </x14:dxf>
          </x14:cfRule>
          <x14:cfRule type="cellIs" priority="43" operator="equal" id="{EB029A9C-ED7F-4A40-BD84-291A7E321A06}">
            <xm:f>Sheet1!$A$4</xm:f>
            <x14:dxf>
              <fill>
                <patternFill>
                  <bgColor rgb="FFFFFF00"/>
                </patternFill>
              </fill>
            </x14:dxf>
          </x14:cfRule>
          <x14:cfRule type="cellIs" priority="44" operator="equal" id="{6599690A-2961-448A-AB83-436947135560}">
            <xm:f>Sheet1!$A$3</xm:f>
            <x14:dxf>
              <fill>
                <patternFill>
                  <bgColor theme="9" tint="0.59996337778862885"/>
                </patternFill>
              </fill>
            </x14:dxf>
          </x14:cfRule>
          <x14:cfRule type="cellIs" priority="45" operator="equal" id="{A0FB4AC9-9A6D-43EE-98F0-2E927AF6D3D8}">
            <xm:f>Sheet1!$A$2</xm:f>
            <x14:dxf>
              <fill>
                <patternFill>
                  <bgColor theme="9" tint="0.39994506668294322"/>
                </patternFill>
              </fill>
            </x14:dxf>
          </x14:cfRule>
          <xm:sqref>K30</xm:sqref>
        </x14:conditionalFormatting>
        <x14:conditionalFormatting xmlns:xm="http://schemas.microsoft.com/office/excel/2006/main">
          <x14:cfRule type="cellIs" priority="34" operator="equal" id="{1F8EA7DA-4442-4ECC-A1AF-2D0D3F70FB17}">
            <xm:f>Sheet1!$A$7</xm:f>
            <x14:dxf>
              <fill>
                <patternFill>
                  <bgColor theme="5"/>
                </patternFill>
              </fill>
            </x14:dxf>
          </x14:cfRule>
          <x14:cfRule type="cellIs" priority="35" operator="equal" id="{589BF9A8-986C-4CCC-91B1-EBCDDB9C6CB3}">
            <xm:f>Sheet1!$A$6</xm:f>
            <x14:dxf>
              <fill>
                <patternFill>
                  <bgColor rgb="FF00B0F0"/>
                </patternFill>
              </fill>
            </x14:dxf>
          </x14:cfRule>
          <x14:cfRule type="cellIs" priority="36" operator="equal" id="{8BB50530-1EAA-4F92-869B-92CE7033A835}">
            <xm:f>Sheet1!$A$5</xm:f>
            <x14:dxf>
              <fill>
                <patternFill>
                  <bgColor rgb="FFFF0000"/>
                </patternFill>
              </fill>
            </x14:dxf>
          </x14:cfRule>
          <x14:cfRule type="cellIs" priority="37" operator="equal" id="{A39A075F-D923-43F9-8682-CF15B4659740}">
            <xm:f>Sheet1!$A$4</xm:f>
            <x14:dxf>
              <fill>
                <patternFill>
                  <bgColor rgb="FFFFFF00"/>
                </patternFill>
              </fill>
            </x14:dxf>
          </x14:cfRule>
          <x14:cfRule type="cellIs" priority="38" operator="equal" id="{2AA2A9F6-9BED-437E-894D-023382C66CE1}">
            <xm:f>Sheet1!$A$3</xm:f>
            <x14:dxf>
              <fill>
                <patternFill>
                  <bgColor theme="9" tint="0.59996337778862885"/>
                </patternFill>
              </fill>
            </x14:dxf>
          </x14:cfRule>
          <x14:cfRule type="cellIs" priority="39" operator="equal" id="{44B42E68-A249-4D12-BB66-3EC4B647824D}">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EBE654E3-C20A-47E5-AB07-7DE3A9FC555B}">
          <x14:formula1>
            <xm:f>_xlfn.IFS(B3=Sheet1!$B$2,Sheet1!$C$2:$C$114,B3=Sheet1!$B$3,Sheet1!$C$115:$C$239, B3=Sheet1!$B$4,Sheet1!$C$240:$C$297,B3=Sheet1!$B$5,Sheet1!$C$298:$C$347,B3=Sheet1!$B$6,Sheet1!$C$2:$C$347)</xm:f>
          </x14:formula1>
          <xm:sqref>C3:C32</xm:sqref>
        </x14:dataValidation>
        <x14:dataValidation type="list" allowBlank="1" showInputMessage="1" showErrorMessage="1" xr:uid="{827B5B1E-FE8B-46D1-9ADF-7162C64682A5}">
          <x14:formula1>
            <xm:f>Sheet1!$A$2:$A$7</xm:f>
          </x14:formula1>
          <xm:sqref>K3:K33</xm:sqref>
        </x14:dataValidation>
        <x14:dataValidation type="list" allowBlank="1" showInputMessage="1" showErrorMessage="1" xr:uid="{8BEA22B3-A1C4-4EFC-A50C-11533ADE47FF}">
          <x14:formula1>
            <xm:f>Sheet1!$D$2:$D$281</xm:f>
          </x14:formula1>
          <xm:sqref>D3:D32</xm:sqref>
        </x14:dataValidation>
        <x14:dataValidation type="list" allowBlank="1" xr:uid="{AAFC205B-0789-4EE2-A151-184C8289E06B}">
          <x14:formula1>
            <xm:f>Sheet1!$B$2:$B$6</xm:f>
          </x14:formula1>
          <xm:sqref>B3:B32</xm:sqref>
        </x14:dataValidation>
        <x14:dataValidation type="list" allowBlank="1" showInputMessage="1" showErrorMessage="1" xr:uid="{75C1EDBF-7A73-4662-8DD5-19AFA4A71C38}">
          <x14:formula1>
            <xm:f>Sheet1!$E$2:$E$49</xm:f>
          </x14:formula1>
          <xm:sqref>E3:E32</xm:sqref>
        </x14:dataValidation>
        <x14:dataValidation type="list" allowBlank="1" showInputMessage="1" showErrorMessage="1" xr:uid="{F7D0BA07-2F89-4963-A41F-D5DB1D2BD3AF}">
          <x14:formula1>
            <xm:f>Sheet1!$A$2:$A$5</xm:f>
          </x14:formula1>
          <xm:sqref>L33</xm:sqref>
        </x14:dataValidation>
        <x14:dataValidation type="list" allowBlank="1" showInputMessage="1" showErrorMessage="1" xr:uid="{7C03A888-58EE-488C-B669-7786D8392C21}">
          <x14:formula1>
            <xm:f>Sheet1!$E$2:$E$48</xm:f>
          </x14:formula1>
          <xm:sqref>E33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2022-05-13T18:55:22Z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