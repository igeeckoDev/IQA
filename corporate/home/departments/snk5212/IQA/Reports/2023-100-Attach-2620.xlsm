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00, NBK LAB- EPT/"/>
    </mc:Choice>
  </mc:AlternateContent>
  <xr:revisionPtr revIDLastSave="1064" documentId="8_{CFA21CDE-D075-4175-98EB-B5FE7530592C}" xr6:coauthVersionLast="47" xr6:coauthVersionMax="47" xr10:uidLastSave="{E18EF62E-D792-48CA-836A-175C0C2B2203}"/>
  <bookViews>
    <workbookView xWindow="1425" yWindow="1425" windowWidth="20730" windowHeight="11835" firstSheet="1" activeTab="2" xr2:uid="{D4A64A8D-9097-4E47-B8F3-8D5A01889BF8}"/>
  </bookViews>
  <sheets>
    <sheet name="ISO 17065" sheetId="13" state="hidden" r:id="rId1"/>
    <sheet name="Batteries" sheetId="17" r:id="rId2"/>
    <sheet name="Electrical" sheetId="15" r:id="rId3"/>
    <sheet name="Definition " sheetId="11" r:id="rId4"/>
    <sheet name="risk" sheetId="18" r:id="rId5"/>
    <sheet name="attendance" sheetId="19" r:id="rId6"/>
    <sheet name="Sheet1" sheetId="14" state="hidden" r:id="rId7"/>
  </sheets>
  <definedNames>
    <definedName name="_xlnm._FilterDatabase" localSheetId="1" hidden="1">Batteries!$Q$2:$Q$79</definedName>
    <definedName name="_xlnm._FilterDatabase" localSheetId="2" hidden="1">Electrical!$Q$2:$Q$83</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8" l="1"/>
  <c r="C4"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tc={0B34F759-136C-494C-807D-25B82A608D96}</author>
    <author>tc={42B55CE0-188D-4171-8D4E-EAE3CA8DA40B}</author>
  </authors>
  <commentList>
    <comment ref="Q28" authorId="0" shapeId="0" xr:uid="{0B34F759-136C-494C-807D-25B82A608D9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42B55CE0-188D-4171-8D4E-EAE3CA8DA40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tc={3D861317-9DED-43AE-810D-9D01F6671696}</author>
    <author>tc={4902CFF7-4DA1-4B8F-A3AC-4FC0E2545188}</author>
    <author>tc={FD9F19D6-EF3A-4F29-BE46-77233D6AACD5}</author>
    <author>tc={8B761B91-3776-4FC8-B912-84CF90FE2624}</author>
    <author>tc={0875F7D5-9DEC-4DB4-A44B-9D3080569217}</author>
    <author>tc={E773F340-999A-45EE-87C5-A73ACD443115}</author>
    <author>tc={19EDF088-DBB3-4279-95E4-FB19D5DD9C90}</author>
  </authors>
  <commentList>
    <comment ref="Q28" authorId="0" shapeId="0" xr:uid="{3D861317-9DED-43AE-810D-9D01F667169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4902CFF7-4DA1-4B8F-A3AC-4FC0E254518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D9F19D6-EF3A-4F29-BE46-77233D6AACD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8B761B91-3776-4FC8-B912-84CF90FE262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0875F7D5-9DEC-4DB4-A44B-9D308056921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E773F340-999A-45EE-87C5-A73ACD4431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19EDF088-DBB3-4279-95E4-FB19D5DD9C9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<sst xmlns="http://schemas.openxmlformats.org/spreadsheetml/2006/main" count="1685" uniqueCount="1004">
  <si>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</si>
  <si>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</si>
  <si>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</si>
  <si>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</si>
  <si>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</si>
  <si>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</si>
  <si>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</si>
  <si>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</si>
  <si>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</si>
  <si>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</si>
  <si>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</si>
  <si>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</si>
  <si>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</si>
  <si>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</si>
  <si>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</si>
  <si>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</si>
  <si>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</si>
  <si>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</si>
  <si>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</si>
  <si>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</si>
  <si>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</si>
  <si>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</si>
  <si>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</si>
  <si>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</si>
  <si>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</si>
  <si>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</si>
  <si>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</si>
  <si>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</si>
  <si>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</si>
  <si>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</si>
  <si>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</si>
  <si>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</si>
  <si>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</si>
  <si>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</si>
  <si>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</si>
  <si>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</si>
  <si>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</si>
  <si>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</si>
  <si>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</si>
  <si>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</si>
  <si>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</si>
  <si>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</si>
  <si>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</si>
  <si>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</si>
  <si>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</si>
  <si>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</si>
  <si>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</si>
  <si>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</si>
  <si>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</si>
  <si>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</si>
  <si>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</si>
  <si>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</si>
  <si>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</si>
  <si>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</si>
  <si>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</si>
  <si>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</si>
  <si>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</si>
  <si>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</si>
  <si>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</si>
  <si>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</si>
  <si>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</si>
  <si>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</si>
  <si>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</si>
  <si>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</si>
  <si>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</si>
  <si>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</si>
  <si>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</si>
  <si>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</si>
  <si>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</si>
  <si>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</si>
  <si>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</si>
  <si>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</si>
  <si>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</si>
  <si>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</si>
  <si>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</si>
  <si>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</si>
  <si>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</si>
  <si>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</si>
  <si>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</si>
  <si>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</si>
  <si>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</si>
  <si>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</si>
  <si>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</si>
  <si>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</si>
  <si>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</si>
  <si>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</si>
  <si>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</si>
  <si>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</si>
  <si>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</si>
  <si>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</si>
  <si>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</si>
  <si>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</si>
  <si>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</si>
  <si>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</si>
  <si>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</si>
  <si>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</si>
  <si>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</si>
  <si>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</si>
  <si>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</si>
  <si>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</si>
  <si>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</si>
  <si>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</si>
  <si>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</si>
  <si>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</si>
  <si>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</si>
  <si>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</si>
  <si>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</si>
  <si>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</si>
  <si>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</si>
  <si>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</si>
  <si>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</si>
  <si>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</si>
  <si>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</si>
  <si>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</si>
  <si>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</si>
  <si>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</si>
  <si>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</si>
  <si>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</si>
  <si>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</si>
  <si>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</si>
  <si>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</si>
  <si>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</si>
  <si>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</si>
  <si>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</si>
  <si>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</si>
  <si>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</si>
  <si>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</si>
  <si>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</si>
  <si>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</si>
  <si>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</si>
  <si>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</si>
  <si>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</si>
  <si>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</si>
  <si>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</si>
  <si>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</si>
  <si>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</si>
  <si>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</si>
  <si>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</si>
  <si>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</si>
  <si>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</si>
  <si>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</si>
  <si>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</si>
  <si>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</si>
  <si>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</si>
  <si>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</si>
  <si>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</si>
  <si>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</si>
  <si>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</si>
  <si>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</si>
  <si>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</si>
  <si>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</si>
  <si>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</si>
  <si>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</si>
  <si>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</si>
  <si>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</si>
  <si>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</si>
  <si>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</si>
  <si>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</si>
  <si>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</si>
  <si>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</si>
  <si>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</si>
  <si>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</si>
  <si>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</si>
  <si>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</si>
  <si>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</si>
  <si>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</si>
  <si>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</si>
  <si>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</si>
  <si>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</si>
  <si>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</si>
  <si>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</si>
  <si>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</si>
  <si>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</si>
  <si>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</si>
  <si>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</si>
  <si>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</si>
  <si>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</si>
  <si>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</si>
  <si>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</si>
  <si>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</si>
  <si>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</si>
  <si>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</si>
  <si>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</si>
  <si>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</si>
  <si>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</si>
  <si>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</si>
  <si>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</si>
  <si>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</si>
  <si>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</si>
  <si>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</si>
  <si>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</si>
  <si>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</si>
  <si>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</si>
  <si>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</si>
  <si>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</si>
  <si>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</si>
  <si>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</si>
  <si>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</si>
  <si>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</si>
  <si>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</si>
  <si>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</si>
  <si>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</si>
  <si>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</si>
  <si>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</si>
  <si>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</si>
  <si>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</si>
  <si>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</si>
  <si>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</si>
  <si>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</si>
  <si>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</si>
  <si>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</si>
  <si>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</si>
  <si>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</si>
  <si>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</si>
  <si>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</si>
  <si>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</si>
  <si>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</si>
  <si>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</si>
  <si>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</si>
  <si>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</si>
  <si>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</si>
  <si>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</si>
  <si>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</si>
  <si>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</si>
  <si>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</si>
  <si>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</si>
  <si>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</si>
  <si>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</si>
  <si>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</si>
  <si>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</si>
  <si>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</si>
  <si>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</si>
  <si>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</si>
  <si>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</si>
  <si>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</si>
  <si>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</si>
  <si>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</si>
  <si>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</si>
  <si>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</si>
  <si>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</si>
  <si>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</si>
  <si>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</si>
  <si>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</si>
  <si>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</si>
  <si>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</si>
  <si>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</si>
  <si>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</si>
  <si>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</si>
  <si>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</si>
  <si>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</si>
  <si>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</si>
  <si>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</si>
  <si>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</si>
  <si>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</si>
  <si>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</si>
  <si>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</si>
  <si>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</si>
  <si>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</si>
  <si>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</si>
  <si>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</si>
  <si>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</si>
  <si>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</si>
  <si>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</si>
  <si>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</si>
  <si>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</si>
  <si>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</si>
  <si>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</si>
  <si>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</si>
  <si>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</si>
  <si>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</si>
  <si>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</si>
  <si>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</si>
  <si>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</si>
  <si>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</si>
  <si>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</si>
  <si>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</si>
  <si>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</si>
  <si>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</si>
  <si>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</si>
  <si>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</si>
  <si>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</si>
  <si>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</si>
  <si>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</si>
  <si>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</si>
  <si>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</si>
  <si>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</si>
  <si>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</si>
  <si>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</si>
  <si>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</si>
  <si>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</si>
  <si>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</si>
  <si>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</si>
  <si>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</si>
  <si>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</si>
  <si>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</si>
  <si>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</si>
  <si>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</si>
  <si>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</si>
  <si>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</si>
  <si>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</si>
  <si>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</si>
  <si>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</si>
  <si>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</si>
  <si>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</si>
  <si>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</si>
  <si>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</si>
  <si>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</si>
  <si>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</si>
  <si>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</si>
  <si>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</si>
  <si>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</si>
  <si>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</si>
  <si>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</si>
  <si>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</si>
  <si>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</si>
  <si>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</si>
  <si>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</si>
  <si>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</si>
  <si>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</si>
  <si>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</si>
  <si>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</si>
  <si>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</si>
  <si>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</si>
  <si>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</si>
  <si>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</si>
  <si>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</si>
  <si>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</si>
  <si>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</si>
  <si>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</si>
  <si>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</si>
  <si>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</si>
  <si>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</si>
  <si>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</si>
  <si>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</si>
  <si>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</si>
  <si>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</si>
  <si>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</si>
  <si>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</si>
  <si>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</si>
  <si>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</si>
  <si>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</si>
  <si>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</si>
  <si>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</si>
  <si>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</si>
  <si>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</si>
  <si>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</si>
  <si>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</si>
  <si>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</si>
  <si>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</si>
  <si>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</si>
  <si>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</si>
  <si>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</si>
  <si>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</si>
  <si>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</si>
  <si>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</si>
  <si>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</si>
  <si>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</si>
  <si>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</si>
  <si>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</si>
  <si>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</si>
  <si>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</si>
  <si>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</si>
  <si>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</si>
  <si>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</si>
  <si>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</si>
  <si>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</si>
  <si>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</si>
  <si>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</si>
  <si>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</si>
  <si>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</si>
  <si>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</si>
  <si>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</si>
  <si>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</si>
  <si>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</si>
  <si>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</si>
  <si>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</si>
  <si>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</si>
  <si>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</si>
  <si>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</si>
  <si>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</si>
  <si>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</si>
  <si>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</si>
  <si>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</si>
  <si>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</si>
  <si>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</si>
  <si>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</si>
  <si>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</si>
  <si>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</si>
  <si>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</si>
  <si>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</si>
  <si>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</si>
  <si>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</si>
  <si>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</si>
  <si>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</si>
  <si>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</si>
  <si>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</si>
  <si>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</si>
  <si>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</si>
  <si>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</si>
  <si>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</si>
  <si>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</si>
  <si>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</si>
  <si>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</si>
  <si>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</si>
  <si>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</si>
  <si>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</si>
  <si>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</si>
  <si>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</si>
  <si>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</si>
  <si>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</si>
  <si>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</si>
  <si>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</si>
  <si>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</si>
  <si>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</si>
  <si>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</si>
  <si>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</si>
  <si>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</si>
  <si>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</si>
  <si>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</si>
  <si>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</si>
  <si>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</si>
  <si>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</si>
  <si>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</si>
  <si>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</si>
  <si>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</si>
  <si>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</si>
  <si>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</si>
  <si>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</si>
  <si>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</si>
  <si>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</si>
  <si>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</si>
  <si>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</si>
  <si>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</si>
  <si>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</si>
  <si>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</si>
  <si>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</si>
  <si>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</si>
  <si>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</si>
  <si>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</si>
  <si>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</si>
  <si>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</si>
  <si>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</si>
  <si>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</si>
  <si>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</si>
  <si>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</si>
  <si>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</si>
  <si>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</si>
  <si>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</si>
  <si>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</si>
  <si>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</si>
  <si>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</si>
  <si>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</si>
  <si>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</si>
  <si>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</si>
  <si>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</si>
  <si>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</si>
  <si>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</si>
  <si>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</si>
  <si>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</si>
  <si>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</si>
  <si>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</si>
  <si>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</si>
  <si>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</si>
  <si>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</si>
  <si>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</si>
  <si>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</si>
  <si>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</si>
  <si>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</si>
  <si>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</si>
  <si>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</si>
  <si>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</si>
  <si>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</si>
  <si>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</si>
  <si>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</si>
  <si>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</si>
  <si>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</si>
  <si>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</si>
  <si>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</si>
  <si>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</si>
  <si>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</si>
  <si>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</si>
  <si>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</si>
  <si>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</si>
  <si>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</si>
  <si>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</si>
  <si>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</si>
  <si>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</si>
  <si>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</si>
  <si>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</si>
  <si>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</si>
  <si>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</si>
  <si>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</si>
  <si>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</si>
  <si>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</si>
  <si>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</si>
  <si>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</si>
  <si>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</si>
  <si>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</si>
  <si>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</si>
  <si>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</si>
  <si>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</si>
  <si>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</si>
  <si>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</si>
  <si>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</si>
  <si>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</si>
  <si>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</si>
  <si>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</si>
  <si>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</si>
  <si>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</si>
  <si>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</si>
  <si>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</si>
  <si>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</si>
  <si>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</si>
  <si>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</si>
  <si>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</si>
  <si>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</si>
  <si>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</si>
  <si>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</si>
  <si>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</si>
  <si>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</si>
  <si>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</si>
  <si>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</si>
  <si>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</si>
  <si>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</si>
  <si>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</si>
  <si>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</si>
  <si>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</si>
  <si>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</si>
  <si>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</si>
  <si>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</si>
  <si>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</si>
  <si>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</si>
  <si>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</si>
  <si>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</si>
  <si>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</si>
  <si>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</si>
  <si>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</si>
  <si>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</si>
  <si>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</si>
  <si>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</si>
  <si>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</si>
  <si>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</si>
  <si>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</si>
  <si>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</si>
  <si>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</si>
  <si>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</si>
  <si>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</si>
  <si>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</si>
  <si>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</si>
  <si>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</si>
  <si>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</si>
  <si>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</si>
  <si>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</si>
  <si>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</si>
  <si>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</si>
  <si>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</si>
  <si>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</si>
  <si>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</si>
  <si>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</si>
  <si>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</si>
  <si>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</si>
  <si>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</si>
  <si>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</si>
  <si>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</si>
  <si>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</si>
  <si>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</si>
  <si>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</si>
  <si>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</si>
  <si>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</si>
  <si>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</si>
  <si>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</si>
  <si>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</si>
  <si>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</si>
  <si>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</si>
  <si>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</si>
  <si>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</si>
  <si>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</si>
  <si>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</si>
  <si>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</si>
  <si>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</si>
  <si>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</si>
  <si>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</si>
  <si>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</si>
  <si>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</si>
  <si>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</si>
  <si>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</si>
  <si>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</si>
  <si>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</si>
  <si>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</si>
  <si>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</si>
  <si>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</si>
  <si>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</si>
  <si>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</si>
  <si>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</si>
  <si>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</si>
  <si>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</si>
  <si>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</si>
  <si>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</si>
  <si>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</si>
  <si>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</si>
  <si>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</si>
  <si>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</si>
  <si>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</si>
  <si>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</si>
  <si>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</si>
  <si>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</si>
  <si>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</si>
  <si>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</si>
  <si>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</si>
  <si>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</si>
  <si>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</si>
  <si>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</si>
  <si>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</si>
  <si>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</si>
  <si>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</si>
  <si>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</si>
  <si>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</si>
  <si>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</si>
  <si>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</si>
  <si>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</si>
  <si>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</si>
  <si>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</si>
  <si>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</si>
  <si>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</si>
  <si>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</si>
  <si>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</si>
  <si>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</si>
  <si>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</si>
  <si>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</si>
  <si>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</si>
  <si>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</si>
  <si>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</si>
  <si>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</si>
  <si>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</si>
  <si>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</si>
  <si>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</si>
  <si>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</si>
  <si>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</si>
  <si>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</si>
  <si>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</si>
  <si>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</si>
  <si>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</si>
  <si>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</si>
  <si>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</si>
  <si>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</si>
  <si>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</si>
  <si>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</si>
  <si>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</si>
  <si>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</si>
  <si>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</si>
  <si>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</si>
  <si>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</si>
  <si>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</si>
  <si>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</si>
  <si>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</si>
  <si>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</si>
  <si>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</si>
  <si>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</si>
  <si>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</si>
  <si>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</si>
  <si>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</si>
  <si>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</si>
  <si>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</si>
  <si>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</si>
  <si>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</si>
  <si>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</si>
  <si>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</si>
  <si>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</si>
  <si>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</si>
  <si>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</si>
  <si>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</si>
  <si>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</si>
  <si>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</si>
  <si>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</si>
  <si>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</si>
  <si>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</si>
  <si>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</si>
  <si>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</si>
  <si>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</si>
  <si>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</si>
  <si>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</si>
  <si>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</si>
  <si>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</si>
  <si>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</si>
  <si>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</si>
  <si>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</si>
  <si>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</si>
  <si>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</si>
  <si>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</si>
  <si>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</si>
  <si>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</si>
  <si>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</si>
  <si>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</si>
  <si>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</si>
  <si>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</si>
  <si>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</si>
  <si>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</si>
  <si>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</si>
  <si>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</si>
  <si>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</si>
  <si>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</si>
  <si>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</si>
  <si>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</si>
  <si>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</si>
  <si>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</si>
  <si>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</si>
  <si>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</si>
  <si>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</si>
  <si>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</si>
  <si>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</si>
  <si>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</si>
  <si>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</si>
  <si>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</si>
  <si>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</si>
  <si>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</si>
  <si>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</si>
  <si>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</si>
  <si>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</si>
  <si>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</si>
  <si>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</si>
  <si>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</si>
  <si>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</si>
  <si>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</si>
  <si>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</si>
  <si>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</si>
  <si>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</si>
  <si>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</si>
  <si>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</si>
  <si>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</si>
  <si>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</si>
  <si>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</si>
  <si>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</si>
  <si>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</si>
  <si>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</si>
  <si>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</si>
  <si>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</si>
  <si>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</si>
  <si>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</si>
  <si>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</si>
  <si>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</si>
  <si>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</si>
  <si>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</si>
  <si>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</si>
  <si>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</si>
  <si>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</si>
  <si>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</si>
  <si>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</si>
  <si>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</si>
  <si>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</si>
  <si>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</si>
  <si>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</si>
  <si>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</si>
  <si>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</si>
  <si>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</si>
  <si>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</si>
  <si>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</si>
  <si>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</si>
  <si>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</si>
  <si>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</si>
  <si>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</si>
  <si>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</si>
  <si>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</si>
  <si>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</si>
  <si>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</si>
  <si>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</si>
  <si>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</si>
  <si>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</si>
  <si>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</si>
  <si>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</si>
  <si>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</si>
  <si>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</si>
  <si>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</si>
  <si>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</si>
  <si>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</si>
  <si>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</si>
  <si>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</si>
  <si>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</si>
  <si>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</si>
  <si>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</si>
  <si>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</si>
  <si>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</si>
  <si>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</si>
  <si>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</si>
  <si>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</si>
  <si>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</si>
  <si>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</si>
  <si>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</si>
  <si>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</si>
  <si>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</si>
  <si>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</si>
  <si>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</si>
  <si>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</si>
  <si>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</si>
  <si>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</si>
  <si>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</si>
  <si>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</si>
  <si>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</si>
  <si>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</si>
  <si>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</si>
  <si>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</si>
  <si>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</si>
  <si>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</si>
  <si>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</si>
  <si>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</si>
  <si>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</si>
  <si>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</si>
  <si>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</si>
  <si>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</si>
  <si>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</si>
  <si>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</si>
  <si>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</si>
  <si>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</si>
  <si>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</si>
  <si>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</si>
  <si>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</si>
  <si>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</si>
  <si>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</si>
  <si>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</si>
  <si>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</si>
  <si>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</si>
  <si>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</si>
  <si>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</si>
  <si>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</si>
  <si>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</si>
  <si>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</si>
  <si>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</si>
  <si>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</si>
  <si>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</si>
  <si>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</si>
  <si>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</si>
  <si>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</si>
  <si>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</si>
  <si>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</si>
  <si>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</si>
  <si>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</si>
  <si>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</si>
  <si>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</si>
  <si>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</si>
  <si>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</si>
  <si>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</si>
  <si>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</si>
  <si>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</si>
  <si>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</si>
  <si>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Canada Safety Scheme, IECEE CB Scheme, US Safety Scheme</t>
  </si>
  <si>
    <t>The general facilities and environmental conditions of the laboratory were evaluated during the audit, as different areas were visited.</t>
  </si>
  <si>
    <t>As shown in the records for the tests witnessed during this audit, equipments were properlly identified and their calibration status was visible.
When a calibration is coming due, all the laboratory has to do is to delivery the piece of equipment to the equipment team.</t>
  </si>
  <si>
    <t>As shown in the test records, all technical records are stored electronically.</t>
  </si>
  <si>
    <t>Chris Haack - 06687</t>
  </si>
  <si>
    <t>Facilities reviewed as part of ongoing test demonstration and lab tour.
Please see "Selection and Verification" tabs below for additional information.</t>
  </si>
  <si>
    <t>Please see "Selection and Verification" tabs below for additional information.</t>
  </si>
  <si>
    <t>Anytime equipment is damaged or malfunctions the lab "red tags" it to prevent usage and contact lab support.
Test lab has all the equipment needed for its needs.All equipment is verified for cal markings before use.</t>
  </si>
  <si>
    <t>Please see "Selection and Verification" tabs below for additional information.
Note: Viewed sample in the lab, sample entries in associated datasheets and in labware.</t>
  </si>
  <si>
    <t>Chris Haack - 06687
Chris Bednar - 11494</t>
  </si>
  <si>
    <t>Nonconforming Test and Calibration Work and Complaint log in SharePoint.</t>
  </si>
  <si>
    <t>Documents are stored and located as per UL requirements using official UL records depository (ECM, IHS, Labware, etc.)</t>
  </si>
  <si>
    <t>Project datasheets</t>
  </si>
  <si>
    <t>Records are stored as per UL requiremenst using official UL records depository (ECM, Labware)</t>
  </si>
  <si>
    <t>Robert A. Ricchio - 03708</t>
  </si>
  <si>
    <t>To be audited under NBK site audit, 2023-97-IQA</t>
  </si>
  <si>
    <t>not audited</t>
  </si>
  <si>
    <t>Audit # 2023-100</t>
  </si>
  <si>
    <t>Audit Date Range: 03/27-28/2023</t>
  </si>
  <si>
    <t>n/a</t>
  </si>
  <si>
    <t>To be audited in Global Audit Programs &amp; Corrective and Preventive Action audit, 2023-61-IQA</t>
  </si>
  <si>
    <t>Auditor Name: ken Berger</t>
  </si>
  <si>
    <t>Not audited</t>
  </si>
  <si>
    <t>00-QA-J0860 1.0</t>
  </si>
  <si>
    <t xml:space="preserve">Post Audit Risk Assessment for Audit Resource Arrangement  </t>
  </si>
  <si>
    <t>Date</t>
  </si>
  <si>
    <t>Conducted by:</t>
  </si>
  <si>
    <t>Ken Berger</t>
  </si>
  <si>
    <t>Audit Year</t>
  </si>
  <si>
    <t xml:space="preserve">Organization being audited </t>
  </si>
  <si>
    <t>Risk Level</t>
  </si>
  <si>
    <t>Volume of work</t>
  </si>
  <si>
    <t>Previous Internal Audit Results</t>
  </si>
  <si>
    <t>Staff Changes</t>
  </si>
  <si>
    <t>Additional Monitoring Mechanism</t>
  </si>
  <si>
    <t>Management Review</t>
  </si>
  <si>
    <t>External Audit Results</t>
  </si>
  <si>
    <t>Product Incident Report</t>
  </si>
  <si>
    <t>Risk Score</t>
  </si>
  <si>
    <t>Low</t>
  </si>
  <si>
    <t>High</t>
  </si>
  <si>
    <t>Medium</t>
  </si>
  <si>
    <t>Location:</t>
  </si>
  <si>
    <t>Opening date:</t>
  </si>
  <si>
    <t>Closing date:</t>
  </si>
  <si>
    <t>Name</t>
  </si>
  <si>
    <t>Title/role</t>
  </si>
  <si>
    <t>Opening</t>
  </si>
  <si>
    <t xml:space="preserve">Closing </t>
  </si>
  <si>
    <t>Lab Manager</t>
  </si>
  <si>
    <t>x</t>
  </si>
  <si>
    <t>Lab Lead</t>
  </si>
  <si>
    <t>Lab Quality Manager</t>
  </si>
  <si>
    <t>Joe Tito</t>
  </si>
  <si>
    <t>Chris Bednar</t>
  </si>
  <si>
    <t>Chris Haack</t>
  </si>
  <si>
    <t>Jay Kogoma</t>
  </si>
  <si>
    <t>Auditor</t>
  </si>
  <si>
    <t>Auditor, Lead</t>
  </si>
  <si>
    <t>Peter Quintas</t>
  </si>
  <si>
    <t>EPT NBK Lab</t>
  </si>
  <si>
    <t xml:space="preserve">To be fully audited under NBK site audit, 2023-97-IQA, only discussed during witness </t>
  </si>
  <si>
    <t>ULID-014435,  Issue: 2.0; Policy-ULID-009203, Issue 3.0; ULID-000907, issue 2.0; ULID-000866, issue 2.0</t>
  </si>
  <si>
    <t>ULID-014435,  Issue: 2.0; Policy-ULID-009203, Issue 3.0, ULID-000207, Issue #: 3.0
RECORD OF AGREEMENTS…</t>
  </si>
  <si>
    <t>ULID-000687 (DCS:00-LO-S0855), Issue #: 19.0
LABORATORY PERSONNEL REQUIREMENTS, 
Form-ULID-000611 (DCS:00-LO-F0861)
Issue #:  3.0, Monitoring</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</si>
  <si>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</si>
  <si>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</si>
  <si>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ULID-000497 (DCS:00-LC-S0298), Issue #:  13.0
PREPARATION, ATTACHMENT, EXTENSION AND USE OF THERMOCOUPLES </t>
  </si>
  <si>
    <t xml:space="preserve">Policy-ULID-000488 (DCS:00-LC-P0026), Issue #: 10.2, POLICY FOR THE USE OF CALIBRATION VENDORS.  
</t>
  </si>
  <si>
    <t>ULID-014435,  Issue: 2.0; UL Solutions TESTING AND CALIBRATION Policy.</t>
  </si>
  <si>
    <t>ULID-009203, Issue #: 3.0
UL ENTERPRISE TESTING AND CALIBRATION LABORATORY COMPLIANCE POLICY (ISO/IEC 17025:2017) 'New'.  
See also ULID-014435, ULID-004119.</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</si>
  <si>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</si>
  <si>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</si>
  <si>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ULID-000689(DCS: 00-LO-S0862), Issue #: 2.0
ENSURING THE VALIDITY OF RESULTS
ULID-007964 (DCS:80-LC-S0026), Issue #:  4.0
US LABORATORY INTERNAL TECHNICAL AUDITS
ULID-000490 (DCS:00-LC-P0029), Issue #: 14.0
PROFICIENCY TESTING POLICY</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</si>
  <si>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</si>
  <si>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</si>
  <si>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</si>
  <si>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</si>
  <si>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</si>
  <si>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Jimmy L. Peoples Jr. - 14622</t>
  </si>
  <si>
    <t>Tim Conte</t>
  </si>
  <si>
    <t>Johnson, Jason</t>
  </si>
  <si>
    <t>Lab Lead (Haz Loc, O&amp;G)</t>
  </si>
  <si>
    <t>Senior LabTech</t>
  </si>
  <si>
    <t>Franklin, James</t>
  </si>
  <si>
    <t>Lab Tech</t>
  </si>
  <si>
    <t>Lab Manager (electrical)</t>
  </si>
  <si>
    <t xml:space="preserve">Hai Nguyen - 19810
Chris Haack - 06687
</t>
  </si>
  <si>
    <t>Matt T -06701 
Chris Haack - 06687</t>
  </si>
  <si>
    <t>Sharepoint for Nonconforming Test or Calibration Work - "Log of Nonconforming Work".  Saw 3 entires since last.</t>
  </si>
  <si>
    <t>Lab staff are able to determine non-cconformances and complaint and know how and when to bring it to management.</t>
  </si>
  <si>
    <t>Standard Operation Procedures-ULID-000093, Issue #:  1.0, LABORATORY CONTROL OF NONCONFORMING TESTING, 
ULID-000856 (DCS:00-OP-F0404), Issue #: 9.0
TRACEBACK PROCESS &amp; FORM</t>
  </si>
  <si>
    <t xml:space="preserve">Standard Operation Procedures-ULID-000093, Issue #:  1.0, LABORATORY CONTROL OF NONCONFORMING TESTING, 
Testing Organization Complaint Policy
Document Number: Policy-ULID-000094, issue 1.0;  ULID-004161, Issue #: 47.0 Customer Complaints
</t>
  </si>
  <si>
    <t>Peer Audits, changed to each Tech for 2023.  AETL-NBK Sahre Lab Service 2023 The Audit Plan. 
Audit number: 1001482342 (ULID-000485).  Saw 2022 Plan with summary.
Proficiency Testing.  saw "Proficiency Testing "plan in S&amp;) - ALOQ SharePoint site.
Latest PTP for the battery lab was in 2020.
20e23-1 Battery OverCharging - 2023-01-15,  no outliers.
Provider: IFM</t>
  </si>
  <si>
    <t>Peer Audits, changed to each Tech for 2023.  AETL-NBK Sahre Lab Service 2023 The Audit Plan. 
Audit number: 1001482342 (ULID-000485).  Saw 2022 Plan with summary.
Proficiency Testing.  saw "Proficiency Testing "plan in S&amp;) - ALOQ SharePoint site.
Latest PTP for the battery lab was in 2020.
22e36-2 Touch Current - 2023-02-21, web entry error.  CAR 233925905, awaiting response, due 3/31 .
Provider: IFM</t>
  </si>
  <si>
    <t>3 planned for March.</t>
  </si>
  <si>
    <t>no transfer discoered during audit</t>
  </si>
  <si>
    <t>see above &amp; below</t>
  </si>
  <si>
    <t>ULID-008385 DMC Battery Cycling Test System Instructions for Nickel Chemistry rev. 1.1</t>
  </si>
  <si>
    <t>see column G</t>
  </si>
  <si>
    <t>none</t>
  </si>
  <si>
    <t>The document mentioned (ULID-008385) is the only document owned by the lab.</t>
  </si>
  <si>
    <t>none since last audit, Jason Tito is new Lab Leader since Nov, 2022</t>
  </si>
  <si>
    <t>Chris Haack - 06687
and see staff below in selection of method</t>
  </si>
  <si>
    <t>UL 1642, Ed 6, UL 2580, ed 3, short circuit test</t>
  </si>
  <si>
    <t>datasheet &amp; equipment labels</t>
  </si>
  <si>
    <r>
      <rPr>
        <b/>
        <sz val="11"/>
        <rFont val="Calibri"/>
        <family val="2"/>
        <scheme val="minor"/>
      </rPr>
      <t xml:space="preserve">Witness test: </t>
    </r>
    <r>
      <rPr>
        <sz val="11"/>
        <rFont val="Calibri"/>
        <family val="2"/>
        <scheme val="minor"/>
      </rPr>
      <t xml:space="preserve"> Reviewed datasheets (ULID012299/4?), labware system, sample 5705748 a/b, consumables.  Proj 4790709921
</t>
    </r>
    <r>
      <rPr>
        <b/>
        <sz val="11"/>
        <rFont val="Calibri"/>
        <family val="2"/>
        <scheme val="minor"/>
      </rPr>
      <t>Critical consumables:</t>
    </r>
    <r>
      <rPr>
        <sz val="11"/>
        <rFont val="Calibri"/>
        <family val="2"/>
        <scheme val="minor"/>
      </rPr>
      <t xml:space="preserve">
Thermocoupe - J Type - 150652 
</t>
    </r>
    <r>
      <rPr>
        <b/>
        <sz val="11"/>
        <rFont val="Calibri"/>
        <family val="2"/>
        <scheme val="minor"/>
      </rPr>
      <t xml:space="preserve">Equipment:
</t>
    </r>
    <r>
      <rPr>
        <sz val="11"/>
        <rFont val="Calibri"/>
        <family val="2"/>
        <scheme val="minor"/>
      </rPr>
      <t xml:space="preserve">Shunt  Asset #: 44229- due  - 3/31/2023, Oven 24035, verificatiion due 4/30/25, Aglilant 85183, due 9/30/23.
</t>
    </r>
    <r>
      <rPr>
        <b/>
        <sz val="11"/>
        <rFont val="Calibri"/>
        <family val="2"/>
        <scheme val="minor"/>
      </rPr>
      <t xml:space="preserve">Conditions requirements: </t>
    </r>
    <r>
      <rPr>
        <sz val="11"/>
        <rFont val="Calibri"/>
        <family val="2"/>
        <scheme val="minor"/>
      </rPr>
      <t xml:space="preserve"> required, monitored
</t>
    </r>
    <r>
      <rPr>
        <b/>
        <sz val="11"/>
        <rFont val="Calibri"/>
        <family val="2"/>
        <scheme val="minor"/>
      </rPr>
      <t xml:space="preserve"> 
</t>
    </r>
  </si>
  <si>
    <r>
      <rPr>
        <b/>
        <sz val="11"/>
        <rFont val="Calibri"/>
        <family val="2"/>
        <scheme val="minor"/>
      </rPr>
      <t xml:space="preserve">Witness test: </t>
    </r>
    <r>
      <rPr>
        <sz val="11"/>
        <rFont val="Calibri"/>
        <family val="2"/>
        <scheme val="minor"/>
      </rPr>
      <t xml:space="preserve"> Reviewed datasheets, labware system, samples5354977, proj 4790601266.
</t>
    </r>
    <r>
      <rPr>
        <b/>
        <sz val="11"/>
        <rFont val="Calibri"/>
        <family val="2"/>
        <scheme val="minor"/>
      </rPr>
      <t>Critical consumables:</t>
    </r>
    <r>
      <rPr>
        <sz val="11"/>
        <rFont val="Calibri"/>
        <family val="2"/>
        <scheme val="minor"/>
      </rPr>
      <t xml:space="preserve">
Thermocoupe - J Type - 150652 
</t>
    </r>
    <r>
      <rPr>
        <b/>
        <sz val="11"/>
        <rFont val="Calibri"/>
        <family val="2"/>
        <scheme val="minor"/>
      </rPr>
      <t xml:space="preserve">Equipment:
</t>
    </r>
    <r>
      <rPr>
        <sz val="11"/>
        <rFont val="Calibri"/>
        <family val="2"/>
        <scheme val="minor"/>
      </rPr>
      <t xml:space="preserve">Shunt Asset 173248; due- 9/2023, DMM #70734, due -3/31/23, Timer 84709, due 4/25
</t>
    </r>
    <r>
      <rPr>
        <b/>
        <sz val="11"/>
        <rFont val="Calibri"/>
        <family val="2"/>
        <scheme val="minor"/>
      </rPr>
      <t>Conditions requirements:  yes/no, monitored</t>
    </r>
    <r>
      <rPr>
        <sz val="11"/>
        <rFont val="Calibri"/>
        <family val="2"/>
        <scheme val="minor"/>
      </rPr>
      <t xml:space="preserve">
</t>
    </r>
    <r>
      <rPr>
        <b/>
        <sz val="11"/>
        <rFont val="Calibri"/>
        <family val="2"/>
        <scheme val="minor"/>
      </rPr>
      <t xml:space="preserve"> 
</t>
    </r>
  </si>
  <si>
    <r>
      <t>UL 913, ed 8 (</t>
    </r>
    <r>
      <rPr>
        <sz val="11"/>
        <color rgb="FFFF0000"/>
        <rFont val="Calibri"/>
        <family val="2"/>
        <scheme val="minor"/>
      </rPr>
      <t>OSHA SCOPE</t>
    </r>
    <r>
      <rPr>
        <sz val="11"/>
        <rFont val="Calibri"/>
        <family val="2"/>
        <scheme val="minor"/>
      </rPr>
      <t xml:space="preserve">), CAN/CSA-C22.2 No. 60079-11:14 , ed 2., Electrolyte Leakage </t>
    </r>
  </si>
  <si>
    <t>Tim S - 08351</t>
  </si>
  <si>
    <t>Verified samples in Method Selection below showed accurate location on Labware.</t>
  </si>
  <si>
    <t>Verified samples in Method Selection below</t>
  </si>
  <si>
    <t>Verified projects in Method Selection below</t>
  </si>
  <si>
    <t>There's a drawer in the test area with new thermocouples and another drawer for used ones. These drawers are properly identified and all thermocouples are meant to be single-use.  Tissue &amp; cheesecloth were in telecom lab cabinet with ID.</t>
  </si>
  <si>
    <t>Verified equipment labeled in Method Selection below</t>
  </si>
  <si>
    <t>Verified use of equipment  in Method Selection below</t>
  </si>
  <si>
    <t>Hai Nguyen - 19810
(00-LO-F0852 rev. 14) Laboratory Personnel Trainning Plan and Record - Testing Function - latest update: 2022-10-3, verified sort circuit.
TCD: TEST since 12/26/2013
Competence Monitoring Record: 3/10/2023
Matt T - 06701
(00-LO-F0852 rev. 14) Laboratory Personnel Trainning Plan and Record - Testing Function - latest update: 2022-09-23
TCD: TEST since 01/13/2014
Competence Monitoring Record: 3/10/2023</t>
  </si>
  <si>
    <t>Also, the lab manager meets with ops either weekly or bi-weekly to review capacity &amp; capability comes up occassionaly</t>
  </si>
  <si>
    <t>When the engineer inputs an order in LabWare and it is transferred to Trello to manage the jobs. One lab staff does initial review for capability.  See projects in Method Seleciton below</t>
  </si>
  <si>
    <t>Gabrial P - 26008, saw Compt Monitor, 2/24/23, saw Plan  &amp; Records form, 3/28/23
Pete E - 853000, no Compt Monitor, saw TCD for TEST, Plan  &amp; Records form, 2/20/23
Ryan C - 31761,  saw Compt Monitor, 2/21/23, saw Plan  &amp; Records form, 3/23/23
Jimmy Peoples - 14622,  saw Compt Monitor, 2/22/23, saw TCD for TEST
Tim 08351 - V14, 3/22/22, TEST from 12/16/2013, Compentency Monitor - 3/14/23
Bob (Robert) - 03708 - V14 3/24/22,  Compentency Monitor- 3/16/23, TEST from 12/13/2013</t>
  </si>
  <si>
    <t>Please see "Selection and Verification" tabs below for additional information.  Using datasheets &amp; magnesis</t>
  </si>
  <si>
    <t>out</t>
  </si>
  <si>
    <t>Jason Tito</t>
  </si>
  <si>
    <t>Lab Ldr</t>
  </si>
  <si>
    <t>UL 5085-2, ed 2, Temp Test, EPT Wire</t>
  </si>
  <si>
    <t>Gabiel, 26008</t>
  </si>
  <si>
    <t>UL 62368-1, ed 2, Abnormal test, Hi-Tech lab</t>
  </si>
  <si>
    <t>UL 1863, ed 4, CSA 182.4M90, strain relief, Telecom lab</t>
  </si>
  <si>
    <t>project 4790437653</t>
  </si>
  <si>
    <r>
      <rPr>
        <b/>
        <sz val="11"/>
        <rFont val="Calibri"/>
        <family val="2"/>
        <scheme val="minor"/>
      </rPr>
      <t xml:space="preserve">Witness test: </t>
    </r>
    <r>
      <rPr>
        <sz val="11"/>
        <rFont val="Calibri"/>
        <family val="2"/>
        <scheme val="minor"/>
      </rPr>
      <t xml:space="preserve"> Reviewed datasheets (ULID-012544, rev 2015), labware system, sample 5696703 (10a),   
</t>
    </r>
    <r>
      <rPr>
        <b/>
        <sz val="11"/>
        <rFont val="Calibri"/>
        <family val="2"/>
        <scheme val="minor"/>
      </rPr>
      <t>Critical consumables:</t>
    </r>
    <r>
      <rPr>
        <sz val="11"/>
        <rFont val="Calibri"/>
        <family val="2"/>
        <scheme val="minor"/>
      </rPr>
      <t xml:space="preserve">
23 &amp; 26 gauge wire (type 2) 
</t>
    </r>
    <r>
      <rPr>
        <b/>
        <sz val="11"/>
        <rFont val="Calibri"/>
        <family val="2"/>
        <scheme val="minor"/>
      </rPr>
      <t xml:space="preserve">Equipment:
</t>
    </r>
    <r>
      <rPr>
        <sz val="11"/>
        <rFont val="Calibri"/>
        <family val="2"/>
        <scheme val="minor"/>
      </rPr>
      <t xml:space="preserve">Pull tester  Asset #: 209878- due  - 10/2023, Timer #225190 due 3/2024,
</t>
    </r>
    <r>
      <rPr>
        <b/>
        <sz val="11"/>
        <rFont val="Calibri"/>
        <family val="2"/>
        <scheme val="minor"/>
      </rPr>
      <t>Conditions</t>
    </r>
    <r>
      <rPr>
        <sz val="11"/>
        <rFont val="Calibri"/>
        <family val="2"/>
        <scheme val="minor"/>
      </rPr>
      <t xml:space="preserve">:  no ambient, monitored
</t>
    </r>
    <r>
      <rPr>
        <b/>
        <sz val="11"/>
        <rFont val="Calibri"/>
        <family val="2"/>
        <scheme val="minor"/>
      </rPr>
      <t xml:space="preserve"> 
</t>
    </r>
  </si>
  <si>
    <t>Proj 4790618355</t>
  </si>
  <si>
    <r>
      <rPr>
        <b/>
        <sz val="11"/>
        <rFont val="Calibri"/>
        <family val="2"/>
        <scheme val="minor"/>
      </rPr>
      <t xml:space="preserve">Witness test: </t>
    </r>
    <r>
      <rPr>
        <sz val="11"/>
        <rFont val="Calibri"/>
        <family val="2"/>
        <scheme val="minor"/>
      </rPr>
      <t xml:space="preserve"> Reviewed datasheets (UL 62368-1, DOC DS000, rev 2022)), labware system, sample 5738629,  
</t>
    </r>
    <r>
      <rPr>
        <b/>
        <sz val="11"/>
        <rFont val="Calibri"/>
        <family val="2"/>
        <scheme val="minor"/>
      </rPr>
      <t>Critical consumables:</t>
    </r>
    <r>
      <rPr>
        <sz val="11"/>
        <rFont val="Calibri"/>
        <family val="2"/>
        <scheme val="minor"/>
      </rPr>
      <t xml:space="preserve">
TC-J Type - 150652 , cheesecloth 218875, tissue (cc639) 1850238
</t>
    </r>
    <r>
      <rPr>
        <b/>
        <sz val="11"/>
        <rFont val="Calibri"/>
        <family val="2"/>
        <scheme val="minor"/>
      </rPr>
      <t xml:space="preserve">Equipment:
</t>
    </r>
    <r>
      <rPr>
        <sz val="11"/>
        <rFont val="Calibri"/>
        <family val="2"/>
        <scheme val="minor"/>
      </rPr>
      <t xml:space="preserve">Oven  Asset #: 90380,  due- 6/2023, Yokogoawa 178042, due 1/2024, USB C Load 178042, due 5/23
</t>
    </r>
    <r>
      <rPr>
        <b/>
        <sz val="11"/>
        <rFont val="Calibri"/>
        <family val="2"/>
        <scheme val="minor"/>
      </rPr>
      <t xml:space="preserve">Conditions: </t>
    </r>
    <r>
      <rPr>
        <sz val="11"/>
        <rFont val="Calibri"/>
        <family val="2"/>
        <scheme val="minor"/>
      </rPr>
      <t xml:space="preserve">  ambient, monitored</t>
    </r>
    <r>
      <rPr>
        <b/>
        <sz val="11"/>
        <rFont val="Calibri"/>
        <family val="2"/>
        <scheme val="minor"/>
      </rPr>
      <t xml:space="preserve"> 
</t>
    </r>
  </si>
  <si>
    <t>Proj 4790723934</t>
  </si>
  <si>
    <t>UL 810, Ed 6, CSA 190-14, re:2019, Fault current, ICE</t>
  </si>
  <si>
    <t>project 4790675526</t>
  </si>
  <si>
    <t xml:space="preserve">Pete Epitropou - 85300
</t>
  </si>
  <si>
    <r>
      <t xml:space="preserve">Witness test:  Reviewed datasheets (use of Magnesis), labware system, , sample 5604277
</t>
    </r>
    <r>
      <rPr>
        <b/>
        <sz val="11"/>
        <rFont val="Calibri"/>
        <family val="2"/>
        <scheme val="minor"/>
      </rPr>
      <t>Critical consumables</t>
    </r>
    <r>
      <rPr>
        <sz val="11"/>
        <rFont val="Calibri"/>
        <family val="2"/>
        <scheme val="minor"/>
      </rPr>
      <t xml:space="preserve">:
TC-J Type - 150652
</t>
    </r>
    <r>
      <rPr>
        <b/>
        <sz val="11"/>
        <rFont val="Calibri"/>
        <family val="2"/>
        <scheme val="minor"/>
      </rPr>
      <t>Equipment</t>
    </r>
    <r>
      <rPr>
        <sz val="11"/>
        <rFont val="Calibri"/>
        <family val="2"/>
        <scheme val="minor"/>
      </rPr>
      <t xml:space="preserve">:
Temp #: 179926,  due- 9/2023, Micro-Ohm,  179054, due 6/2023,  Load 43014
Conditions:   ambient, monitored </t>
    </r>
  </si>
  <si>
    <r>
      <rPr>
        <b/>
        <sz val="11"/>
        <rFont val="Calibri"/>
        <family val="2"/>
        <scheme val="minor"/>
      </rPr>
      <t>Witness test</t>
    </r>
    <r>
      <rPr>
        <sz val="11"/>
        <rFont val="Calibri"/>
        <family val="2"/>
        <scheme val="minor"/>
      </rPr>
      <t xml:space="preserve">:  Reviewed datasheets (ULID-0111317, 2022-11), labware system, sample 5656270/1,  
</t>
    </r>
    <r>
      <rPr>
        <b/>
        <sz val="11"/>
        <rFont val="Calibri"/>
        <family val="2"/>
        <scheme val="minor"/>
      </rPr>
      <t>Critical consumables</t>
    </r>
    <r>
      <rPr>
        <sz val="11"/>
        <rFont val="Calibri"/>
        <family val="2"/>
        <scheme val="minor"/>
      </rPr>
      <t xml:space="preserve">:
cotton - 3444538 
</t>
    </r>
    <r>
      <rPr>
        <b/>
        <sz val="11"/>
        <rFont val="Calibri"/>
        <family val="2"/>
        <scheme val="minor"/>
      </rPr>
      <t>Equipment</t>
    </r>
    <r>
      <rPr>
        <sz val="11"/>
        <rFont val="Calibri"/>
        <family val="2"/>
        <scheme val="minor"/>
      </rPr>
      <t xml:space="preserve">:
temp #: 178220- due 11/2023, Oven 55019,  5/23, Yokog 74263, due 12/23, SW 176334.
</t>
    </r>
    <r>
      <rPr>
        <b/>
        <sz val="11"/>
        <rFont val="Calibri"/>
        <family val="2"/>
        <scheme val="minor"/>
      </rPr>
      <t>Conditions</t>
    </r>
    <r>
      <rPr>
        <sz val="11"/>
        <rFont val="Calibri"/>
        <family val="2"/>
        <scheme val="minor"/>
      </rPr>
      <t>:  ambient, monitored</t>
    </r>
  </si>
  <si>
    <t>UL 50E, 3rd Ed, CSA94.2-20, 3rd Ed.</t>
  </si>
  <si>
    <t>project 4790193468</t>
  </si>
  <si>
    <r>
      <rPr>
        <b/>
        <sz val="11"/>
        <rFont val="Calibri"/>
        <family val="2"/>
        <scheme val="minor"/>
      </rPr>
      <t>Witness test</t>
    </r>
    <r>
      <rPr>
        <sz val="11"/>
        <rFont val="Calibri"/>
        <family val="2"/>
        <scheme val="minor"/>
      </rPr>
      <t xml:space="preserve">:  Reviewed datasheets (ULE-00050E-CYIV-datasheet-2004), labware system, sample 5675611,  
</t>
    </r>
    <r>
      <rPr>
        <b/>
        <sz val="11"/>
        <rFont val="Calibri"/>
        <family val="2"/>
        <scheme val="minor"/>
      </rPr>
      <t>Critical consumables</t>
    </r>
    <r>
      <rPr>
        <sz val="11"/>
        <rFont val="Calibri"/>
        <family val="2"/>
        <scheme val="minor"/>
      </rPr>
      <t xml:space="preserve">:
cotton - 4167039, cheese 1107329
</t>
    </r>
    <r>
      <rPr>
        <b/>
        <sz val="11"/>
        <rFont val="Calibri"/>
        <family val="2"/>
        <scheme val="minor"/>
      </rPr>
      <t>Equipment</t>
    </r>
    <r>
      <rPr>
        <sz val="11"/>
        <rFont val="Calibri"/>
        <family val="2"/>
        <scheme val="minor"/>
      </rPr>
      <t xml:space="preserve">:
clock 220124- due 5/2027, tape 160512,  due 6/25, Torque 84402, due 10/23, Fixture 60358, Timer 166445, due 4/25
</t>
    </r>
    <r>
      <rPr>
        <b/>
        <sz val="11"/>
        <rFont val="Calibri"/>
        <family val="2"/>
        <scheme val="minor"/>
      </rPr>
      <t>Conditions</t>
    </r>
    <r>
      <rPr>
        <sz val="11"/>
        <rFont val="Calibri"/>
        <family val="2"/>
        <scheme val="minor"/>
      </rPr>
      <t>:  ambient, monitored</t>
    </r>
  </si>
  <si>
    <t>Jimmy L. Peoples Jr. - 14623</t>
  </si>
  <si>
    <t>project 4790552664</t>
  </si>
  <si>
    <t>Ryan 31761</t>
  </si>
  <si>
    <t>IEEE C57.13-2016, CSA C61869-1 (1st Ed)</t>
  </si>
  <si>
    <t>project  4790756851</t>
  </si>
  <si>
    <t>walk/talk through, testing was already done.  Sample 5798408, 5826799</t>
  </si>
  <si>
    <r>
      <rPr>
        <b/>
        <sz val="11"/>
        <rFont val="Calibri"/>
        <family val="2"/>
        <scheme val="minor"/>
      </rPr>
      <t>Witness test</t>
    </r>
    <r>
      <rPr>
        <sz val="11"/>
        <rFont val="Calibri"/>
        <family val="2"/>
        <scheme val="minor"/>
      </rPr>
      <t xml:space="preserve">:  Reviewed magnesis), labware system, sample 5833508,  
</t>
    </r>
    <r>
      <rPr>
        <b/>
        <sz val="11"/>
        <rFont val="Calibri"/>
        <family val="2"/>
        <scheme val="minor"/>
      </rPr>
      <t>Critical consumables</t>
    </r>
    <r>
      <rPr>
        <sz val="11"/>
        <rFont val="Calibri"/>
        <family val="2"/>
        <scheme val="minor"/>
      </rPr>
      <t xml:space="preserve">:
TC-J Type - 150652
</t>
    </r>
    <r>
      <rPr>
        <b/>
        <sz val="11"/>
        <rFont val="Calibri"/>
        <family val="2"/>
        <scheme val="minor"/>
      </rPr>
      <t>Equipment</t>
    </r>
    <r>
      <rPr>
        <sz val="11"/>
        <rFont val="Calibri"/>
        <family val="2"/>
        <scheme val="minor"/>
      </rPr>
      <t xml:space="preserve">:
shunt 73117- due 9/2023, Timer 194987 due 3/26, MM 26198 due 9/23, datalogger 137794 due 4/24, SW 134555, version 282.10
</t>
    </r>
    <r>
      <rPr>
        <b/>
        <sz val="11"/>
        <rFont val="Calibri"/>
        <family val="2"/>
        <scheme val="minor"/>
      </rPr>
      <t>Conditions</t>
    </r>
    <r>
      <rPr>
        <sz val="11"/>
        <rFont val="Calibri"/>
        <family val="2"/>
        <scheme val="minor"/>
      </rPr>
      <t>:  ambient, monitored</t>
    </r>
  </si>
  <si>
    <t>2023-100-2</t>
  </si>
  <si>
    <t xml:space="preserve">2023-100-01 (blotter paper), 2023-100-03 (no footer in DS), </t>
  </si>
  <si>
    <t xml:space="preserve">Please see "Selection and Verification" tabs below for additional information.  </t>
  </si>
  <si>
    <t>Reviewed TCD, Qualification Records , and Competency monitoring.
Note : Ryan C is still in training but reviewed qualification record progress.     No  completed OJT files:  Form-ULID-000612 (DCS:00-LO-F0862) On the Job Training – Generic Core,  or Form-ULID-000613 (DCS:00-LO-F0863)  On the Job Training – Generic Test Skill </t>
  </si>
  <si>
    <t>Accreditation/ Regulation Status</t>
  </si>
  <si>
    <t>NBK EPT Lab</t>
  </si>
  <si>
    <t xml:space="preserve">GCAR database, </t>
  </si>
  <si>
    <t>none since last audit - discuss CAR process</t>
  </si>
  <si>
    <t>Project datasheets through Labware, Trelo board, and ECM - see method selection below</t>
  </si>
  <si>
    <t>Reviewed a few logs entered.
Lab staff are able to determine non-cconformances and complaint and know how and when to bring it to management.</t>
  </si>
  <si>
    <t>discussed process, saw internal log - reagent water issue</t>
  </si>
  <si>
    <t>Calibration labels and consumables.
See test demonstrations below for additional details.  
Equipment calibration stickers reviewed as part of test demonstration.
lab confirms that they are using calibrated equipment and lab support verifies or acquires appropriate services.</t>
  </si>
  <si>
    <t>Policy-ULID-000877 (DCS:00-OP-P0400); Issue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</si>
</sst>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8"/>
      <color theme="1"/>
      <name val="Calibri"/>
      <family val="2"/>
      <scheme val="minor"/>
    </font>
    <font>
      <sz val="8"/>
      <name val="Calibri"/>
      <family val="2"/>
      <scheme val="minor"/>
    </font>
    <font>
      <b/>
      <sz val="11"/>
      <color theme="0"/>
      <name val="Calibri"/>
      <family val="2"/>
      <scheme val="minor"/>
    </font>
  </fonts>
  <fills count="22">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rgb="FFEDEDED"/>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s>
  <cellStyleXfs count="1">
    <xf numFmtId="0" fontId="0" fillId="0" borderId="0"/>
  </cellStyleXfs>
  <cellXfs count="8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0" borderId="0" xfId="0" applyFill="1" applyAlignment="1">
      <alignment horizontal="center"/>
    </xf>
    <xf numFmtId="0" fontId="0" fillId="2" borderId="1" xfId="0" applyFill="1" applyBorder="1" applyAlignment="1">
      <alignment horizontal="center" wrapText="1"/>
    </xf>
    <xf numFmtId="0" fontId="0" fillId="0" borderId="0" xfId="0" applyAlignment="1">
      <alignment horizontal="center"/>
    </xf>
    <xf numFmtId="0" fontId="0" fillId="2" borderId="1" xfId="0" applyFill="1" applyBorder="1" applyAlignment="1"/>
    <xf numFmtId="0" fontId="6" fillId="0" borderId="0" xfId="0" applyFont="1"/>
    <xf numFmtId="0" fontId="11" fillId="0" borderId="0" xfId="0" applyFont="1"/>
    <xf numFmtId="14" fontId="0" fillId="0" borderId="0" xfId="0" applyNumberFormat="1"/>
    <xf numFmtId="15" fontId="0" fillId="0" borderId="0" xfId="0" applyNumberFormat="1" applyAlignment="1">
      <alignment horizontal="center"/>
    </xf>
    <xf numFmtId="0" fontId="1" fillId="3" borderId="1" xfId="0" applyFont="1" applyFill="1" applyBorder="1" applyAlignment="1">
      <alignment horizontal="center"/>
    </xf>
    <xf numFmtId="0" fontId="6" fillId="2" borderId="1" xfId="0" applyFont="1" applyFill="1" applyBorder="1" applyAlignment="1">
      <alignment horizontal="center" wrapText="1"/>
    </xf>
    <xf numFmtId="0" fontId="0" fillId="2" borderId="1" xfId="0"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wrapText="1"/>
    </xf>
    <xf numFmtId="0" fontId="7" fillId="2" borderId="1" xfId="0" applyFont="1" applyFill="1" applyBorder="1" applyAlignment="1">
      <alignment vertical="top" wrapText="1"/>
    </xf>
    <xf numFmtId="0" fontId="7" fillId="17" borderId="2" xfId="0" applyFont="1" applyFill="1" applyBorder="1" applyAlignment="1">
      <alignment vertical="center" wrapText="1"/>
    </xf>
    <xf numFmtId="0" fontId="0" fillId="2" borderId="1" xfId="0" applyFont="1" applyFill="1" applyBorder="1" applyAlignment="1">
      <alignment wrapText="1"/>
    </xf>
    <xf numFmtId="0" fontId="0" fillId="2" borderId="1" xfId="0" applyFont="1" applyFill="1" applyBorder="1" applyAlignment="1">
      <alignment vertical="top" wrapText="1"/>
    </xf>
    <xf numFmtId="0" fontId="12" fillId="0" borderId="0" xfId="0" applyFont="1" applyAlignment="1">
      <alignment horizontal="left"/>
    </xf>
    <xf numFmtId="0" fontId="14" fillId="18" borderId="3" xfId="0" applyFont="1" applyFill="1" applyBorder="1" applyAlignment="1">
      <alignment wrapText="1"/>
    </xf>
    <xf numFmtId="0" fontId="14" fillId="14" borderId="3" xfId="0" applyFont="1" applyFill="1" applyBorder="1" applyAlignment="1">
      <alignment wrapText="1"/>
    </xf>
    <xf numFmtId="0" fontId="14" fillId="19" borderId="3" xfId="0" applyFont="1" applyFill="1" applyBorder="1" applyAlignment="1">
      <alignment wrapText="1"/>
    </xf>
    <xf numFmtId="0" fontId="14" fillId="20" borderId="3" xfId="0" applyFont="1" applyFill="1" applyBorder="1"/>
    <xf numFmtId="0" fontId="14" fillId="18" borderId="4" xfId="0" applyFont="1" applyFill="1" applyBorder="1"/>
    <xf numFmtId="0" fontId="14" fillId="18" borderId="5" xfId="0" applyFont="1" applyFill="1" applyBorder="1"/>
    <xf numFmtId="0" fontId="14" fillId="18" borderId="3" xfId="0" applyFont="1" applyFill="1" applyBorder="1"/>
    <xf numFmtId="0" fontId="1" fillId="18" borderId="3" xfId="0" applyFont="1" applyFill="1" applyBorder="1"/>
    <xf numFmtId="0" fontId="0" fillId="21" borderId="5" xfId="0" applyFill="1" applyBorder="1"/>
    <xf numFmtId="0" fontId="0" fillId="21" borderId="3" xfId="0" applyFill="1" applyBorder="1"/>
    <xf numFmtId="0" fontId="6" fillId="21" borderId="3" xfId="0" applyFont="1" applyFill="1" applyBorder="1"/>
    <xf numFmtId="0" fontId="0" fillId="21" borderId="4" xfId="0" applyFill="1" applyBorder="1"/>
  </cellXfs>
  <cellStyles count="1">
    <cellStyle name="Normal" xfId="0" builtinId="0"/>
  </cellStyles>
  <dxfs count="21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4</xdr:col>
      <xdr:colOff>180561</xdr:colOff>
      <xdr:row>2</xdr:row>
      <xdr:rowOff>123576</xdr:rowOff>
    </xdr:from>
    <xdr:to>
      <xdr:col>10</xdr:col>
      <xdr:colOff>331</xdr:colOff>
      <xdr:row>11</xdr:row>
      <xdr:rowOff>173355</xdr:rowOff>
    </xdr:to>
    <xdr:sp macro="" textlink="">
      <xdr:nvSpPr>
        <xdr:cNvPr id="2" name="TextBox 1">
          <a:extLst>
            <a:ext uri="{FF2B5EF4-FFF2-40B4-BE49-F238E27FC236}">
              <a16:creationId xmlns:a16="http://schemas.microsoft.com/office/drawing/2014/main" id="{27E5FF8B-4C01-4DE3-A72C-F8B50AD7E517}"/>
            </a:ext>
          </a:extLst>
        </xdr:cNvPr>
        <xdr:cNvSpPr txBox="1"/>
      </xdr:nvSpPr>
      <xdr:spPr>
        <a:xfrm>
          <a:off x="4394421" y="489336"/>
          <a:ext cx="3477370" cy="1695699"/>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r>
            <a:rPr lang="en-US" sz="1100" b="1"/>
            <a:t>OFI  1- </a:t>
          </a:r>
          <a:r>
            <a:rPr lang="en-US" sz="1100" b="0"/>
            <a:t>consider</a:t>
          </a:r>
          <a:r>
            <a:rPr lang="en-US" sz="1100" b="0" baseline="0"/>
            <a:t> adding tech peer audit results to the Compentency Monitoring form.</a:t>
          </a:r>
        </a:p>
        <a:p>
          <a:r>
            <a:rPr lang="en-US" sz="1100" b="1">
              <a:solidFill>
                <a:schemeClr val="dk1"/>
              </a:solidFill>
              <a:effectLst/>
              <a:latin typeface="+mn-lt"/>
              <a:ea typeface="+mn-ea"/>
              <a:cs typeface="+mn-cs"/>
            </a:rPr>
            <a:t>OFI  2- </a:t>
          </a:r>
          <a:r>
            <a:rPr lang="en-US" sz="1100" b="0">
              <a:solidFill>
                <a:schemeClr val="dk1"/>
              </a:solidFill>
              <a:effectLst/>
              <a:latin typeface="+mn-lt"/>
              <a:ea typeface="+mn-ea"/>
              <a:cs typeface="+mn-cs"/>
            </a:rPr>
            <a:t>consider asking the PH for datasheet footer when missing</a:t>
          </a: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3- </a:t>
          </a:r>
          <a:r>
            <a:rPr lang="en-US" sz="1100" b="0">
              <a:solidFill>
                <a:schemeClr val="dk1"/>
              </a:solidFill>
              <a:effectLst/>
              <a:latin typeface="+mn-lt"/>
              <a:ea typeface="+mn-ea"/>
              <a:cs typeface="+mn-cs"/>
            </a:rPr>
            <a:t>consider reminding</a:t>
          </a:r>
          <a:r>
            <a:rPr lang="en-US" sz="1100" b="0" baseline="0">
              <a:solidFill>
                <a:schemeClr val="dk1"/>
              </a:solidFill>
              <a:effectLst/>
              <a:latin typeface="+mn-lt"/>
              <a:ea typeface="+mn-ea"/>
              <a:cs typeface="+mn-cs"/>
            </a:rPr>
            <a:t> lab techs that oven indicators without calibration stickers means 'non-calibrated equipment' and should not be used for testing without verification</a:t>
          </a:r>
          <a:endParaRPr lang="en-US">
            <a:effectLst/>
          </a:endParaRPr>
        </a:p>
        <a:p>
          <a:endParaRPr lang="en-US" sz="1100" b="0" baseline="0"/>
        </a:p>
        <a:p>
          <a:endParaRPr lang="en-US" sz="1100"/>
        </a:p>
      </xdr:txBody>
    </xdr:sp>
    <xdr:clientData/>
  </xdr:twoCellAnchor>
  <xdr:twoCellAnchor>
    <xdr:from>
      <xdr:col>10</xdr:col>
      <xdr:colOff>155796</xdr:colOff>
      <xdr:row>2</xdr:row>
      <xdr:rowOff>93096</xdr:rowOff>
    </xdr:from>
    <xdr:to>
      <xdr:col>15</xdr:col>
      <xdr:colOff>585166</xdr:colOff>
      <xdr:row>20</xdr:row>
      <xdr:rowOff>159327</xdr:rowOff>
    </xdr:to>
    <xdr:sp macro="" textlink="">
      <xdr:nvSpPr>
        <xdr:cNvPr id="3" name="TextBox 2">
          <a:extLst>
            <a:ext uri="{FF2B5EF4-FFF2-40B4-BE49-F238E27FC236}">
              <a16:creationId xmlns:a16="http://schemas.microsoft.com/office/drawing/2014/main" id="{9908208B-BA03-6677-9DAF-EAA8FA390C89}"/>
            </a:ext>
          </a:extLst>
        </xdr:cNvPr>
        <xdr:cNvSpPr txBox="1"/>
      </xdr:nvSpPr>
      <xdr:spPr>
        <a:xfrm>
          <a:off x="8032105" y="453314"/>
          <a:ext cx="3477370" cy="330819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2023-100-1: (</a:t>
          </a:r>
          <a:r>
            <a:rPr lang="en-US" sz="1100" b="1" i="1" u="sng" baseline="0">
              <a:solidFill>
                <a:sysClr val="windowText" lastClr="000000"/>
              </a:solidFill>
            </a:rPr>
            <a:t>Jason Tito</a:t>
          </a:r>
          <a:r>
            <a:rPr lang="en-US" sz="1100" b="1" baseline="0">
              <a:solidFill>
                <a:sysClr val="windowText" lastClr="000000"/>
              </a:solidFill>
            </a:rPr>
            <a:t>)</a:t>
          </a:r>
        </a:p>
        <a:p>
          <a:endParaRPr lang="en-US" sz="1100" b="1" baseline="0"/>
        </a:p>
        <a:p>
          <a:r>
            <a:rPr lang="en-US" sz="1100">
              <a:solidFill>
                <a:schemeClr val="dk1"/>
              </a:solidFill>
              <a:effectLst/>
              <a:latin typeface="+mn-lt"/>
              <a:ea typeface="+mn-ea"/>
              <a:cs typeface="+mn-cs"/>
            </a:rPr>
            <a:t>Project 4790601266  forMilwaukee, Battery Output/ Battery Temperature and Electrolyte leakage test.</a:t>
          </a:r>
        </a:p>
        <a:p>
          <a:r>
            <a:rPr lang="en-US" sz="1100">
              <a:solidFill>
                <a:schemeClr val="dk1"/>
              </a:solidFill>
              <a:effectLst/>
              <a:latin typeface="+mn-lt"/>
              <a:ea typeface="+mn-ea"/>
              <a:cs typeface="+mn-cs"/>
            </a:rPr>
            <a:t>CAN/CSA-C22.2 No. 60079-11:14 section 10.5.2 specifies Blotting Paper is to be used for the Electrolyte Leakage portion of the test for a leakage indicator however the lab was using tissue paper. </a:t>
          </a:r>
        </a:p>
        <a:p>
          <a:endParaRPr lang="en-US" sz="1100">
            <a:solidFill>
              <a:schemeClr val="dk1"/>
            </a:solidFill>
            <a:effectLst/>
            <a:latin typeface="+mn-lt"/>
            <a:ea typeface="+mn-ea"/>
            <a:cs typeface="+mn-cs"/>
          </a:endParaRPr>
        </a:p>
        <a:p>
          <a:r>
            <a:rPr lang="en-US" sz="1100" b="0" baseline="0">
              <a:solidFill>
                <a:schemeClr val="dk1"/>
              </a:solidFill>
              <a:effectLst/>
              <a:latin typeface="+mn-lt"/>
              <a:ea typeface="+mn-ea"/>
              <a:cs typeface="+mn-cs"/>
            </a:rPr>
            <a:t>This above issue was raised on a different test in last year's audit (2022-141-IQA) but a decision (based on engineering input) was made that they were not significantly different.  The PrE for </a:t>
          </a:r>
          <a:r>
            <a:rPr lang="en-US" sz="1100">
              <a:solidFill>
                <a:schemeClr val="dk1"/>
              </a:solidFill>
              <a:effectLst/>
              <a:latin typeface="+mn-lt"/>
              <a:ea typeface="+mn-ea"/>
              <a:cs typeface="+mn-cs"/>
            </a:rPr>
            <a:t>60079-11 </a:t>
          </a:r>
          <a:r>
            <a:rPr lang="en-US" sz="1100" b="0" baseline="0">
              <a:solidFill>
                <a:schemeClr val="dk1"/>
              </a:solidFill>
              <a:effectLst/>
              <a:latin typeface="+mn-lt"/>
              <a:ea typeface="+mn-ea"/>
              <a:cs typeface="+mn-cs"/>
            </a:rPr>
            <a:t>(Paul Kelly) was contacted via email on Mar 27, 2023 and replied that "</a:t>
          </a:r>
          <a:r>
            <a:rPr lang="en-US" sz="1100">
              <a:solidFill>
                <a:schemeClr val="dk1"/>
              </a:solidFill>
              <a:effectLst/>
              <a:latin typeface="+mn-lt"/>
              <a:ea typeface="+mn-ea"/>
              <a:cs typeface="+mn-cs"/>
            </a:rPr>
            <a:t>blotting paper... has different characteristics than tissue paper.  Based on this understanding, tissue paper should not be used as an alternative to blotting paper".</a:t>
          </a:r>
          <a:endParaRPr lang="en-US" sz="1100" b="0" baseline="0"/>
        </a:p>
        <a:p>
          <a:endParaRPr lang="en-US" sz="1100"/>
        </a:p>
      </xdr:txBody>
    </xdr:sp>
    <xdr:clientData/>
  </xdr:twoCellAnchor>
  <xdr:twoCellAnchor>
    <xdr:from>
      <xdr:col>4</xdr:col>
      <xdr:colOff>174846</xdr:colOff>
      <xdr:row>12</xdr:row>
      <xdr:rowOff>167390</xdr:rowOff>
    </xdr:from>
    <xdr:to>
      <xdr:col>9</xdr:col>
      <xdr:colOff>604216</xdr:colOff>
      <xdr:row>21</xdr:row>
      <xdr:rowOff>190499</xdr:rowOff>
    </xdr:to>
    <xdr:sp macro="" textlink="">
      <xdr:nvSpPr>
        <xdr:cNvPr id="4" name="TextBox 3">
          <a:extLst>
            <a:ext uri="{FF2B5EF4-FFF2-40B4-BE49-F238E27FC236}">
              <a16:creationId xmlns:a16="http://schemas.microsoft.com/office/drawing/2014/main" id="{1C5A79FC-C184-CFBA-0A47-A529798730AC}"/>
            </a:ext>
          </a:extLst>
        </xdr:cNvPr>
        <xdr:cNvSpPr txBox="1"/>
      </xdr:nvSpPr>
      <xdr:spPr>
        <a:xfrm>
          <a:off x="4270596" y="2453390"/>
          <a:ext cx="3460052" cy="1737609"/>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2023-100-2: (</a:t>
          </a:r>
          <a:r>
            <a:rPr lang="en-US" sz="1100" b="1" i="1" u="sng" baseline="0">
              <a:solidFill>
                <a:sysClr val="windowText" lastClr="000000"/>
              </a:solidFill>
            </a:rPr>
            <a:t>Atul Kapur, Chris H as assist</a:t>
          </a:r>
          <a:r>
            <a:rPr lang="en-US" sz="1100" b="1" baseline="0"/>
            <a:t>)</a:t>
          </a:r>
        </a:p>
        <a:p>
          <a:endParaRPr lang="en-US" sz="1100" b="1" baseline="0"/>
        </a:p>
        <a:p>
          <a:r>
            <a:rPr lang="en-US" sz="1100">
              <a:solidFill>
                <a:schemeClr val="dk1"/>
              </a:solidFill>
              <a:effectLst/>
              <a:latin typeface="+mn-lt"/>
              <a:ea typeface="+mn-ea"/>
              <a:cs typeface="+mn-cs"/>
            </a:rPr>
            <a:t>UL 5085-2, ed 2, Temp Test, EPT Wire</a:t>
          </a:r>
        </a:p>
        <a:p>
          <a:r>
            <a:rPr lang="en-US" sz="1100">
              <a:solidFill>
                <a:schemeClr val="dk1"/>
              </a:solidFill>
              <a:effectLst/>
              <a:latin typeface="+mn-lt"/>
              <a:ea typeface="+mn-ea"/>
              <a:cs typeface="+mn-cs"/>
            </a:rPr>
            <a:t>COR (change of resistance) spreadsheet</a:t>
          </a:r>
          <a:r>
            <a:rPr lang="en-US" sz="1100" baseline="0">
              <a:solidFill>
                <a:schemeClr val="dk1"/>
              </a:solidFill>
              <a:effectLst/>
              <a:latin typeface="+mn-lt"/>
              <a:ea typeface="+mn-ea"/>
              <a:cs typeface="+mn-cs"/>
            </a:rPr>
            <a:t> being used in project 4790437653 for the Temp Test does not have a software validation record</a:t>
          </a:r>
          <a:r>
            <a:rPr lang="en-US" sz="1100">
              <a:solidFill>
                <a:schemeClr val="dk1"/>
              </a:solidFill>
              <a:effectLst/>
              <a:latin typeface="+mn-lt"/>
              <a:ea typeface="+mn-ea"/>
              <a:cs typeface="+mn-cs"/>
            </a:rPr>
            <a:t>.  See SOP ULID-000677, issue</a:t>
          </a:r>
          <a:r>
            <a:rPr lang="en-US" sz="1100" baseline="0">
              <a:solidFill>
                <a:schemeClr val="dk1"/>
              </a:solidFill>
              <a:effectLst/>
              <a:latin typeface="+mn-lt"/>
              <a:ea typeface="+mn-ea"/>
              <a:cs typeface="+mn-cs"/>
            </a:rPr>
            <a:t> 8.  </a:t>
          </a:r>
          <a:r>
            <a:rPr lang="en-US" sz="1100"/>
            <a:t>See also </a:t>
          </a:r>
          <a:r>
            <a:rPr lang="en-US" sz="1100">
              <a:solidFill>
                <a:schemeClr val="dk1"/>
              </a:solidFill>
              <a:effectLst/>
              <a:latin typeface="+mn-lt"/>
              <a:ea typeface="+mn-ea"/>
              <a:cs typeface="+mn-cs"/>
            </a:rPr>
            <a:t>Custom Test Software Development SOP: </a:t>
          </a:r>
          <a:r>
            <a:rPr lang="en-US" sz="1100" b="1">
              <a:solidFill>
                <a:schemeClr val="dk1"/>
              </a:solidFill>
              <a:effectLst/>
              <a:latin typeface="+mn-lt"/>
              <a:ea typeface="+mn-ea"/>
              <a:cs typeface="+mn-cs"/>
            </a:rPr>
            <a:t>(DCS: 00-L0-S0402) – Issue 6.0, clause 9.3</a:t>
          </a:r>
          <a:endParaRPr lang="en-US" sz="1100">
            <a:solidFill>
              <a:schemeClr val="dk1"/>
            </a:solidFill>
            <a:effectLst/>
            <a:latin typeface="+mn-lt"/>
            <a:ea typeface="+mn-ea"/>
            <a:cs typeface="+mn-cs"/>
          </a:endParaRPr>
        </a:p>
        <a:p>
          <a:endParaRPr lang="en-US" sz="1100"/>
        </a:p>
      </xdr:txBody>
    </xdr:sp>
    <xdr:clientData/>
  </xdr:twoCellAnchor>
  <xdr:twoCellAnchor>
    <xdr:from>
      <xdr:col>4</xdr:col>
      <xdr:colOff>186968</xdr:colOff>
      <xdr:row>22</xdr:row>
      <xdr:rowOff>80454</xdr:rowOff>
    </xdr:from>
    <xdr:to>
      <xdr:col>10</xdr:col>
      <xdr:colOff>6738</xdr:colOff>
      <xdr:row>28</xdr:row>
      <xdr:rowOff>126422</xdr:rowOff>
    </xdr:to>
    <xdr:sp macro="" textlink="">
      <xdr:nvSpPr>
        <xdr:cNvPr id="7" name="TextBox 6">
          <a:extLst>
            <a:ext uri="{FF2B5EF4-FFF2-40B4-BE49-F238E27FC236}">
              <a16:creationId xmlns:a16="http://schemas.microsoft.com/office/drawing/2014/main" id="{6BE41F30-7EE4-1B2C-6746-677F93182EAB}"/>
            </a:ext>
          </a:extLst>
        </xdr:cNvPr>
        <xdr:cNvSpPr txBox="1"/>
      </xdr:nvSpPr>
      <xdr:spPr>
        <a:xfrm>
          <a:off x="4282718" y="4271454"/>
          <a:ext cx="3456588" cy="118896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2023-100-3: (</a:t>
          </a:r>
          <a:r>
            <a:rPr lang="en-US" sz="1100" b="1" i="1" u="sng" baseline="0">
              <a:solidFill>
                <a:schemeClr val="dk1"/>
              </a:solidFill>
              <a:effectLst/>
              <a:latin typeface="+mn-lt"/>
              <a:ea typeface="+mn-ea"/>
              <a:cs typeface="+mn-cs"/>
            </a:rPr>
            <a:t>Paul  </a:t>
          </a:r>
          <a:r>
            <a:rPr lang="en-US" sz="1100" b="1" i="1" u="sng" baseline="0">
              <a:solidFill>
                <a:sysClr val="windowText" lastClr="000000"/>
              </a:solidFill>
            </a:rPr>
            <a:t>Salamondra?</a:t>
          </a:r>
          <a:r>
            <a:rPr lang="en-US" sz="1100" b="1" baseline="0">
              <a:solidFill>
                <a:sysClr val="windowText" lastClr="000000"/>
              </a:solidFill>
            </a:rPr>
            <a:t>) for Michael Halverson</a:t>
          </a:r>
        </a:p>
        <a:p>
          <a:endParaRPr lang="en-US" sz="1100" b="1" baseline="0"/>
        </a:p>
        <a:p>
          <a:r>
            <a:rPr lang="en-US" sz="1100">
              <a:solidFill>
                <a:schemeClr val="dk1"/>
              </a:solidFill>
              <a:effectLst/>
              <a:latin typeface="+mn-lt"/>
              <a:ea typeface="+mn-ea"/>
              <a:cs typeface="+mn-cs"/>
            </a:rPr>
            <a:t>Datasheet used for Project 4790601266 </a:t>
          </a:r>
          <a:r>
            <a:rPr lang="en-US" sz="1100" baseline="0">
              <a:solidFill>
                <a:schemeClr val="dk1"/>
              </a:solidFill>
              <a:effectLst/>
              <a:latin typeface="+mn-lt"/>
              <a:ea typeface="+mn-ea"/>
              <a:cs typeface="+mn-cs"/>
            </a:rPr>
            <a:t>showed no evidence of document control, no identification or revision.</a:t>
          </a:r>
          <a:endParaRPr lang="en-US" sz="1100" b="0" baseline="0"/>
        </a:p>
        <a:p>
          <a:endParaRPr lang="en-US" sz="1100"/>
        </a:p>
      </xdr:txBody>
    </xdr:sp>
    <xdr:clientData/>
  </xdr:twoCellAnchor>
  <xdr:twoCellAnchor>
    <xdr:from>
      <xdr:col>10</xdr:col>
      <xdr:colOff>219873</xdr:colOff>
      <xdr:row>21</xdr:row>
      <xdr:rowOff>161849</xdr:rowOff>
    </xdr:from>
    <xdr:to>
      <xdr:col>16</xdr:col>
      <xdr:colOff>39643</xdr:colOff>
      <xdr:row>28</xdr:row>
      <xdr:rowOff>27708</xdr:rowOff>
    </xdr:to>
    <xdr:sp macro="" textlink="">
      <xdr:nvSpPr>
        <xdr:cNvPr id="8" name="TextBox 7">
          <a:extLst>
            <a:ext uri="{FF2B5EF4-FFF2-40B4-BE49-F238E27FC236}">
              <a16:creationId xmlns:a16="http://schemas.microsoft.com/office/drawing/2014/main" id="{4203668A-3D8D-71D0-B572-E827F4806DBA}"/>
            </a:ext>
          </a:extLst>
        </xdr:cNvPr>
        <xdr:cNvSpPr txBox="1"/>
      </xdr:nvSpPr>
      <xdr:spPr>
        <a:xfrm>
          <a:off x="8096182" y="3944140"/>
          <a:ext cx="3477370" cy="1126623"/>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rtl="0"/>
          <a:r>
            <a:rPr lang="en-US" sz="1100" b="1"/>
            <a:t>Prior</a:t>
          </a:r>
          <a:r>
            <a:rPr lang="en-US" sz="1100" b="1" baseline="0"/>
            <a:t> </a:t>
          </a:r>
          <a:r>
            <a:rPr lang="en-US" sz="1100" b="1"/>
            <a:t>CAR</a:t>
          </a:r>
          <a:r>
            <a:rPr lang="en-US" sz="1100" b="1" baseline="0"/>
            <a:t> </a:t>
          </a:r>
          <a:r>
            <a:rPr lang="en-US" sz="1100" b="1" i="0" u="none" strike="noStrike" baseline="0">
              <a:solidFill>
                <a:schemeClr val="dk1"/>
              </a:solidFill>
              <a:latin typeface="+mn-lt"/>
              <a:ea typeface="+mn-ea"/>
              <a:cs typeface="+mn-cs"/>
            </a:rPr>
            <a:t>223925063 - Verified </a:t>
          </a:r>
          <a:r>
            <a:rPr lang="en-US" sz="1100" b="0" i="0" u="none" strike="noStrike" baseline="0">
              <a:solidFill>
                <a:schemeClr val="dk1"/>
              </a:solidFill>
              <a:latin typeface="+mn-lt"/>
              <a:ea typeface="+mn-ea"/>
              <a:cs typeface="+mn-cs"/>
            </a:rPr>
            <a:t>24 pieces of equipment were entered into meter use properly from staff reporting to Chris Haack including the tech who had the original error.</a:t>
          </a:r>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A97F06-C9DD-4F0C-944C-7F8B52D51E9F}" name="Table2" displayName="Table2" ref="A4:D17" totalsRowShown="0">
  <autoFilter ref="A4:D17" xr:uid="{9AED5F9A-4A45-4603-95B2-D2D26EA875DA}"/>
  <tableColumns count="4">
    <tableColumn id="1" xr3:uid="{A55B80E0-F4B6-42B4-BC90-D5882E9205CD}" name="Name"/>
    <tableColumn id="2" xr3:uid="{680CC1F2-2BB9-4EE9-B131-BD1F5654F715}" name="Title/role"/>
    <tableColumn id="3" xr3:uid="{1987BB9C-42DD-4A07-AA84-1827CC729500}" name="Opening" dataDxfId="218"/>
    <tableColumn id="4" xr3:uid="{AD893085-F1F0-4B96-BF93-7321BB475B35}" name="Closing " dataDxfId="217"/>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0B34F759-136C-494C-807D-25B82A608D96}">
    <text>When looking test method,  need further discussion for additional form or pathnote</text>
  </threadedComment>
  <threadedComment ref="Q29" dT="2020-09-22T15:02:37.15" personId="{AC51E8DC-BF1C-40B5-8E58-84AE25CE4664}" id="{42B55CE0-188D-4171-8D4E-EAE3CA8DA40B}">
    <text>When looking test method,  need further discussion for additional form or pathnote</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3D861317-9DED-43AE-810D-9D01F6671696}">
    <text>When looking test method,  need further discussion for additional form or pathnote</text>
  </threadedComment>
  <threadedComment ref="Q29" dT="2020-09-22T15:02:37.15" personId="{AC51E8DC-BF1C-40B5-8E58-84AE25CE4664}" id="{4902CFF7-4DA1-4B8F-A3AC-4FC0E2545188}">
    <text>When looking test method,  need further discussion for additional form or pathnote</text>
  </threadedComment>
  <threadedComment ref="Q30" dT="2020-09-22T15:02:37.15" personId="{AC51E8DC-BF1C-40B5-8E58-84AE25CE4664}" id="{FD9F19D6-EF3A-4F29-BE46-77233D6AACD5}">
    <text>When looking test method,  need further discussion for additional form or pathnote</text>
  </threadedComment>
  <threadedComment ref="Q31" dT="2020-09-22T15:02:37.15" personId="{AC51E8DC-BF1C-40B5-8E58-84AE25CE4664}" id="{8B761B91-3776-4FC8-B912-84CF90FE2624}">
    <text>When looking test method,  need further discussion for additional form or pathnote</text>
  </threadedComment>
  <threadedComment ref="Q32" dT="2020-09-22T15:02:37.15" personId="{AC51E8DC-BF1C-40B5-8E58-84AE25CE4664}" id="{0875F7D5-9DEC-4DB4-A44B-9D3080569217}">
    <text>When looking test method,  need further discussion for additional form or pathnote</text>
  </threadedComment>
  <threadedComment ref="Q33" dT="2020-09-22T15:02:37.15" personId="{AC51E8DC-BF1C-40B5-8E58-84AE25CE4664}" id="{E773F340-999A-45EE-87C5-A73ACD443115}">
    <text>When looking test method,  need further discussion for additional form or pathnote</text>
  </threadedComment>
  <threadedComment ref="Q34" dT="2020-09-22T15:02:37.15" personId="{AC51E8DC-BF1C-40B5-8E58-84AE25CE4664}" id="{19EDF088-DBB3-4279-95E4-FB19D5DD9C90}">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workbookViewId="0"/>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216" priority="60">
      <formula>COUNTBLANK($F3)</formula>
    </cfRule>
  </conditionalFormatting>
  <conditionalFormatting sqref="I7 I27:I32">
    <cfRule type="expression" dxfId="215" priority="58">
      <formula>COUNTBLANK($I7)</formula>
    </cfRule>
  </conditionalFormatting>
  <conditionalFormatting sqref="G3:G32">
    <cfRule type="expression" dxfId="214" priority="50">
      <formula>COUNTBLANK($G3)</formula>
    </cfRule>
  </conditionalFormatting>
  <conditionalFormatting sqref="H3:H32">
    <cfRule type="expression" dxfId="213" priority="49">
      <formula>COUNTBLANK($H3)</formula>
    </cfRule>
  </conditionalFormatting>
  <conditionalFormatting sqref="A3">
    <cfRule type="expression" dxfId="212" priority="40">
      <formula>COUNTBLANK($F3:$H3)</formula>
    </cfRule>
  </conditionalFormatting>
  <conditionalFormatting sqref="I11:I12">
    <cfRule type="expression" dxfId="211" priority="36">
      <formula>COUNTBLANK($I11)</formula>
    </cfRule>
  </conditionalFormatting>
  <conditionalFormatting sqref="I14:I18">
    <cfRule type="expression" dxfId="210" priority="35">
      <formula>COUNTBLANK($I14)</formula>
    </cfRule>
  </conditionalFormatting>
  <conditionalFormatting sqref="K3:K32">
    <cfRule type="expression" dxfId="209" priority="11">
      <formula>COUNTBLANK($K3)</formula>
    </cfRule>
  </conditionalFormatting>
  <conditionalFormatting sqref="A3">
    <cfRule type="expression" dxfId="208" priority="12">
      <formula>$K3="Not Audited"</formula>
    </cfRule>
    <cfRule type="expression" dxfId="207" priority="13">
      <formula>$K3="Not Applicable"</formula>
    </cfRule>
  </conditionalFormatting>
  <conditionalFormatting sqref="A4:A32">
    <cfRule type="expression" dxfId="206" priority="3">
      <formula>COUNTBLANK($F4:$I4)</formula>
    </cfRule>
  </conditionalFormatting>
  <conditionalFormatting sqref="A4:A32">
    <cfRule type="expression" dxfId="205" priority="1">
      <formula>$K4="Not Audited"</formula>
    </cfRule>
    <cfRule type="expression" dxfId="204"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264A7-0418-4978-B5C1-18D55E00EEA2}">
  <sheetPr codeName="Sheet7"/>
  <dimension ref="A1:R46"/>
  <sheetViews>
    <sheetView zoomScale="80" zoomScaleNormal="80" workbookViewId="0">
      <pane xSplit="1" ySplit="2" topLeftCell="E3" activePane="bottomRight" state="frozen"/>
      <selection pane="topRight" activeCell="B1" sqref="B1"/>
      <selection pane="bottomLeft" activeCell="A3" sqref="A3"/>
      <selection pane="bottomRight" activeCell="E10" sqref="E10"/>
    </sheetView>
  </sheetViews>
  <sheetFormatPr defaultColWidth="9.140625" defaultRowHeight="15" x14ac:dyDescent="0.25"/>
  <cols>
    <col min="1" max="1" width="28.7109375" customWidth="1"/>
    <col min="2" max="5" width="10.7109375" customWidth="1"/>
    <col min="6" max="6" width="23.42578125" customWidth="1"/>
    <col min="7" max="7" width="42.7109375" customWidth="1"/>
    <col min="8" max="8" width="33.42578125" customWidth="1"/>
    <col min="9" max="9" width="30.7109375" style="54"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860</v>
      </c>
      <c r="B1" s="43" t="s">
        <v>864</v>
      </c>
      <c r="D1" s="44" t="s">
        <v>861</v>
      </c>
      <c r="E1" s="43"/>
      <c r="F1" s="45"/>
      <c r="G1" s="45"/>
      <c r="H1" s="45"/>
      <c r="I1" s="52"/>
      <c r="J1" s="45"/>
      <c r="K1" s="45"/>
      <c r="L1" s="45"/>
      <c r="M1" s="45"/>
      <c r="N1" s="45"/>
      <c r="O1" s="45"/>
      <c r="P1" s="46"/>
      <c r="Q1" s="45"/>
      <c r="R1" s="47"/>
    </row>
    <row r="2" spans="1:18" s="3" customFormat="1" ht="85.5" customHeight="1" x14ac:dyDescent="0.25">
      <c r="A2" s="4" t="s">
        <v>61</v>
      </c>
      <c r="B2" s="42" t="s">
        <v>832</v>
      </c>
      <c r="C2" s="60" t="s">
        <v>142</v>
      </c>
      <c r="D2" s="60" t="s">
        <v>143</v>
      </c>
      <c r="E2" s="60"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45" x14ac:dyDescent="0.25">
      <c r="A3" s="2" t="s">
        <v>29</v>
      </c>
      <c r="B3" s="1" t="s">
        <v>827</v>
      </c>
      <c r="C3" s="55" t="s">
        <v>465</v>
      </c>
      <c r="D3" s="55" t="s">
        <v>843</v>
      </c>
      <c r="E3" s="55" t="s">
        <v>800</v>
      </c>
      <c r="F3" s="1" t="s">
        <v>859</v>
      </c>
      <c r="G3" s="1" t="s">
        <v>905</v>
      </c>
      <c r="H3" s="1" t="s">
        <v>859</v>
      </c>
      <c r="I3" s="53" t="s">
        <v>859</v>
      </c>
      <c r="J3" s="62" t="s">
        <v>904</v>
      </c>
      <c r="K3" s="29" t="s">
        <v>840</v>
      </c>
      <c r="L3" s="1"/>
      <c r="M3" s="9"/>
      <c r="N3" s="9"/>
      <c r="O3" s="9"/>
      <c r="P3" s="8" t="s">
        <v>101</v>
      </c>
      <c r="Q3" s="11" t="s">
        <v>35</v>
      </c>
      <c r="R3" s="11" t="s">
        <v>132</v>
      </c>
    </row>
    <row r="4" spans="1:18" s="3" customFormat="1" ht="45" x14ac:dyDescent="0.25">
      <c r="A4" s="2" t="s">
        <v>30</v>
      </c>
      <c r="B4" s="1" t="s">
        <v>827</v>
      </c>
      <c r="C4" s="55" t="s">
        <v>465</v>
      </c>
      <c r="D4" s="55" t="s">
        <v>843</v>
      </c>
      <c r="E4" s="55" t="s">
        <v>800</v>
      </c>
      <c r="F4" s="1" t="s">
        <v>859</v>
      </c>
      <c r="G4" s="1" t="s">
        <v>906</v>
      </c>
      <c r="H4" s="1" t="s">
        <v>859</v>
      </c>
      <c r="I4" s="53" t="s">
        <v>859</v>
      </c>
      <c r="J4" s="62" t="s">
        <v>904</v>
      </c>
      <c r="K4" s="29" t="s">
        <v>840</v>
      </c>
      <c r="L4" s="1"/>
      <c r="M4" s="9"/>
      <c r="N4" s="9"/>
      <c r="O4" s="9"/>
      <c r="P4" s="8" t="s">
        <v>62</v>
      </c>
      <c r="Q4" s="11" t="s">
        <v>36</v>
      </c>
      <c r="R4" s="11"/>
    </row>
    <row r="5" spans="1:18" s="3" customFormat="1" ht="30" x14ac:dyDescent="0.25">
      <c r="A5" s="2" t="s">
        <v>28</v>
      </c>
      <c r="B5" s="1" t="s">
        <v>827</v>
      </c>
      <c r="C5" s="55" t="s">
        <v>465</v>
      </c>
      <c r="D5" s="55" t="s">
        <v>843</v>
      </c>
      <c r="E5" s="55" t="s">
        <v>800</v>
      </c>
      <c r="F5" s="1" t="s">
        <v>859</v>
      </c>
      <c r="G5" s="1" t="s">
        <v>859</v>
      </c>
      <c r="H5" s="1" t="s">
        <v>859</v>
      </c>
      <c r="I5" s="53" t="s">
        <v>859</v>
      </c>
      <c r="J5" s="1" t="s">
        <v>858</v>
      </c>
      <c r="K5" s="29" t="s">
        <v>840</v>
      </c>
      <c r="L5" s="1"/>
      <c r="M5" s="9"/>
      <c r="N5" s="9"/>
      <c r="O5" s="9"/>
      <c r="P5" s="8" t="s">
        <v>101</v>
      </c>
      <c r="Q5" s="8" t="s">
        <v>37</v>
      </c>
      <c r="R5" s="11"/>
    </row>
    <row r="6" spans="1:18" s="3" customFormat="1" ht="275.45" customHeight="1" x14ac:dyDescent="0.25">
      <c r="A6" s="2" t="s">
        <v>2</v>
      </c>
      <c r="B6" s="1" t="s">
        <v>827</v>
      </c>
      <c r="C6" s="55" t="s">
        <v>465</v>
      </c>
      <c r="D6" s="55" t="s">
        <v>843</v>
      </c>
      <c r="E6" s="55" t="s">
        <v>800</v>
      </c>
      <c r="F6" s="51" t="s">
        <v>847</v>
      </c>
      <c r="G6" s="63" t="s">
        <v>907</v>
      </c>
      <c r="H6" s="51" t="s">
        <v>959</v>
      </c>
      <c r="I6" s="53">
        <v>2</v>
      </c>
      <c r="J6" s="1"/>
      <c r="K6" s="29" t="s">
        <v>148</v>
      </c>
      <c r="L6" s="1"/>
      <c r="M6" s="9"/>
      <c r="N6" s="9"/>
      <c r="O6" s="9"/>
      <c r="P6" s="8" t="s">
        <v>101</v>
      </c>
      <c r="Q6" s="8" t="s">
        <v>32</v>
      </c>
      <c r="R6" s="11" t="s">
        <v>131</v>
      </c>
    </row>
    <row r="7" spans="1:18" s="3" customFormat="1" ht="45" x14ac:dyDescent="0.25">
      <c r="A7" s="2" t="s">
        <v>1</v>
      </c>
      <c r="B7" s="1" t="s">
        <v>827</v>
      </c>
      <c r="C7" s="55" t="s">
        <v>465</v>
      </c>
      <c r="D7" s="55" t="s">
        <v>843</v>
      </c>
      <c r="E7" s="55" t="s">
        <v>800</v>
      </c>
      <c r="F7" s="51" t="s">
        <v>847</v>
      </c>
      <c r="G7" s="63" t="s">
        <v>908</v>
      </c>
      <c r="H7" s="51" t="s">
        <v>958</v>
      </c>
      <c r="I7" s="53">
        <v>2</v>
      </c>
      <c r="J7" s="51" t="s">
        <v>844</v>
      </c>
      <c r="K7" s="29" t="s">
        <v>148</v>
      </c>
      <c r="L7" s="1"/>
      <c r="M7" s="9"/>
      <c r="N7" s="9"/>
      <c r="O7" s="9"/>
      <c r="P7" s="8" t="s">
        <v>101</v>
      </c>
      <c r="Q7" s="11" t="s">
        <v>33</v>
      </c>
      <c r="R7" s="11"/>
    </row>
    <row r="8" spans="1:18" s="3" customFormat="1" ht="90" x14ac:dyDescent="0.25">
      <c r="A8" s="2" t="s">
        <v>5</v>
      </c>
      <c r="B8" s="1" t="s">
        <v>827</v>
      </c>
      <c r="C8" s="55" t="s">
        <v>465</v>
      </c>
      <c r="D8" s="55" t="s">
        <v>843</v>
      </c>
      <c r="E8" s="55" t="s">
        <v>800</v>
      </c>
      <c r="F8" s="51" t="s">
        <v>847</v>
      </c>
      <c r="G8" s="63" t="s">
        <v>909</v>
      </c>
      <c r="H8" s="51" t="s">
        <v>957</v>
      </c>
      <c r="I8" s="64">
        <v>6</v>
      </c>
      <c r="J8" s="65" t="s">
        <v>845</v>
      </c>
      <c r="K8" s="29" t="s">
        <v>148</v>
      </c>
      <c r="L8" s="1"/>
      <c r="M8" s="9"/>
      <c r="N8" s="9"/>
      <c r="O8" s="9"/>
      <c r="P8" s="8" t="s">
        <v>101</v>
      </c>
      <c r="Q8" s="8" t="s">
        <v>43</v>
      </c>
      <c r="R8" s="11" t="s">
        <v>140</v>
      </c>
    </row>
    <row r="9" spans="1:18" s="3" customFormat="1" ht="116.25" customHeight="1" x14ac:dyDescent="0.25">
      <c r="A9" s="2" t="s">
        <v>17</v>
      </c>
      <c r="B9" s="1" t="s">
        <v>827</v>
      </c>
      <c r="C9" s="55" t="s">
        <v>465</v>
      </c>
      <c r="D9" s="55" t="s">
        <v>843</v>
      </c>
      <c r="E9" s="55" t="s">
        <v>800</v>
      </c>
      <c r="F9" s="51" t="s">
        <v>847</v>
      </c>
      <c r="G9" s="63" t="s">
        <v>911</v>
      </c>
      <c r="H9" s="51" t="s">
        <v>910</v>
      </c>
      <c r="I9" s="64">
        <v>3</v>
      </c>
      <c r="J9" s="65" t="s">
        <v>956</v>
      </c>
      <c r="K9" s="29" t="s">
        <v>148</v>
      </c>
      <c r="L9" s="1"/>
      <c r="M9" s="9"/>
      <c r="N9" s="9"/>
      <c r="O9" s="9"/>
      <c r="P9" s="8" t="s">
        <v>101</v>
      </c>
      <c r="Q9" s="8" t="s">
        <v>34</v>
      </c>
      <c r="R9" s="11"/>
    </row>
    <row r="10" spans="1:18" s="3" customFormat="1" ht="30" x14ac:dyDescent="0.25">
      <c r="A10" s="2" t="s">
        <v>16</v>
      </c>
      <c r="B10" s="1" t="s">
        <v>827</v>
      </c>
      <c r="C10" s="55" t="s">
        <v>465</v>
      </c>
      <c r="D10" s="55" t="s">
        <v>843</v>
      </c>
      <c r="E10" s="55" t="s">
        <v>800</v>
      </c>
      <c r="F10" s="51" t="s">
        <v>847</v>
      </c>
      <c r="G10" s="63" t="s">
        <v>912</v>
      </c>
      <c r="H10" s="64" t="s">
        <v>862</v>
      </c>
      <c r="I10" s="64" t="s">
        <v>862</v>
      </c>
      <c r="J10" s="64" t="s">
        <v>862</v>
      </c>
      <c r="K10" s="29" t="s">
        <v>841</v>
      </c>
      <c r="L10" s="1"/>
      <c r="M10" s="9"/>
      <c r="N10" s="9"/>
      <c r="O10" s="9"/>
      <c r="P10" s="8" t="s">
        <v>101</v>
      </c>
      <c r="Q10" s="8" t="s">
        <v>38</v>
      </c>
      <c r="R10" s="11">
        <v>4.5</v>
      </c>
    </row>
    <row r="11" spans="1:18" s="3" customFormat="1" ht="90" x14ac:dyDescent="0.25">
      <c r="A11" s="2" t="s">
        <v>4</v>
      </c>
      <c r="B11" s="1" t="s">
        <v>827</v>
      </c>
      <c r="C11" s="55" t="s">
        <v>465</v>
      </c>
      <c r="D11" s="55" t="s">
        <v>843</v>
      </c>
      <c r="E11" s="55" t="s">
        <v>800</v>
      </c>
      <c r="F11" s="51" t="s">
        <v>847</v>
      </c>
      <c r="G11" s="63" t="s">
        <v>913</v>
      </c>
      <c r="H11" s="65" t="s">
        <v>961</v>
      </c>
      <c r="I11" s="53">
        <v>2</v>
      </c>
      <c r="J11" s="64" t="s">
        <v>960</v>
      </c>
      <c r="K11" s="29" t="s">
        <v>148</v>
      </c>
      <c r="L11" s="1"/>
      <c r="M11" s="9"/>
      <c r="N11" s="9"/>
      <c r="O11" s="9"/>
      <c r="P11" s="7" t="s">
        <v>62</v>
      </c>
      <c r="Q11" s="7" t="s">
        <v>39</v>
      </c>
      <c r="R11" s="11"/>
    </row>
    <row r="12" spans="1:18" s="3" customFormat="1" ht="60" x14ac:dyDescent="0.25">
      <c r="A12" s="2" t="s">
        <v>7</v>
      </c>
      <c r="B12" s="1" t="s">
        <v>827</v>
      </c>
      <c r="C12" s="55" t="s">
        <v>465</v>
      </c>
      <c r="D12" s="55" t="s">
        <v>843</v>
      </c>
      <c r="E12" s="55" t="s">
        <v>800</v>
      </c>
      <c r="F12" s="51" t="s">
        <v>847</v>
      </c>
      <c r="G12" s="63" t="s">
        <v>914</v>
      </c>
      <c r="H12" s="51" t="s">
        <v>954</v>
      </c>
      <c r="I12" s="64">
        <v>2</v>
      </c>
      <c r="J12" s="65" t="s">
        <v>953</v>
      </c>
      <c r="K12" s="29" t="s">
        <v>148</v>
      </c>
      <c r="L12" s="1"/>
      <c r="M12" s="9"/>
      <c r="N12" s="9"/>
      <c r="O12" s="9"/>
      <c r="P12" s="8" t="s">
        <v>101</v>
      </c>
      <c r="Q12" s="12" t="s">
        <v>40</v>
      </c>
      <c r="R12" s="11"/>
    </row>
    <row r="13" spans="1:18" s="3" customFormat="1" ht="60" x14ac:dyDescent="0.25">
      <c r="A13" s="2" t="s">
        <v>19</v>
      </c>
      <c r="B13" s="1" t="s">
        <v>827</v>
      </c>
      <c r="C13" s="55" t="s">
        <v>465</v>
      </c>
      <c r="D13" s="55" t="s">
        <v>843</v>
      </c>
      <c r="E13" s="55" t="s">
        <v>800</v>
      </c>
      <c r="F13" s="51" t="s">
        <v>847</v>
      </c>
      <c r="G13" s="63" t="s">
        <v>915</v>
      </c>
      <c r="H13" s="51" t="s">
        <v>955</v>
      </c>
      <c r="I13" s="64">
        <v>2</v>
      </c>
      <c r="J13" s="51" t="s">
        <v>846</v>
      </c>
      <c r="K13" s="29" t="s">
        <v>148</v>
      </c>
      <c r="L13" s="1"/>
      <c r="M13" s="9"/>
      <c r="N13" s="9"/>
      <c r="O13" s="9"/>
      <c r="P13" s="8" t="s">
        <v>101</v>
      </c>
      <c r="Q13" s="8" t="s">
        <v>50</v>
      </c>
      <c r="R13" s="11" t="s">
        <v>135</v>
      </c>
    </row>
    <row r="14" spans="1:18" s="3" customFormat="1" ht="31.5" x14ac:dyDescent="0.25">
      <c r="A14" s="2" t="s">
        <v>9</v>
      </c>
      <c r="B14" s="1" t="s">
        <v>827</v>
      </c>
      <c r="C14" s="55" t="s">
        <v>465</v>
      </c>
      <c r="D14" s="55" t="s">
        <v>843</v>
      </c>
      <c r="E14" s="55" t="s">
        <v>800</v>
      </c>
      <c r="F14" s="51" t="s">
        <v>859</v>
      </c>
      <c r="G14" s="51" t="s">
        <v>859</v>
      </c>
      <c r="H14" s="51" t="s">
        <v>859</v>
      </c>
      <c r="I14" s="64" t="s">
        <v>859</v>
      </c>
      <c r="J14" s="51" t="s">
        <v>858</v>
      </c>
      <c r="K14" s="29" t="s">
        <v>840</v>
      </c>
      <c r="L14" s="1"/>
      <c r="M14" s="9"/>
      <c r="N14" s="9"/>
      <c r="O14" s="9"/>
      <c r="P14" s="8" t="s">
        <v>101</v>
      </c>
      <c r="Q14" s="8" t="s">
        <v>42</v>
      </c>
      <c r="R14" s="11"/>
    </row>
    <row r="15" spans="1:18" s="3" customFormat="1" ht="225" x14ac:dyDescent="0.25">
      <c r="A15" s="2" t="s">
        <v>10</v>
      </c>
      <c r="B15" s="1" t="s">
        <v>827</v>
      </c>
      <c r="C15" s="55" t="s">
        <v>465</v>
      </c>
      <c r="D15" s="55" t="s">
        <v>843</v>
      </c>
      <c r="E15" s="55" t="s">
        <v>800</v>
      </c>
      <c r="F15" s="51" t="s">
        <v>847</v>
      </c>
      <c r="G15" s="51" t="s">
        <v>916</v>
      </c>
      <c r="H15" s="51" t="s">
        <v>936</v>
      </c>
      <c r="I15" s="53">
        <v>2</v>
      </c>
      <c r="J15" s="51" t="s">
        <v>938</v>
      </c>
      <c r="K15" s="29" t="s">
        <v>148</v>
      </c>
      <c r="L15" s="1"/>
      <c r="M15" s="9"/>
      <c r="N15" s="9"/>
      <c r="O15" s="9"/>
      <c r="P15" s="8" t="s">
        <v>101</v>
      </c>
      <c r="Q15" s="8" t="s">
        <v>41</v>
      </c>
      <c r="R15" s="11"/>
    </row>
    <row r="16" spans="1:18" s="3" customFormat="1" ht="31.5" x14ac:dyDescent="0.25">
      <c r="A16" s="2" t="s">
        <v>11</v>
      </c>
      <c r="B16" s="1" t="s">
        <v>827</v>
      </c>
      <c r="C16" s="55" t="s">
        <v>465</v>
      </c>
      <c r="D16" s="55" t="s">
        <v>843</v>
      </c>
      <c r="E16" s="55" t="s">
        <v>800</v>
      </c>
      <c r="F16" s="51" t="s">
        <v>859</v>
      </c>
      <c r="G16" s="51" t="s">
        <v>859</v>
      </c>
      <c r="H16" s="51" t="s">
        <v>859</v>
      </c>
      <c r="I16" s="53" t="s">
        <v>859</v>
      </c>
      <c r="J16" s="51" t="s">
        <v>858</v>
      </c>
      <c r="K16" s="29" t="s">
        <v>840</v>
      </c>
      <c r="L16" s="1"/>
      <c r="M16" s="9"/>
      <c r="N16" s="9"/>
      <c r="O16" s="9"/>
      <c r="P16" s="8" t="s">
        <v>101</v>
      </c>
      <c r="Q16" s="8" t="s">
        <v>44</v>
      </c>
      <c r="R16" s="11"/>
    </row>
    <row r="17" spans="1:18" s="3" customFormat="1" ht="112.5" customHeight="1" x14ac:dyDescent="0.25">
      <c r="A17" s="2" t="s">
        <v>12</v>
      </c>
      <c r="B17" s="1" t="s">
        <v>827</v>
      </c>
      <c r="C17" s="55" t="s">
        <v>465</v>
      </c>
      <c r="D17" s="55" t="s">
        <v>843</v>
      </c>
      <c r="E17" s="55" t="s">
        <v>800</v>
      </c>
      <c r="F17" s="51" t="s">
        <v>847</v>
      </c>
      <c r="G17" s="63" t="s">
        <v>917</v>
      </c>
      <c r="H17" s="51" t="s">
        <v>932</v>
      </c>
      <c r="I17" s="53">
        <v>3</v>
      </c>
      <c r="J17" s="50"/>
      <c r="K17" s="29" t="s">
        <v>148</v>
      </c>
      <c r="L17" s="1"/>
      <c r="M17" s="9"/>
      <c r="N17" s="9"/>
      <c r="O17" s="9"/>
      <c r="P17" s="8" t="s">
        <v>101</v>
      </c>
      <c r="Q17" s="8" t="s">
        <v>45</v>
      </c>
      <c r="R17" s="11" t="s">
        <v>138</v>
      </c>
    </row>
    <row r="18" spans="1:18" s="3" customFormat="1" ht="45" x14ac:dyDescent="0.25">
      <c r="A18" s="2" t="s">
        <v>13</v>
      </c>
      <c r="B18" s="1" t="s">
        <v>827</v>
      </c>
      <c r="C18" s="55" t="s">
        <v>465</v>
      </c>
      <c r="D18" s="55" t="s">
        <v>843</v>
      </c>
      <c r="E18" s="55" t="s">
        <v>800</v>
      </c>
      <c r="F18" s="51" t="s">
        <v>859</v>
      </c>
      <c r="G18" s="51" t="s">
        <v>859</v>
      </c>
      <c r="H18" s="51" t="s">
        <v>939</v>
      </c>
      <c r="I18" s="53" t="s">
        <v>859</v>
      </c>
      <c r="J18" s="51" t="s">
        <v>858</v>
      </c>
      <c r="K18" s="29" t="s">
        <v>840</v>
      </c>
      <c r="L18" s="1"/>
      <c r="M18" s="9"/>
      <c r="N18" s="9"/>
      <c r="O18" s="9"/>
      <c r="P18" s="8" t="s">
        <v>101</v>
      </c>
      <c r="Q18" s="8" t="s">
        <v>51</v>
      </c>
      <c r="R18" s="11"/>
    </row>
    <row r="19" spans="1:18" s="3" customFormat="1" ht="139.5" customHeight="1" x14ac:dyDescent="0.25">
      <c r="A19" s="2" t="s">
        <v>21</v>
      </c>
      <c r="B19" s="1" t="s">
        <v>827</v>
      </c>
      <c r="C19" s="55" t="s">
        <v>465</v>
      </c>
      <c r="D19" s="55" t="s">
        <v>843</v>
      </c>
      <c r="E19" s="55" t="s">
        <v>800</v>
      </c>
      <c r="F19" s="51" t="s">
        <v>847</v>
      </c>
      <c r="G19" s="63" t="s">
        <v>918</v>
      </c>
      <c r="H19" s="63" t="s">
        <v>1001</v>
      </c>
      <c r="I19" s="64">
        <v>1</v>
      </c>
      <c r="J19" s="51"/>
      <c r="K19" s="29" t="s">
        <v>148</v>
      </c>
      <c r="L19" s="1"/>
      <c r="M19" s="9"/>
      <c r="N19" s="9"/>
      <c r="O19" s="9"/>
      <c r="P19" s="7" t="s">
        <v>62</v>
      </c>
      <c r="Q19" s="7" t="s">
        <v>52</v>
      </c>
      <c r="R19" s="11"/>
    </row>
    <row r="20" spans="1:18" s="3" customFormat="1" ht="30" x14ac:dyDescent="0.25">
      <c r="A20" s="2" t="s">
        <v>6</v>
      </c>
      <c r="B20" s="1" t="s">
        <v>827</v>
      </c>
      <c r="C20" s="55" t="s">
        <v>465</v>
      </c>
      <c r="D20" s="55" t="s">
        <v>843</v>
      </c>
      <c r="E20" s="55" t="s">
        <v>800</v>
      </c>
      <c r="F20" s="51" t="s">
        <v>862</v>
      </c>
      <c r="G20" s="51" t="s">
        <v>862</v>
      </c>
      <c r="H20" s="51" t="s">
        <v>862</v>
      </c>
      <c r="I20" s="64" t="s">
        <v>862</v>
      </c>
      <c r="J20" s="51" t="s">
        <v>862</v>
      </c>
      <c r="K20" s="29" t="s">
        <v>841</v>
      </c>
      <c r="L20" s="1"/>
      <c r="M20" s="9"/>
      <c r="N20" s="9"/>
      <c r="O20" s="9"/>
      <c r="P20" s="8" t="s">
        <v>101</v>
      </c>
      <c r="Q20" s="8" t="s">
        <v>46</v>
      </c>
      <c r="R20" s="11"/>
    </row>
    <row r="21" spans="1:18" s="3" customFormat="1" ht="45" x14ac:dyDescent="0.25">
      <c r="A21" s="2" t="s">
        <v>3</v>
      </c>
      <c r="B21" s="1" t="s">
        <v>827</v>
      </c>
      <c r="C21" s="55" t="s">
        <v>465</v>
      </c>
      <c r="D21" s="55" t="s">
        <v>843</v>
      </c>
      <c r="E21" s="55" t="s">
        <v>800</v>
      </c>
      <c r="F21" s="51" t="s">
        <v>859</v>
      </c>
      <c r="G21" s="51" t="s">
        <v>859</v>
      </c>
      <c r="H21" s="51" t="s">
        <v>859</v>
      </c>
      <c r="I21" s="53" t="s">
        <v>859</v>
      </c>
      <c r="J21" s="51" t="s">
        <v>858</v>
      </c>
      <c r="K21" s="29" t="s">
        <v>840</v>
      </c>
      <c r="L21" s="1"/>
      <c r="M21" s="9"/>
      <c r="N21" s="9"/>
      <c r="O21" s="9"/>
      <c r="P21" s="8" t="s">
        <v>101</v>
      </c>
      <c r="Q21" s="8" t="s">
        <v>53</v>
      </c>
      <c r="R21" s="11" t="s">
        <v>133</v>
      </c>
    </row>
    <row r="22" spans="1:18" s="3" customFormat="1" ht="45" x14ac:dyDescent="0.25">
      <c r="A22" s="2" t="s">
        <v>18</v>
      </c>
      <c r="B22" s="1" t="s">
        <v>827</v>
      </c>
      <c r="C22" s="55" t="s">
        <v>465</v>
      </c>
      <c r="D22" s="55" t="s">
        <v>843</v>
      </c>
      <c r="E22" s="55" t="s">
        <v>800</v>
      </c>
      <c r="F22" s="51" t="s">
        <v>847</v>
      </c>
      <c r="G22" s="63" t="s">
        <v>919</v>
      </c>
      <c r="H22" s="51" t="s">
        <v>941</v>
      </c>
      <c r="I22" s="53" t="s">
        <v>942</v>
      </c>
      <c r="J22" s="51" t="s">
        <v>944</v>
      </c>
      <c r="K22" s="29" t="s">
        <v>148</v>
      </c>
      <c r="L22" s="1"/>
      <c r="M22" s="9"/>
      <c r="N22" s="9"/>
      <c r="O22" s="9"/>
      <c r="P22" s="8" t="s">
        <v>62</v>
      </c>
      <c r="Q22" s="8" t="s">
        <v>47</v>
      </c>
      <c r="R22" s="11" t="s">
        <v>139</v>
      </c>
    </row>
    <row r="23" spans="1:18" s="3" customFormat="1" ht="75" x14ac:dyDescent="0.25">
      <c r="A23" s="2" t="s">
        <v>8</v>
      </c>
      <c r="B23" s="1" t="s">
        <v>827</v>
      </c>
      <c r="C23" s="55" t="s">
        <v>465</v>
      </c>
      <c r="D23" s="55" t="s">
        <v>843</v>
      </c>
      <c r="E23" s="55" t="s">
        <v>800</v>
      </c>
      <c r="F23" s="51" t="s">
        <v>847</v>
      </c>
      <c r="G23" s="63" t="s">
        <v>920</v>
      </c>
      <c r="H23" s="51" t="s">
        <v>940</v>
      </c>
      <c r="I23" s="51" t="s">
        <v>940</v>
      </c>
      <c r="J23" s="51" t="s">
        <v>846</v>
      </c>
      <c r="K23" s="29" t="s">
        <v>148</v>
      </c>
      <c r="L23" s="1"/>
      <c r="M23" s="9"/>
      <c r="N23" s="9"/>
      <c r="O23" s="9"/>
      <c r="P23" s="8" t="s">
        <v>62</v>
      </c>
      <c r="Q23" s="8" t="s">
        <v>31</v>
      </c>
      <c r="R23" s="11"/>
    </row>
    <row r="24" spans="1:18" s="3" customFormat="1" ht="30" x14ac:dyDescent="0.25">
      <c r="A24" s="2" t="s">
        <v>14</v>
      </c>
      <c r="B24" s="1" t="s">
        <v>827</v>
      </c>
      <c r="C24" s="55" t="s">
        <v>465</v>
      </c>
      <c r="D24" s="55" t="s">
        <v>843</v>
      </c>
      <c r="E24" s="55" t="s">
        <v>800</v>
      </c>
      <c r="F24" s="51" t="s">
        <v>847</v>
      </c>
      <c r="G24" s="63" t="s">
        <v>921</v>
      </c>
      <c r="H24" s="51" t="s">
        <v>943</v>
      </c>
      <c r="I24" s="53" t="s">
        <v>943</v>
      </c>
      <c r="J24" s="51" t="s">
        <v>945</v>
      </c>
      <c r="K24" s="29" t="s">
        <v>148</v>
      </c>
      <c r="L24" s="1"/>
      <c r="M24" s="9"/>
      <c r="N24" s="9"/>
      <c r="O24" s="9"/>
      <c r="P24" s="8" t="s">
        <v>62</v>
      </c>
      <c r="Q24" s="8" t="s">
        <v>48</v>
      </c>
      <c r="R24" s="11"/>
    </row>
    <row r="25" spans="1:18" s="3" customFormat="1" ht="30" x14ac:dyDescent="0.25">
      <c r="A25" s="2" t="s">
        <v>0</v>
      </c>
      <c r="B25" s="1" t="s">
        <v>827</v>
      </c>
      <c r="C25" s="55" t="s">
        <v>465</v>
      </c>
      <c r="D25" s="55" t="s">
        <v>843</v>
      </c>
      <c r="E25" s="55" t="s">
        <v>800</v>
      </c>
      <c r="F25" s="51" t="s">
        <v>859</v>
      </c>
      <c r="G25" s="51" t="s">
        <v>859</v>
      </c>
      <c r="H25" s="51" t="s">
        <v>859</v>
      </c>
      <c r="I25" s="53" t="s">
        <v>859</v>
      </c>
      <c r="J25" s="51" t="s">
        <v>863</v>
      </c>
      <c r="K25" s="29" t="s">
        <v>840</v>
      </c>
      <c r="L25" s="50"/>
      <c r="M25" s="9"/>
      <c r="N25" s="9"/>
      <c r="O25" s="9"/>
      <c r="P25" s="8" t="s">
        <v>62</v>
      </c>
      <c r="Q25" s="8" t="s">
        <v>49</v>
      </c>
      <c r="R25" s="11"/>
    </row>
    <row r="26" spans="1:18" s="3" customFormat="1" ht="31.5" x14ac:dyDescent="0.25">
      <c r="A26" s="2" t="s">
        <v>54</v>
      </c>
      <c r="B26" s="1" t="s">
        <v>827</v>
      </c>
      <c r="C26" s="55" t="s">
        <v>465</v>
      </c>
      <c r="D26" s="55" t="s">
        <v>843</v>
      </c>
      <c r="E26" s="55" t="s">
        <v>800</v>
      </c>
      <c r="F26" s="51" t="s">
        <v>859</v>
      </c>
      <c r="G26" s="51" t="s">
        <v>859</v>
      </c>
      <c r="H26" s="51" t="s">
        <v>859</v>
      </c>
      <c r="I26" s="53" t="s">
        <v>859</v>
      </c>
      <c r="J26" s="51" t="s">
        <v>858</v>
      </c>
      <c r="K26" s="29" t="s">
        <v>840</v>
      </c>
      <c r="L26" s="1"/>
      <c r="M26" s="9"/>
      <c r="N26" s="9"/>
      <c r="O26" s="9"/>
      <c r="P26" s="8" t="s">
        <v>101</v>
      </c>
      <c r="Q26" s="8" t="s">
        <v>55</v>
      </c>
      <c r="R26" s="11"/>
    </row>
    <row r="27" spans="1:18" s="3" customFormat="1" ht="30" x14ac:dyDescent="0.25">
      <c r="A27" s="2" t="s">
        <v>15</v>
      </c>
      <c r="B27" s="1" t="s">
        <v>827</v>
      </c>
      <c r="C27" s="55" t="s">
        <v>465</v>
      </c>
      <c r="D27" s="55" t="s">
        <v>843</v>
      </c>
      <c r="E27" s="55" t="s">
        <v>800</v>
      </c>
      <c r="F27" s="51" t="s">
        <v>859</v>
      </c>
      <c r="G27" s="51" t="s">
        <v>859</v>
      </c>
      <c r="H27" s="51" t="s">
        <v>859</v>
      </c>
      <c r="I27" s="53" t="s">
        <v>859</v>
      </c>
      <c r="J27" s="51" t="s">
        <v>858</v>
      </c>
      <c r="K27" s="29" t="s">
        <v>840</v>
      </c>
      <c r="L27" s="1"/>
      <c r="M27" s="9"/>
      <c r="N27" s="9"/>
      <c r="O27" s="9"/>
      <c r="P27" s="8" t="s">
        <v>101</v>
      </c>
      <c r="Q27" s="8" t="s">
        <v>56</v>
      </c>
      <c r="R27" s="11"/>
    </row>
    <row r="28" spans="1:18" s="3" customFormat="1" ht="165" x14ac:dyDescent="0.25">
      <c r="A28" s="2" t="s">
        <v>20</v>
      </c>
      <c r="B28" s="1" t="s">
        <v>827</v>
      </c>
      <c r="C28" s="55" t="s">
        <v>465</v>
      </c>
      <c r="D28" s="55" t="s">
        <v>843</v>
      </c>
      <c r="E28" s="55" t="s">
        <v>800</v>
      </c>
      <c r="F28" s="51" t="s">
        <v>930</v>
      </c>
      <c r="G28" s="51" t="s">
        <v>947</v>
      </c>
      <c r="H28" s="51" t="s">
        <v>948</v>
      </c>
      <c r="I28" s="64">
        <v>4</v>
      </c>
      <c r="J28" s="65" t="s">
        <v>949</v>
      </c>
      <c r="K28" s="29" t="s">
        <v>148</v>
      </c>
      <c r="L28" s="1"/>
      <c r="M28" s="9"/>
      <c r="N28" s="9"/>
      <c r="O28" s="9"/>
      <c r="P28" s="8" t="s">
        <v>101</v>
      </c>
      <c r="Q28" s="8" t="s">
        <v>57</v>
      </c>
      <c r="R28" s="11" t="s">
        <v>134</v>
      </c>
    </row>
    <row r="29" spans="1:18" s="3" customFormat="1" ht="165" x14ac:dyDescent="0.25">
      <c r="A29" s="2" t="s">
        <v>20</v>
      </c>
      <c r="B29" s="1" t="s">
        <v>827</v>
      </c>
      <c r="C29" s="55" t="s">
        <v>465</v>
      </c>
      <c r="D29" s="55" t="s">
        <v>843</v>
      </c>
      <c r="E29" s="55" t="s">
        <v>800</v>
      </c>
      <c r="F29" s="51" t="s">
        <v>931</v>
      </c>
      <c r="G29" s="51" t="s">
        <v>951</v>
      </c>
      <c r="H29" s="51" t="s">
        <v>948</v>
      </c>
      <c r="I29" s="64">
        <v>4</v>
      </c>
      <c r="J29" s="65" t="s">
        <v>950</v>
      </c>
      <c r="K29" s="29" t="s">
        <v>149</v>
      </c>
      <c r="L29" s="1" t="s">
        <v>992</v>
      </c>
      <c r="M29" s="9"/>
      <c r="N29" s="9"/>
      <c r="O29" s="9"/>
      <c r="P29" s="8" t="s">
        <v>101</v>
      </c>
      <c r="Q29" s="8" t="s">
        <v>57</v>
      </c>
      <c r="R29" s="11" t="s">
        <v>134</v>
      </c>
    </row>
    <row r="30" spans="1:18" s="3" customFormat="1" ht="15.75" x14ac:dyDescent="0.25">
      <c r="A30" s="2"/>
      <c r="B30" s="1"/>
      <c r="C30" s="1"/>
      <c r="D30" s="1"/>
      <c r="E30" s="1"/>
      <c r="F30" s="1"/>
      <c r="G30" s="1"/>
      <c r="H30" s="1"/>
      <c r="I30" s="53"/>
      <c r="J30" s="1"/>
      <c r="K30" s="29"/>
      <c r="L30" s="1"/>
      <c r="M30" s="9"/>
      <c r="N30" s="9"/>
      <c r="O30" s="9"/>
      <c r="R30" s="11"/>
    </row>
    <row r="31" spans="1:18" s="3" customFormat="1" ht="15.75" x14ac:dyDescent="0.25">
      <c r="A31" s="2"/>
      <c r="B31" s="1"/>
      <c r="C31" s="1"/>
      <c r="D31" s="1"/>
      <c r="E31" s="1"/>
      <c r="F31" s="1"/>
      <c r="G31" s="1"/>
      <c r="H31" s="1"/>
      <c r="I31" s="53"/>
      <c r="J31" s="1"/>
      <c r="K31" s="29"/>
      <c r="L31" s="1"/>
      <c r="M31" s="9"/>
      <c r="N31" s="9"/>
      <c r="O31" s="9"/>
      <c r="R31" s="11"/>
    </row>
    <row r="32" spans="1:18" s="3" customFormat="1" ht="15.75" x14ac:dyDescent="0.25">
      <c r="A32" s="2"/>
      <c r="B32" s="1"/>
      <c r="C32" s="1"/>
      <c r="D32" s="1"/>
      <c r="E32" s="1"/>
      <c r="F32" s="1"/>
      <c r="G32" s="1"/>
      <c r="H32" s="1"/>
      <c r="I32" s="53"/>
      <c r="J32" s="1"/>
      <c r="K32" s="29"/>
      <c r="L32" s="1"/>
      <c r="M32" s="9"/>
      <c r="N32" s="9"/>
      <c r="O32" s="9"/>
      <c r="R32" s="11"/>
    </row>
    <row r="33" spans="1:18" s="3" customFormat="1" ht="15.75" x14ac:dyDescent="0.25">
      <c r="A33" s="2"/>
      <c r="B33" s="1"/>
      <c r="C33" s="1"/>
      <c r="D33" s="1"/>
      <c r="E33" s="1"/>
      <c r="F33" s="1"/>
      <c r="G33" s="1"/>
      <c r="H33" s="1"/>
      <c r="I33" s="53"/>
      <c r="J33" s="1"/>
      <c r="K33" s="29"/>
      <c r="L33" s="1"/>
      <c r="M33" s="9"/>
      <c r="N33" s="9"/>
      <c r="O33" s="9"/>
      <c r="R33" s="11"/>
    </row>
    <row r="34" spans="1:18" s="3" customFormat="1" ht="15.75" x14ac:dyDescent="0.25">
      <c r="A34" s="2"/>
      <c r="B34" s="1"/>
      <c r="C34" s="1"/>
      <c r="D34" s="1"/>
      <c r="E34" s="1"/>
      <c r="F34" s="1"/>
      <c r="G34" s="1"/>
      <c r="H34" s="1"/>
      <c r="I34" s="53"/>
      <c r="J34" s="1"/>
      <c r="K34" s="29"/>
      <c r="L34" s="29"/>
      <c r="M34" s="9"/>
      <c r="N34" s="9"/>
      <c r="O34" s="9"/>
      <c r="Q34" s="7"/>
      <c r="R34" s="11"/>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sheetData>
  <conditionalFormatting sqref="F3">
    <cfRule type="expression" dxfId="197" priority="100">
      <formula>COUNTBLANK($F3)</formula>
    </cfRule>
  </conditionalFormatting>
  <conditionalFormatting sqref="G29 F3 H3:I3">
    <cfRule type="expression" dxfId="196" priority="99">
      <formula>COUNTBLANK($G3)</formula>
    </cfRule>
  </conditionalFormatting>
  <conditionalFormatting sqref="H3 H12:H13 H10">
    <cfRule type="expression" dxfId="195" priority="98">
      <formula>COUNTBLANK($H3)</formula>
    </cfRule>
  </conditionalFormatting>
  <conditionalFormatting sqref="G21:I21 F20:I20 F21:F25 F14:I14">
    <cfRule type="expression" dxfId="194" priority="96">
      <formula>COUNTBLANK($F14)</formula>
    </cfRule>
  </conditionalFormatting>
  <conditionalFormatting sqref="G28 G15">
    <cfRule type="expression" dxfId="193" priority="95">
      <formula>COUNTBLANK($G15)</formula>
    </cfRule>
  </conditionalFormatting>
  <conditionalFormatting sqref="H6 H22:H24 H17 H15">
    <cfRule type="expression" dxfId="192" priority="94">
      <formula>COUNTBLANK($H6)</formula>
    </cfRule>
  </conditionalFormatting>
  <conditionalFormatting sqref="I6 I29">
    <cfRule type="expression" dxfId="191" priority="93">
      <formula>COUNTBLANK($I6)</formula>
    </cfRule>
  </conditionalFormatting>
  <conditionalFormatting sqref="I7:I10 H10:J10">
    <cfRule type="expression" dxfId="190" priority="92">
      <formula>COUNTBLANK($I7)</formula>
    </cfRule>
  </conditionalFormatting>
  <conditionalFormatting sqref="I11:I13">
    <cfRule type="expression" dxfId="189" priority="91">
      <formula>COUNTBLANK($I11)</formula>
    </cfRule>
  </conditionalFormatting>
  <conditionalFormatting sqref="I28">
    <cfRule type="expression" dxfId="188" priority="90">
      <formula>COUNTBLANK($I28)</formula>
    </cfRule>
  </conditionalFormatting>
  <conditionalFormatting sqref="A3">
    <cfRule type="expression" dxfId="187" priority="85">
      <formula>COUNTBLANK($F3:$H3)</formula>
    </cfRule>
  </conditionalFormatting>
  <conditionalFormatting sqref="A3 A28:A29">
    <cfRule type="expression" dxfId="186" priority="83">
      <formula>$K3="Not Audited"</formula>
    </cfRule>
    <cfRule type="expression" dxfId="185" priority="84">
      <formula>$K3="Not Applicable"</formula>
    </cfRule>
  </conditionalFormatting>
  <conditionalFormatting sqref="K3:K29">
    <cfRule type="expression" dxfId="184" priority="76">
      <formula>COUNTBLANK($K3)</formula>
    </cfRule>
  </conditionalFormatting>
  <conditionalFormatting sqref="A4:A9 A28:A29 A11:A13">
    <cfRule type="expression" dxfId="183" priority="75">
      <formula>COUNTBLANK($F4:$I4)</formula>
    </cfRule>
  </conditionalFormatting>
  <conditionalFormatting sqref="A4:A9 A11:A13">
    <cfRule type="expression" dxfId="182" priority="73">
      <formula>$K4="Not Audited"</formula>
    </cfRule>
    <cfRule type="expression" dxfId="181" priority="74">
      <formula>$K4="Not Applicable"</formula>
    </cfRule>
  </conditionalFormatting>
  <conditionalFormatting sqref="A10">
    <cfRule type="expression" dxfId="180" priority="72">
      <formula>COUNTBLANK($F10:$H10)</formula>
    </cfRule>
  </conditionalFormatting>
  <conditionalFormatting sqref="A10">
    <cfRule type="expression" dxfId="179" priority="70">
      <formula>$K10="Not Audited"</formula>
    </cfRule>
    <cfRule type="expression" dxfId="178" priority="71">
      <formula>$K10="Not Applicable"</formula>
    </cfRule>
  </conditionalFormatting>
  <conditionalFormatting sqref="A15">
    <cfRule type="expression" dxfId="177" priority="69">
      <formula>COUNTBLANK($F15:$H15)</formula>
    </cfRule>
  </conditionalFormatting>
  <conditionalFormatting sqref="A15">
    <cfRule type="expression" dxfId="176" priority="67">
      <formula>$K15="Not Audited"</formula>
    </cfRule>
    <cfRule type="expression" dxfId="175" priority="68">
      <formula>$K15="Not Applicable"</formula>
    </cfRule>
  </conditionalFormatting>
  <conditionalFormatting sqref="A14">
    <cfRule type="expression" dxfId="174" priority="66">
      <formula>COUNTBLANK($F14:$H14)</formula>
    </cfRule>
  </conditionalFormatting>
  <conditionalFormatting sqref="A14">
    <cfRule type="expression" dxfId="173" priority="64">
      <formula>$K14="Not Audited"</formula>
    </cfRule>
    <cfRule type="expression" dxfId="172" priority="65">
      <formula>$K14="Not Applicable"</formula>
    </cfRule>
  </conditionalFormatting>
  <conditionalFormatting sqref="A16:A17">
    <cfRule type="expression" dxfId="171" priority="63">
      <formula>COUNTBLANK($F16:$H16)</formula>
    </cfRule>
  </conditionalFormatting>
  <conditionalFormatting sqref="A16:A17">
    <cfRule type="expression" dxfId="170" priority="61">
      <formula>$K16="Not Audited"</formula>
    </cfRule>
    <cfRule type="expression" dxfId="169" priority="62">
      <formula>$K16="Not Applicable"</formula>
    </cfRule>
  </conditionalFormatting>
  <conditionalFormatting sqref="A18">
    <cfRule type="expression" dxfId="168" priority="60">
      <formula>COUNTBLANK($F18:$H18)</formula>
    </cfRule>
  </conditionalFormatting>
  <conditionalFormatting sqref="A18">
    <cfRule type="expression" dxfId="167" priority="58">
      <formula>$K18="Not Audited"</formula>
    </cfRule>
    <cfRule type="expression" dxfId="166" priority="59">
      <formula>$K18="Not Applicable"</formula>
    </cfRule>
  </conditionalFormatting>
  <conditionalFormatting sqref="A19:A21">
    <cfRule type="expression" dxfId="165" priority="57">
      <formula>COUNTBLANK($F19:$H19)</formula>
    </cfRule>
  </conditionalFormatting>
  <conditionalFormatting sqref="A19:A21">
    <cfRule type="expression" dxfId="164" priority="55">
      <formula>$K19="Not Audited"</formula>
    </cfRule>
    <cfRule type="expression" dxfId="163" priority="56">
      <formula>$K19="Not Applicable"</formula>
    </cfRule>
  </conditionalFormatting>
  <conditionalFormatting sqref="A22:A24">
    <cfRule type="expression" dxfId="162" priority="54">
      <formula>COUNTBLANK($F22:$H22)</formula>
    </cfRule>
  </conditionalFormatting>
  <conditionalFormatting sqref="A22:A24">
    <cfRule type="expression" dxfId="161" priority="52">
      <formula>$K22="Not Audited"</formula>
    </cfRule>
    <cfRule type="expression" dxfId="160" priority="53">
      <formula>$K22="Not Applicable"</formula>
    </cfRule>
  </conditionalFormatting>
  <conditionalFormatting sqref="A25:A27">
    <cfRule type="expression" dxfId="159" priority="51">
      <formula>COUNTBLANK($F25:$H25)</formula>
    </cfRule>
  </conditionalFormatting>
  <conditionalFormatting sqref="A25:A27">
    <cfRule type="expression" dxfId="158" priority="49">
      <formula>$K25="Not Audited"</formula>
    </cfRule>
    <cfRule type="expression" dxfId="157" priority="50">
      <formula>$K25="Not Applicable"</formula>
    </cfRule>
  </conditionalFormatting>
  <conditionalFormatting sqref="F28">
    <cfRule type="expression" dxfId="156" priority="48">
      <formula>COUNTBLANK($F28)</formula>
    </cfRule>
  </conditionalFormatting>
  <conditionalFormatting sqref="F29">
    <cfRule type="expression" dxfId="155" priority="47">
      <formula>COUNTBLANK($F29)</formula>
    </cfRule>
  </conditionalFormatting>
  <conditionalFormatting sqref="H29">
    <cfRule type="expression" dxfId="154" priority="43">
      <formula>COUNTBLANK($H29)</formula>
    </cfRule>
  </conditionalFormatting>
  <conditionalFormatting sqref="H9">
    <cfRule type="expression" dxfId="153" priority="42">
      <formula>COUNTBLANK($H9)</formula>
    </cfRule>
  </conditionalFormatting>
  <conditionalFormatting sqref="H28">
    <cfRule type="expression" dxfId="152" priority="44">
      <formula>COUNTBLANK($H28)</formula>
    </cfRule>
  </conditionalFormatting>
  <conditionalFormatting sqref="F4">
    <cfRule type="expression" dxfId="151" priority="41">
      <formula>COUNTBLANK($F4)</formula>
    </cfRule>
  </conditionalFormatting>
  <conditionalFormatting sqref="F4 H4:I4">
    <cfRule type="expression" dxfId="150" priority="40">
      <formula>COUNTBLANK($G4)</formula>
    </cfRule>
  </conditionalFormatting>
  <conditionalFormatting sqref="H4">
    <cfRule type="expression" dxfId="149" priority="39">
      <formula>COUNTBLANK($H4)</formula>
    </cfRule>
  </conditionalFormatting>
  <conditionalFormatting sqref="F5">
    <cfRule type="expression" dxfId="148" priority="38">
      <formula>COUNTBLANK($F5)</formula>
    </cfRule>
  </conditionalFormatting>
  <conditionalFormatting sqref="F5:I5">
    <cfRule type="expression" dxfId="147" priority="37">
      <formula>COUNTBLANK($G5)</formula>
    </cfRule>
  </conditionalFormatting>
  <conditionalFormatting sqref="H5">
    <cfRule type="expression" dxfId="146" priority="36">
      <formula>COUNTBLANK($H5)</formula>
    </cfRule>
  </conditionalFormatting>
  <conditionalFormatting sqref="G25:I25">
    <cfRule type="expression" dxfId="145" priority="35">
      <formula>COUNTBLANK($F25)</formula>
    </cfRule>
  </conditionalFormatting>
  <conditionalFormatting sqref="F26:F27">
    <cfRule type="expression" dxfId="144" priority="34">
      <formula>COUNTBLANK($F26)</formula>
    </cfRule>
  </conditionalFormatting>
  <conditionalFormatting sqref="G26:I27">
    <cfRule type="expression" dxfId="143" priority="33">
      <formula>COUNTBLANK($F26)</formula>
    </cfRule>
  </conditionalFormatting>
  <conditionalFormatting sqref="I15">
    <cfRule type="expression" dxfId="142" priority="32">
      <formula>COUNTBLANK($I15)</formula>
    </cfRule>
  </conditionalFormatting>
  <conditionalFormatting sqref="I17">
    <cfRule type="expression" dxfId="141" priority="31">
      <formula>COUNTBLANK($I17)</formula>
    </cfRule>
  </conditionalFormatting>
  <conditionalFormatting sqref="F16:I16">
    <cfRule type="expression" dxfId="140" priority="29">
      <formula>COUNTBLANK($F16)</formula>
    </cfRule>
  </conditionalFormatting>
  <conditionalFormatting sqref="F18:I18">
    <cfRule type="expression" dxfId="139" priority="28">
      <formula>COUNTBLANK($F18)</formula>
    </cfRule>
  </conditionalFormatting>
  <conditionalFormatting sqref="I22">
    <cfRule type="expression" dxfId="138" priority="27">
      <formula>COUNTBLANK($I22)</formula>
    </cfRule>
  </conditionalFormatting>
  <conditionalFormatting sqref="G3">
    <cfRule type="expression" dxfId="137" priority="25">
      <formula>COUNTBLANK($G3)</formula>
    </cfRule>
  </conditionalFormatting>
  <conditionalFormatting sqref="G4">
    <cfRule type="expression" dxfId="136" priority="24">
      <formula>COUNTBLANK($G4)</formula>
    </cfRule>
  </conditionalFormatting>
  <conditionalFormatting sqref="G6:G8">
    <cfRule type="expression" dxfId="135" priority="23">
      <formula>COUNTBLANK($G6)</formula>
    </cfRule>
  </conditionalFormatting>
  <conditionalFormatting sqref="G9:G11">
    <cfRule type="expression" dxfId="134" priority="22">
      <formula>COUNTBLANK($G9)</formula>
    </cfRule>
  </conditionalFormatting>
  <conditionalFormatting sqref="G12:G13">
    <cfRule type="expression" dxfId="133" priority="21">
      <formula>COUNTBLANK($G12)</formula>
    </cfRule>
  </conditionalFormatting>
  <conditionalFormatting sqref="G17">
    <cfRule type="expression" dxfId="132" priority="20">
      <formula>COUNTBLANK($G17)</formula>
    </cfRule>
  </conditionalFormatting>
  <conditionalFormatting sqref="G19">
    <cfRule type="expression" dxfId="131" priority="19">
      <formula>COUNTBLANK($G19)</formula>
    </cfRule>
  </conditionalFormatting>
  <conditionalFormatting sqref="G22:G24">
    <cfRule type="expression" dxfId="130" priority="18">
      <formula>COUNTBLANK($G22)</formula>
    </cfRule>
  </conditionalFormatting>
  <conditionalFormatting sqref="F17">
    <cfRule type="expression" dxfId="129" priority="17">
      <formula>COUNTBLANK($F17)</formula>
    </cfRule>
  </conditionalFormatting>
  <conditionalFormatting sqref="F15">
    <cfRule type="expression" dxfId="128" priority="16">
      <formula>COUNTBLANK($F15)</formula>
    </cfRule>
  </conditionalFormatting>
  <conditionalFormatting sqref="I23">
    <cfRule type="expression" dxfId="127" priority="15">
      <formula>COUNTBLANK($H23)</formula>
    </cfRule>
  </conditionalFormatting>
  <conditionalFormatting sqref="I24">
    <cfRule type="expression" dxfId="126" priority="14">
      <formula>COUNTBLANK($F24)</formula>
    </cfRule>
  </conditionalFormatting>
  <conditionalFormatting sqref="I19">
    <cfRule type="expression" dxfId="125" priority="13">
      <formula>COUNTBLANK($H19)</formula>
    </cfRule>
  </conditionalFormatting>
  <conditionalFormatting sqref="H19">
    <cfRule type="expression" dxfId="124" priority="12">
      <formula>COUNTBLANK($G19)</formula>
    </cfRule>
  </conditionalFormatting>
  <conditionalFormatting sqref="F19">
    <cfRule type="expression" dxfId="123" priority="11">
      <formula>COUNTBLANK($F19)</formula>
    </cfRule>
  </conditionalFormatting>
  <conditionalFormatting sqref="F12:F13">
    <cfRule type="expression" dxfId="122" priority="10">
      <formula>COUNTBLANK($F12)</formula>
    </cfRule>
  </conditionalFormatting>
  <conditionalFormatting sqref="F10">
    <cfRule type="expression" dxfId="121" priority="9">
      <formula>COUNTBLANK($F10)</formula>
    </cfRule>
  </conditionalFormatting>
  <conditionalFormatting sqref="F9">
    <cfRule type="expression" dxfId="120" priority="8">
      <formula>COUNTBLANK($F9)</formula>
    </cfRule>
  </conditionalFormatting>
  <conditionalFormatting sqref="H8">
    <cfRule type="expression" dxfId="119" priority="7">
      <formula>COUNTBLANK($H8)</formula>
    </cfRule>
  </conditionalFormatting>
  <conditionalFormatting sqref="F8">
    <cfRule type="expression" dxfId="118" priority="6">
      <formula>COUNTBLANK($F8)</formula>
    </cfRule>
  </conditionalFormatting>
  <conditionalFormatting sqref="H7">
    <cfRule type="expression" dxfId="117" priority="5">
      <formula>COUNTBLANK($H7)</formula>
    </cfRule>
  </conditionalFormatting>
  <conditionalFormatting sqref="F7">
    <cfRule type="expression" dxfId="116" priority="4">
      <formula>COUNTBLANK($F7)</formula>
    </cfRule>
  </conditionalFormatting>
  <conditionalFormatting sqref="F6">
    <cfRule type="expression" dxfId="115" priority="3">
      <formula>COUNTBLANK($F6)</formula>
    </cfRule>
  </conditionalFormatting>
  <conditionalFormatting sqref="F11">
    <cfRule type="expression" dxfId="114" priority="2">
      <formula>COUNTBLANK($F11)</formula>
    </cfRule>
  </conditionalFormatting>
  <conditionalFormatting sqref="J11">
    <cfRule type="expression" dxfId="113" priority="1">
      <formula>COUNTBLANK($I11)</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1" operator="equal" id="{11D500FD-FDA2-41F3-BD68-70E6EF53D921}">
            <xm:f>Sheet1!$A$5</xm:f>
            <x14:dxf>
              <fill>
                <patternFill>
                  <bgColor rgb="FFFF0000"/>
                </patternFill>
              </fill>
            </x14:dxf>
          </x14:cfRule>
          <x14:cfRule type="cellIs" priority="102" operator="equal" id="{47332B71-897F-4AC7-85EB-200D18759A47}">
            <xm:f>Sheet1!$A$4</xm:f>
            <x14:dxf>
              <fill>
                <patternFill>
                  <bgColor rgb="FFFFFF00"/>
                </patternFill>
              </fill>
            </x14:dxf>
          </x14:cfRule>
          <x14:cfRule type="cellIs" priority="103" operator="equal" id="{B82D2D86-5C56-4641-8135-9C8D8514310B}">
            <xm:f>Sheet1!$A$3</xm:f>
            <x14:dxf>
              <fill>
                <patternFill>
                  <bgColor theme="9" tint="0.59996337778862885"/>
                </patternFill>
              </fill>
            </x14:dxf>
          </x14:cfRule>
          <x14:cfRule type="cellIs" priority="104" operator="equal" id="{391A7650-F26B-4E86-9ACB-74C5ADCB38EC}">
            <xm:f>Sheet1!$A$2</xm:f>
            <x14:dxf>
              <fill>
                <patternFill>
                  <bgColor theme="9" tint="0.39994506668294322"/>
                </patternFill>
              </fill>
            </x14:dxf>
          </x14:cfRule>
          <xm:sqref>L34</xm:sqref>
        </x14:conditionalFormatting>
        <x14:conditionalFormatting xmlns:xm="http://schemas.microsoft.com/office/excel/2006/main">
          <x14:cfRule type="cellIs" priority="105" operator="equal" id="{D275DCF3-8D21-4BBA-871D-88A1FF010C7E}">
            <xm:f>Sheet1!$A$7</xm:f>
            <x14:dxf>
              <fill>
                <patternFill>
                  <bgColor theme="5"/>
                </patternFill>
              </fill>
            </x14:dxf>
          </x14:cfRule>
          <x14:cfRule type="cellIs" priority="106" operator="equal" id="{91E26091-EA3C-433F-A2A7-AF8B59B10DD0}">
            <xm:f>Sheet1!$A$6</xm:f>
            <x14:dxf>
              <fill>
                <patternFill>
                  <bgColor rgb="FF00B0F0"/>
                </patternFill>
              </fill>
            </x14:dxf>
          </x14:cfRule>
          <x14:cfRule type="cellIs" priority="107" operator="equal" id="{D6A49494-B662-417A-A95D-2097D9DFC775}">
            <xm:f>Sheet1!$A$5</xm:f>
            <x14:dxf>
              <fill>
                <patternFill>
                  <bgColor rgb="FFFF0000"/>
                </patternFill>
              </fill>
            </x14:dxf>
          </x14:cfRule>
          <x14:cfRule type="cellIs" priority="108" operator="equal" id="{D8D6A7B5-D3F3-46E0-84AD-C5FD5A4D6EBD}">
            <xm:f>Sheet1!$A$4</xm:f>
            <x14:dxf>
              <fill>
                <patternFill>
                  <bgColor rgb="FFFFFF00"/>
                </patternFill>
              </fill>
            </x14:dxf>
          </x14:cfRule>
          <x14:cfRule type="cellIs" priority="109" operator="equal" id="{73B4A612-9B9A-4EF0-B140-C3C8E0FA0532}">
            <xm:f>Sheet1!$A$3</xm:f>
            <x14:dxf>
              <fill>
                <patternFill>
                  <bgColor theme="9" tint="0.59996337778862885"/>
                </patternFill>
              </fill>
            </x14:dxf>
          </x14:cfRule>
          <x14:cfRule type="cellIs" priority="110" operator="equal" id="{C5FAD5E9-6B3A-4511-B7DE-F51C237C88B0}">
            <xm:f>Sheet1!$A$2</xm:f>
            <x14:dxf>
              <fill>
                <patternFill>
                  <bgColor theme="9" tint="0.39994506668294322"/>
                </patternFill>
              </fill>
            </x14:dxf>
          </x14:cfRule>
          <xm:sqref>K4:K34</xm:sqref>
        </x14:conditionalFormatting>
        <x14:conditionalFormatting xmlns:xm="http://schemas.microsoft.com/office/excel/2006/main">
          <x14:cfRule type="cellIs" priority="77" operator="equal" id="{325A1979-307A-42EA-B9D6-9CDCC28CC9A6}">
            <xm:f>Sheet1!$A$7</xm:f>
            <x14:dxf>
              <fill>
                <patternFill>
                  <bgColor theme="5"/>
                </patternFill>
              </fill>
            </x14:dxf>
          </x14:cfRule>
          <x14:cfRule type="cellIs" priority="78" operator="equal" id="{E4B77695-746F-46C9-8CD3-AADD7708A753}">
            <xm:f>Sheet1!$A$6</xm:f>
            <x14:dxf>
              <fill>
                <patternFill>
                  <bgColor rgb="FF00B0F0"/>
                </patternFill>
              </fill>
            </x14:dxf>
          </x14:cfRule>
          <x14:cfRule type="cellIs" priority="79" operator="equal" id="{F86D644E-AB8C-4B72-AD8E-E0CA0191FA46}">
            <xm:f>Sheet1!$A$5</xm:f>
            <x14:dxf>
              <fill>
                <patternFill>
                  <bgColor rgb="FFFF0000"/>
                </patternFill>
              </fill>
            </x14:dxf>
          </x14:cfRule>
          <x14:cfRule type="cellIs" priority="80" operator="equal" id="{D0E1BF3A-F1B3-4AB9-AD40-9812EEA6AF1F}">
            <xm:f>Sheet1!$A$4</xm:f>
            <x14:dxf>
              <fill>
                <patternFill>
                  <bgColor rgb="FFFFFF00"/>
                </patternFill>
              </fill>
            </x14:dxf>
          </x14:cfRule>
          <x14:cfRule type="cellIs" priority="81" operator="equal" id="{113CB6EB-D59F-46A6-9E1D-A86C265BED9E}">
            <xm:f>Sheet1!$A$3</xm:f>
            <x14:dxf>
              <fill>
                <patternFill>
                  <bgColor theme="9" tint="0.59996337778862885"/>
                </patternFill>
              </fill>
            </x14:dxf>
          </x14:cfRule>
          <x14:cfRule type="cellIs" priority="82" operator="equal" id="{A9386522-99D8-4413-B1C4-440524D5A8AD}">
            <xm:f>Sheet1!$A$2</xm:f>
            <x14:dxf>
              <fill>
                <patternFill>
                  <bgColor theme="9" tint="0.39994506668294322"/>
                </patternFill>
              </fill>
            </x14:dxf>
          </x14:cfRule>
          <xm:sqref>K3:K29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FD076059-598D-497A-BED3-24813FAEE15C}">
          <x14:formula1>
            <xm:f>Sheet1!$E$2:$E$49</xm:f>
          </x14:formula1>
          <xm:sqref>E3:E29</xm:sqref>
        </x14:dataValidation>
        <x14:dataValidation type="list" allowBlank="1" showInputMessage="1" showErrorMessage="1" xr:uid="{9C1DE3D1-34C8-461D-A147-D941F6302D90}">
          <x14:formula1>
            <xm:f>Sheet1!$A$2:$A$5</xm:f>
          </x14:formula1>
          <xm:sqref>L34</xm:sqref>
        </x14:dataValidation>
        <x14:dataValidation type="list" allowBlank="1" showInputMessage="1" showErrorMessage="1" xr:uid="{A33E0237-209B-4B3A-A68E-A1A488BB93D8}">
          <x14:formula1>
            <xm:f>Sheet1!$B$2:$B$6</xm:f>
          </x14:formula1>
          <xm:sqref>B3:B29</xm:sqref>
        </x14:dataValidation>
        <x14:dataValidation type="list" allowBlank="1" showInputMessage="1" showErrorMessage="1" xr:uid="{514A1E7D-C50E-4852-9E95-2BA8DE2215E8}">
          <x14:formula1>
            <xm:f>Sheet1!$E$2:$E$48</xm:f>
          </x14:formula1>
          <xm:sqref>E30:E34</xm:sqref>
        </x14:dataValidation>
        <x14:dataValidation type="list" allowBlank="1" showInputMessage="1" showErrorMessage="1" xr:uid="{4DBC3D29-923B-42CC-9BE5-723FDFE92E5C}">
          <x14:formula1>
            <xm:f>Sheet1!$D$2:$D$281</xm:f>
          </x14:formula1>
          <xm:sqref>D3:D29</xm:sqref>
        </x14:dataValidation>
        <x14:dataValidation type="list" allowBlank="1" showInputMessage="1" showErrorMessage="1" xr:uid="{DBF47D13-CEB7-43FF-B2A7-C06AD4B0987F}">
          <x14:formula1>
            <xm:f>Sheet1!$A$2:$A$7</xm:f>
          </x14:formula1>
          <xm:sqref>K3:K34</xm:sqref>
        </x14:dataValidation>
        <x14:dataValidation type="list" allowBlank="1" showInputMessage="1" showErrorMessage="1" xr:uid="{F78F38FE-609F-49C7-A8DF-CC9C9EA396F1}">
          <x14:formula1>
            <xm:f>_xlfn.IFS(B3=Sheet1!$B$2,Sheet1!$C$2:$C$114,B3=Sheet1!$B$3,Sheet1!$C$115:$C$239, B3=Sheet1!$B$4,Sheet1!$C$240:$C$297,B3=Sheet1!$B$5,Sheet1!$C$298:$C$347,B3=Sheet1!$B$6,Sheet1!$C$2:$C$347)</xm:f>
          </x14:formula1>
          <xm:sqref>C3:C29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C2AD-6FA5-48F3-AA70-1CBF086B1946}">
  <sheetPr codeName="Sheet5"/>
  <dimension ref="A1:R50"/>
  <sheetViews>
    <sheetView tabSelected="1" zoomScale="80" zoomScaleNormal="80" workbookViewId="0">
      <pane xSplit="1" ySplit="2" topLeftCell="G3" activePane="bottomRight" state="frozen"/>
      <selection pane="topRight" activeCell="B1" sqref="B1"/>
      <selection pane="bottomLeft" activeCell="A3" sqref="A3"/>
      <selection pane="bottomRight" activeCell="J6" sqref="J6"/>
    </sheetView>
  </sheetViews>
  <sheetFormatPr defaultColWidth="9.140625" defaultRowHeight="15" x14ac:dyDescent="0.25"/>
  <cols>
    <col min="1" max="1" width="30.7109375" customWidth="1"/>
    <col min="2" max="5" width="8.7109375" customWidth="1"/>
    <col min="6" max="6" width="24.140625" customWidth="1"/>
    <col min="7" max="7" width="42.7109375" customWidth="1"/>
    <col min="8" max="8" width="33.42578125" customWidth="1"/>
    <col min="9" max="9" width="30.7109375" style="54"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860</v>
      </c>
      <c r="B1" s="43" t="s">
        <v>864</v>
      </c>
      <c r="D1" s="44" t="s">
        <v>861</v>
      </c>
      <c r="E1" s="43"/>
      <c r="F1" s="45"/>
      <c r="G1" s="45"/>
      <c r="H1" s="45"/>
      <c r="I1" s="52"/>
      <c r="J1" s="45"/>
      <c r="K1" s="45"/>
      <c r="L1" s="45"/>
      <c r="M1" s="45"/>
      <c r="N1" s="45"/>
      <c r="O1" s="45"/>
      <c r="P1" s="46"/>
      <c r="Q1" s="45"/>
      <c r="R1" s="47"/>
    </row>
    <row r="2" spans="1:18" s="3" customFormat="1" ht="85.5" customHeight="1" x14ac:dyDescent="0.25">
      <c r="A2" s="4" t="s">
        <v>61</v>
      </c>
      <c r="B2" s="42"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45" x14ac:dyDescent="0.25">
      <c r="A3" s="2" t="s">
        <v>29</v>
      </c>
      <c r="B3" s="1" t="s">
        <v>827</v>
      </c>
      <c r="C3" s="55" t="s">
        <v>465</v>
      </c>
      <c r="D3" s="55" t="s">
        <v>843</v>
      </c>
      <c r="E3" s="55" t="s">
        <v>800</v>
      </c>
      <c r="F3" s="1" t="s">
        <v>865</v>
      </c>
      <c r="G3" s="1" t="s">
        <v>905</v>
      </c>
      <c r="H3" s="1" t="s">
        <v>865</v>
      </c>
      <c r="I3" s="53" t="s">
        <v>865</v>
      </c>
      <c r="J3" s="62" t="s">
        <v>904</v>
      </c>
      <c r="K3" s="29" t="s">
        <v>840</v>
      </c>
      <c r="L3" s="1"/>
      <c r="M3" s="9"/>
      <c r="N3" s="9"/>
      <c r="O3" s="9"/>
      <c r="P3" s="8" t="s">
        <v>101</v>
      </c>
      <c r="Q3" s="11" t="s">
        <v>35</v>
      </c>
      <c r="R3" s="11" t="s">
        <v>132</v>
      </c>
    </row>
    <row r="4" spans="1:18" s="3" customFormat="1" ht="45" x14ac:dyDescent="0.25">
      <c r="A4" s="2" t="s">
        <v>30</v>
      </c>
      <c r="B4" s="1" t="s">
        <v>827</v>
      </c>
      <c r="C4" s="55" t="s">
        <v>465</v>
      </c>
      <c r="D4" s="55" t="s">
        <v>843</v>
      </c>
      <c r="E4" s="55" t="s">
        <v>800</v>
      </c>
      <c r="F4" s="1" t="s">
        <v>865</v>
      </c>
      <c r="G4" s="1" t="s">
        <v>906</v>
      </c>
      <c r="H4" s="1" t="s">
        <v>865</v>
      </c>
      <c r="I4" s="53" t="s">
        <v>865</v>
      </c>
      <c r="J4" s="62" t="s">
        <v>904</v>
      </c>
      <c r="K4" s="29" t="s">
        <v>840</v>
      </c>
      <c r="L4" s="1"/>
      <c r="M4" s="9"/>
      <c r="N4" s="9"/>
      <c r="O4" s="9"/>
      <c r="P4" s="8" t="s">
        <v>62</v>
      </c>
      <c r="Q4" s="11" t="s">
        <v>36</v>
      </c>
      <c r="R4" s="11"/>
    </row>
    <row r="5" spans="1:18" s="3" customFormat="1" ht="30" x14ac:dyDescent="0.25">
      <c r="A5" s="2" t="s">
        <v>28</v>
      </c>
      <c r="B5" s="1" t="s">
        <v>827</v>
      </c>
      <c r="C5" s="55" t="s">
        <v>465</v>
      </c>
      <c r="D5" s="55" t="s">
        <v>843</v>
      </c>
      <c r="E5" s="55" t="s">
        <v>800</v>
      </c>
      <c r="F5" s="1" t="s">
        <v>865</v>
      </c>
      <c r="G5" s="1" t="s">
        <v>865</v>
      </c>
      <c r="H5" s="1" t="s">
        <v>865</v>
      </c>
      <c r="I5" s="53" t="s">
        <v>865</v>
      </c>
      <c r="J5" s="1" t="s">
        <v>858</v>
      </c>
      <c r="K5" s="29" t="s">
        <v>840</v>
      </c>
      <c r="L5" s="1"/>
      <c r="M5" s="9"/>
      <c r="N5" s="9"/>
      <c r="O5" s="9"/>
      <c r="P5" s="8" t="s">
        <v>101</v>
      </c>
      <c r="Q5" s="8" t="s">
        <v>37</v>
      </c>
      <c r="R5" s="11"/>
    </row>
    <row r="6" spans="1:18" s="3" customFormat="1" ht="285" x14ac:dyDescent="0.25">
      <c r="A6" s="2" t="s">
        <v>2</v>
      </c>
      <c r="B6" s="1" t="s">
        <v>827</v>
      </c>
      <c r="C6" s="55" t="s">
        <v>465</v>
      </c>
      <c r="D6" s="55" t="s">
        <v>843</v>
      </c>
      <c r="E6" s="55" t="s">
        <v>800</v>
      </c>
      <c r="F6" s="51" t="s">
        <v>847</v>
      </c>
      <c r="G6" s="63" t="s">
        <v>907</v>
      </c>
      <c r="H6" s="51" t="s">
        <v>962</v>
      </c>
      <c r="I6" s="64">
        <v>6</v>
      </c>
      <c r="J6" s="51" t="s">
        <v>994</v>
      </c>
      <c r="K6" s="29" t="s">
        <v>148</v>
      </c>
      <c r="L6" s="1"/>
      <c r="M6" s="9"/>
      <c r="N6" s="9"/>
      <c r="O6" s="9"/>
      <c r="P6" s="8" t="s">
        <v>101</v>
      </c>
      <c r="Q6" s="8" t="s">
        <v>32</v>
      </c>
      <c r="R6" s="11" t="s">
        <v>131</v>
      </c>
    </row>
    <row r="7" spans="1:18" s="3" customFormat="1" ht="90" x14ac:dyDescent="0.25">
      <c r="A7" s="2" t="s">
        <v>1</v>
      </c>
      <c r="B7" s="1" t="s">
        <v>827</v>
      </c>
      <c r="C7" s="55" t="s">
        <v>465</v>
      </c>
      <c r="D7" s="55" t="s">
        <v>843</v>
      </c>
      <c r="E7" s="55" t="s">
        <v>800</v>
      </c>
      <c r="F7" s="51" t="s">
        <v>946</v>
      </c>
      <c r="G7" s="63" t="s">
        <v>908</v>
      </c>
      <c r="H7" s="51" t="s">
        <v>848</v>
      </c>
      <c r="I7" s="64">
        <v>4</v>
      </c>
      <c r="J7" s="50"/>
      <c r="K7" s="29" t="s">
        <v>148</v>
      </c>
      <c r="L7" s="1"/>
      <c r="M7" s="9"/>
      <c r="N7" s="9"/>
      <c r="O7" s="9"/>
      <c r="P7" s="8" t="s">
        <v>101</v>
      </c>
      <c r="Q7" s="11" t="s">
        <v>33</v>
      </c>
      <c r="R7" s="11"/>
    </row>
    <row r="8" spans="1:18" s="3" customFormat="1" ht="89.25" customHeight="1" x14ac:dyDescent="0.25">
      <c r="A8" s="2" t="s">
        <v>5</v>
      </c>
      <c r="B8" s="1" t="s">
        <v>827</v>
      </c>
      <c r="C8" s="55" t="s">
        <v>465</v>
      </c>
      <c r="D8" s="55" t="s">
        <v>843</v>
      </c>
      <c r="E8" s="55" t="s">
        <v>800</v>
      </c>
      <c r="F8" s="67" t="s">
        <v>946</v>
      </c>
      <c r="G8" s="63" t="s">
        <v>909</v>
      </c>
      <c r="H8" s="67" t="s">
        <v>849</v>
      </c>
      <c r="I8" s="64">
        <v>21</v>
      </c>
      <c r="J8" s="65" t="s">
        <v>850</v>
      </c>
      <c r="K8" s="29" t="s">
        <v>148</v>
      </c>
      <c r="L8" s="1"/>
      <c r="M8" s="9"/>
      <c r="N8" s="9"/>
      <c r="O8" s="9"/>
      <c r="P8" s="8" t="s">
        <v>101</v>
      </c>
      <c r="Q8" s="8" t="s">
        <v>43</v>
      </c>
      <c r="R8" s="11" t="s">
        <v>140</v>
      </c>
    </row>
    <row r="9" spans="1:18" s="3" customFormat="1" ht="126" customHeight="1" x14ac:dyDescent="0.25">
      <c r="A9" s="2" t="s">
        <v>17</v>
      </c>
      <c r="B9" s="1" t="s">
        <v>827</v>
      </c>
      <c r="C9" s="55" t="s">
        <v>465</v>
      </c>
      <c r="D9" s="55" t="s">
        <v>843</v>
      </c>
      <c r="E9" s="55" t="s">
        <v>800</v>
      </c>
      <c r="F9" s="67" t="s">
        <v>946</v>
      </c>
      <c r="G9" s="63" t="s">
        <v>911</v>
      </c>
      <c r="H9" s="51" t="s">
        <v>849</v>
      </c>
      <c r="I9" s="64">
        <v>5</v>
      </c>
      <c r="J9" s="65" t="s">
        <v>1002</v>
      </c>
      <c r="K9" s="29" t="s">
        <v>148</v>
      </c>
      <c r="L9" s="1"/>
      <c r="M9" s="9"/>
      <c r="N9" s="9"/>
      <c r="O9" s="9"/>
      <c r="P9" s="8" t="s">
        <v>101</v>
      </c>
      <c r="Q9" s="8" t="s">
        <v>34</v>
      </c>
      <c r="R9" s="11"/>
    </row>
    <row r="10" spans="1:18" s="3" customFormat="1" ht="30" x14ac:dyDescent="0.25">
      <c r="A10" s="2" t="s">
        <v>16</v>
      </c>
      <c r="B10" s="1" t="s">
        <v>827</v>
      </c>
      <c r="C10" s="55" t="s">
        <v>465</v>
      </c>
      <c r="D10" s="55" t="s">
        <v>843</v>
      </c>
      <c r="E10" s="55" t="s">
        <v>800</v>
      </c>
      <c r="F10" s="50" t="s">
        <v>862</v>
      </c>
      <c r="G10" s="63" t="s">
        <v>912</v>
      </c>
      <c r="H10" s="51" t="s">
        <v>862</v>
      </c>
      <c r="I10" s="64" t="s">
        <v>862</v>
      </c>
      <c r="J10" s="64" t="s">
        <v>862</v>
      </c>
      <c r="K10" s="29" t="s">
        <v>841</v>
      </c>
      <c r="L10" s="1"/>
      <c r="M10" s="9"/>
      <c r="N10" s="9"/>
      <c r="O10" s="9"/>
      <c r="P10" s="8" t="s">
        <v>101</v>
      </c>
      <c r="Q10" s="8" t="s">
        <v>38</v>
      </c>
      <c r="R10" s="11">
        <v>4.5</v>
      </c>
    </row>
    <row r="11" spans="1:18" s="3" customFormat="1" ht="90" x14ac:dyDescent="0.25">
      <c r="A11" s="2" t="s">
        <v>4</v>
      </c>
      <c r="B11" s="1" t="s">
        <v>827</v>
      </c>
      <c r="C11" s="55" t="s">
        <v>465</v>
      </c>
      <c r="D11" s="55" t="s">
        <v>843</v>
      </c>
      <c r="E11" s="55" t="s">
        <v>800</v>
      </c>
      <c r="F11" s="67" t="s">
        <v>946</v>
      </c>
      <c r="G11" s="63" t="s">
        <v>913</v>
      </c>
      <c r="H11" s="65" t="s">
        <v>961</v>
      </c>
      <c r="I11" s="64">
        <v>7</v>
      </c>
      <c r="J11" s="65" t="s">
        <v>849</v>
      </c>
      <c r="K11" s="29" t="s">
        <v>148</v>
      </c>
      <c r="L11" s="1"/>
      <c r="M11" s="9"/>
      <c r="N11" s="9"/>
      <c r="O11" s="9"/>
      <c r="P11" s="7" t="s">
        <v>62</v>
      </c>
      <c r="Q11" s="7" t="s">
        <v>39</v>
      </c>
      <c r="R11" s="11"/>
    </row>
    <row r="12" spans="1:18" s="3" customFormat="1" ht="60" x14ac:dyDescent="0.25">
      <c r="A12" s="2" t="s">
        <v>7</v>
      </c>
      <c r="B12" s="1" t="s">
        <v>827</v>
      </c>
      <c r="C12" s="55" t="s">
        <v>465</v>
      </c>
      <c r="D12" s="55" t="s">
        <v>843</v>
      </c>
      <c r="E12" s="55" t="s">
        <v>800</v>
      </c>
      <c r="F12" s="67" t="s">
        <v>946</v>
      </c>
      <c r="G12" s="51" t="s">
        <v>1003</v>
      </c>
      <c r="H12" s="67" t="s">
        <v>993</v>
      </c>
      <c r="I12" s="64">
        <v>6</v>
      </c>
      <c r="J12" s="68" t="s">
        <v>851</v>
      </c>
      <c r="K12" s="29" t="s">
        <v>148</v>
      </c>
      <c r="L12" s="1"/>
      <c r="M12" s="9"/>
      <c r="N12" s="9"/>
      <c r="O12" s="9"/>
      <c r="P12" s="8" t="s">
        <v>101</v>
      </c>
      <c r="Q12" s="12" t="s">
        <v>40</v>
      </c>
      <c r="R12" s="11"/>
    </row>
    <row r="13" spans="1:18" s="3" customFormat="1" ht="60" x14ac:dyDescent="0.25">
      <c r="A13" s="2" t="s">
        <v>19</v>
      </c>
      <c r="B13" s="1" t="s">
        <v>827</v>
      </c>
      <c r="C13" s="55" t="s">
        <v>465</v>
      </c>
      <c r="D13" s="55" t="s">
        <v>843</v>
      </c>
      <c r="E13" s="55" t="s">
        <v>800</v>
      </c>
      <c r="F13" s="67" t="s">
        <v>946</v>
      </c>
      <c r="G13" s="63" t="s">
        <v>915</v>
      </c>
      <c r="H13" s="67" t="s">
        <v>963</v>
      </c>
      <c r="I13" s="64">
        <v>7</v>
      </c>
      <c r="J13" s="50"/>
      <c r="K13" s="29" t="s">
        <v>148</v>
      </c>
      <c r="L13" s="1"/>
      <c r="M13" s="9"/>
      <c r="N13" s="9"/>
      <c r="O13" s="9"/>
      <c r="P13" s="8" t="s">
        <v>101</v>
      </c>
      <c r="Q13" s="8" t="s">
        <v>50</v>
      </c>
      <c r="R13" s="11" t="s">
        <v>135</v>
      </c>
    </row>
    <row r="14" spans="1:18" s="3" customFormat="1" ht="31.5" x14ac:dyDescent="0.25">
      <c r="A14" s="2" t="s">
        <v>9</v>
      </c>
      <c r="B14" s="1" t="s">
        <v>827</v>
      </c>
      <c r="C14" s="55" t="s">
        <v>465</v>
      </c>
      <c r="D14" s="55" t="s">
        <v>843</v>
      </c>
      <c r="E14" s="55" t="s">
        <v>800</v>
      </c>
      <c r="F14" s="1" t="s">
        <v>865</v>
      </c>
      <c r="G14" s="51" t="s">
        <v>859</v>
      </c>
      <c r="H14" s="1" t="s">
        <v>865</v>
      </c>
      <c r="I14" s="53" t="s">
        <v>865</v>
      </c>
      <c r="J14" s="1" t="s">
        <v>858</v>
      </c>
      <c r="K14" s="29" t="s">
        <v>840</v>
      </c>
      <c r="L14" s="1"/>
      <c r="M14" s="9"/>
      <c r="N14" s="9"/>
      <c r="O14" s="9"/>
      <c r="P14" s="8" t="s">
        <v>101</v>
      </c>
      <c r="Q14" s="8" t="s">
        <v>42</v>
      </c>
      <c r="R14" s="11"/>
    </row>
    <row r="15" spans="1:18" s="3" customFormat="1" ht="240" x14ac:dyDescent="0.25">
      <c r="A15" s="2" t="s">
        <v>10</v>
      </c>
      <c r="B15" s="1" t="s">
        <v>827</v>
      </c>
      <c r="C15" s="55" t="s">
        <v>465</v>
      </c>
      <c r="D15" s="55" t="s">
        <v>843</v>
      </c>
      <c r="E15" s="55" t="s">
        <v>800</v>
      </c>
      <c r="F15" s="50" t="s">
        <v>852</v>
      </c>
      <c r="G15" s="51" t="s">
        <v>916</v>
      </c>
      <c r="H15" s="51" t="s">
        <v>937</v>
      </c>
      <c r="I15" s="64">
        <v>2</v>
      </c>
      <c r="J15" s="50"/>
      <c r="K15" s="29" t="s">
        <v>148</v>
      </c>
      <c r="L15" s="1"/>
      <c r="M15" s="9"/>
      <c r="N15" s="9"/>
      <c r="O15" s="9"/>
      <c r="P15" s="8" t="s">
        <v>101</v>
      </c>
      <c r="Q15" s="8" t="s">
        <v>41</v>
      </c>
      <c r="R15" s="11"/>
    </row>
    <row r="16" spans="1:18" s="3" customFormat="1" ht="31.5" x14ac:dyDescent="0.25">
      <c r="A16" s="2" t="s">
        <v>11</v>
      </c>
      <c r="B16" s="1" t="s">
        <v>827</v>
      </c>
      <c r="C16" s="55" t="s">
        <v>465</v>
      </c>
      <c r="D16" s="55" t="s">
        <v>843</v>
      </c>
      <c r="E16" s="55" t="s">
        <v>800</v>
      </c>
      <c r="F16" s="51" t="s">
        <v>865</v>
      </c>
      <c r="G16" s="51" t="s">
        <v>859</v>
      </c>
      <c r="H16" s="51" t="s">
        <v>865</v>
      </c>
      <c r="I16" s="64" t="s">
        <v>865</v>
      </c>
      <c r="J16" s="51" t="s">
        <v>858</v>
      </c>
      <c r="K16" s="29" t="s">
        <v>840</v>
      </c>
      <c r="L16" s="1"/>
      <c r="M16" s="9"/>
      <c r="N16" s="9"/>
      <c r="O16" s="9"/>
      <c r="P16" s="8" t="s">
        <v>101</v>
      </c>
      <c r="Q16" s="8" t="s">
        <v>44</v>
      </c>
      <c r="R16" s="11"/>
    </row>
    <row r="17" spans="1:18" s="3" customFormat="1" ht="75" x14ac:dyDescent="0.25">
      <c r="A17" s="2" t="s">
        <v>12</v>
      </c>
      <c r="B17" s="1" t="s">
        <v>827</v>
      </c>
      <c r="C17" s="55" t="s">
        <v>465</v>
      </c>
      <c r="D17" s="55" t="s">
        <v>843</v>
      </c>
      <c r="E17" s="55" t="s">
        <v>800</v>
      </c>
      <c r="F17" s="51" t="s">
        <v>847</v>
      </c>
      <c r="G17" s="63" t="s">
        <v>934</v>
      </c>
      <c r="H17" s="51" t="s">
        <v>932</v>
      </c>
      <c r="I17" s="61"/>
      <c r="J17" s="51" t="s">
        <v>933</v>
      </c>
      <c r="K17" s="29" t="s">
        <v>148</v>
      </c>
      <c r="L17" s="1"/>
      <c r="M17" s="9"/>
      <c r="N17" s="9"/>
      <c r="O17" s="9"/>
      <c r="P17" s="8" t="s">
        <v>101</v>
      </c>
      <c r="Q17" s="8" t="s">
        <v>45</v>
      </c>
      <c r="R17" s="11" t="s">
        <v>138</v>
      </c>
    </row>
    <row r="18" spans="1:18" s="3" customFormat="1" ht="45" x14ac:dyDescent="0.25">
      <c r="A18" s="2" t="s">
        <v>13</v>
      </c>
      <c r="B18" s="1" t="s">
        <v>827</v>
      </c>
      <c r="C18" s="55" t="s">
        <v>465</v>
      </c>
      <c r="D18" s="55" t="s">
        <v>843</v>
      </c>
      <c r="E18" s="55" t="s">
        <v>800</v>
      </c>
      <c r="F18" s="51" t="s">
        <v>865</v>
      </c>
      <c r="G18" s="51" t="s">
        <v>859</v>
      </c>
      <c r="H18" s="51" t="s">
        <v>865</v>
      </c>
      <c r="I18" s="64" t="s">
        <v>865</v>
      </c>
      <c r="J18" s="51" t="s">
        <v>858</v>
      </c>
      <c r="K18" s="29" t="s">
        <v>840</v>
      </c>
      <c r="L18" s="1"/>
      <c r="M18" s="9"/>
      <c r="N18" s="9"/>
      <c r="O18" s="9"/>
      <c r="P18" s="8" t="s">
        <v>101</v>
      </c>
      <c r="Q18" s="8" t="s">
        <v>51</v>
      </c>
      <c r="R18" s="11"/>
    </row>
    <row r="19" spans="1:18" s="3" customFormat="1" ht="120" x14ac:dyDescent="0.25">
      <c r="A19" s="2" t="s">
        <v>21</v>
      </c>
      <c r="B19" s="1" t="s">
        <v>827</v>
      </c>
      <c r="C19" s="55" t="s">
        <v>465</v>
      </c>
      <c r="D19" s="55" t="s">
        <v>843</v>
      </c>
      <c r="E19" s="55" t="s">
        <v>800</v>
      </c>
      <c r="F19" s="51" t="s">
        <v>852</v>
      </c>
      <c r="G19" s="63" t="s">
        <v>935</v>
      </c>
      <c r="H19" s="51" t="s">
        <v>853</v>
      </c>
      <c r="I19" s="64">
        <v>1</v>
      </c>
      <c r="J19" s="51" t="s">
        <v>1000</v>
      </c>
      <c r="K19" s="29" t="s">
        <v>148</v>
      </c>
      <c r="L19" s="1"/>
      <c r="M19" s="9"/>
      <c r="N19" s="9"/>
      <c r="O19" s="9"/>
      <c r="P19" s="7" t="s">
        <v>62</v>
      </c>
      <c r="Q19" s="7" t="s">
        <v>52</v>
      </c>
      <c r="R19" s="11"/>
    </row>
    <row r="20" spans="1:18" s="3" customFormat="1" ht="30" x14ac:dyDescent="0.25">
      <c r="A20" s="2" t="s">
        <v>6</v>
      </c>
      <c r="B20" s="1" t="s">
        <v>827</v>
      </c>
      <c r="C20" s="55" t="s">
        <v>465</v>
      </c>
      <c r="D20" s="55" t="s">
        <v>843</v>
      </c>
      <c r="E20" s="55" t="s">
        <v>800</v>
      </c>
      <c r="F20" s="1" t="s">
        <v>862</v>
      </c>
      <c r="G20" s="51" t="s">
        <v>862</v>
      </c>
      <c r="H20" s="1" t="s">
        <v>862</v>
      </c>
      <c r="I20" s="53" t="s">
        <v>862</v>
      </c>
      <c r="J20" s="1" t="s">
        <v>862</v>
      </c>
      <c r="K20" s="29" t="s">
        <v>841</v>
      </c>
      <c r="L20" s="1"/>
      <c r="M20" s="9"/>
      <c r="N20" s="9"/>
      <c r="O20" s="9"/>
      <c r="P20" s="8" t="s">
        <v>101</v>
      </c>
      <c r="Q20" s="8" t="s">
        <v>46</v>
      </c>
      <c r="R20" s="11"/>
    </row>
    <row r="21" spans="1:18" s="3" customFormat="1" ht="45" x14ac:dyDescent="0.25">
      <c r="A21" s="2" t="s">
        <v>3</v>
      </c>
      <c r="B21" s="1" t="s">
        <v>827</v>
      </c>
      <c r="C21" s="55" t="s">
        <v>465</v>
      </c>
      <c r="D21" s="55" t="s">
        <v>843</v>
      </c>
      <c r="E21" s="55" t="s">
        <v>800</v>
      </c>
      <c r="F21" s="1" t="s">
        <v>865</v>
      </c>
      <c r="G21" s="51" t="s">
        <v>859</v>
      </c>
      <c r="H21" s="1" t="s">
        <v>865</v>
      </c>
      <c r="I21" s="53" t="s">
        <v>865</v>
      </c>
      <c r="J21" s="1" t="s">
        <v>858</v>
      </c>
      <c r="K21" s="29" t="s">
        <v>840</v>
      </c>
      <c r="L21" s="1"/>
      <c r="M21" s="9"/>
      <c r="N21" s="9"/>
      <c r="O21" s="9"/>
      <c r="P21" s="8" t="s">
        <v>101</v>
      </c>
      <c r="Q21" s="8" t="s">
        <v>53</v>
      </c>
      <c r="R21" s="11" t="s">
        <v>133</v>
      </c>
    </row>
    <row r="22" spans="1:18" s="3" customFormat="1" ht="45" x14ac:dyDescent="0.25">
      <c r="A22" s="2" t="s">
        <v>18</v>
      </c>
      <c r="B22" s="1" t="s">
        <v>827</v>
      </c>
      <c r="C22" s="55" t="s">
        <v>465</v>
      </c>
      <c r="D22" s="55" t="s">
        <v>843</v>
      </c>
      <c r="E22" s="55" t="s">
        <v>800</v>
      </c>
      <c r="F22" s="51" t="s">
        <v>940</v>
      </c>
      <c r="G22" s="63" t="s">
        <v>919</v>
      </c>
      <c r="H22" s="51" t="s">
        <v>999</v>
      </c>
      <c r="I22" s="64"/>
      <c r="J22" s="51" t="s">
        <v>854</v>
      </c>
      <c r="K22" s="29" t="s">
        <v>148</v>
      </c>
      <c r="L22" s="1"/>
      <c r="M22" s="9"/>
      <c r="N22" s="9"/>
      <c r="O22" s="9"/>
      <c r="P22" s="8" t="s">
        <v>62</v>
      </c>
      <c r="Q22" s="8" t="s">
        <v>47</v>
      </c>
      <c r="R22" s="11" t="s">
        <v>139</v>
      </c>
    </row>
    <row r="23" spans="1:18" s="3" customFormat="1" ht="75" x14ac:dyDescent="0.25">
      <c r="A23" s="2" t="s">
        <v>8</v>
      </c>
      <c r="B23" s="1" t="s">
        <v>827</v>
      </c>
      <c r="C23" s="55" t="s">
        <v>465</v>
      </c>
      <c r="D23" s="55" t="s">
        <v>843</v>
      </c>
      <c r="E23" s="55" t="s">
        <v>800</v>
      </c>
      <c r="F23" s="51" t="s">
        <v>940</v>
      </c>
      <c r="G23" s="63" t="s">
        <v>920</v>
      </c>
      <c r="H23" s="51" t="s">
        <v>855</v>
      </c>
      <c r="I23" s="64"/>
      <c r="J23" s="51" t="s">
        <v>856</v>
      </c>
      <c r="K23" s="29" t="s">
        <v>148</v>
      </c>
      <c r="L23" s="1"/>
      <c r="M23" s="9"/>
      <c r="N23" s="9"/>
      <c r="O23" s="9"/>
      <c r="P23" s="8" t="s">
        <v>62</v>
      </c>
      <c r="Q23" s="8" t="s">
        <v>31</v>
      </c>
      <c r="R23" s="11"/>
    </row>
    <row r="24" spans="1:18" s="3" customFormat="1" ht="30" x14ac:dyDescent="0.25">
      <c r="A24" s="2" t="s">
        <v>14</v>
      </c>
      <c r="B24" s="1" t="s">
        <v>827</v>
      </c>
      <c r="C24" s="55" t="s">
        <v>465</v>
      </c>
      <c r="D24" s="55" t="s">
        <v>843</v>
      </c>
      <c r="E24" s="55" t="s">
        <v>800</v>
      </c>
      <c r="F24" s="51" t="s">
        <v>847</v>
      </c>
      <c r="G24" s="63" t="s">
        <v>921</v>
      </c>
      <c r="H24" s="51" t="s">
        <v>997</v>
      </c>
      <c r="I24" s="64" t="s">
        <v>862</v>
      </c>
      <c r="J24" s="51" t="s">
        <v>998</v>
      </c>
      <c r="K24" s="29" t="s">
        <v>148</v>
      </c>
      <c r="L24" s="1"/>
      <c r="M24" s="9"/>
      <c r="N24" s="9"/>
      <c r="O24" s="9"/>
      <c r="P24" s="8" t="s">
        <v>62</v>
      </c>
      <c r="Q24" s="8" t="s">
        <v>48</v>
      </c>
      <c r="R24" s="11"/>
    </row>
    <row r="25" spans="1:18" s="3" customFormat="1" ht="30" x14ac:dyDescent="0.25">
      <c r="A25" s="2" t="s">
        <v>0</v>
      </c>
      <c r="B25" s="1" t="s">
        <v>827</v>
      </c>
      <c r="C25" s="55" t="s">
        <v>465</v>
      </c>
      <c r="D25" s="55" t="s">
        <v>843</v>
      </c>
      <c r="E25" s="55" t="s">
        <v>800</v>
      </c>
      <c r="F25" s="1" t="s">
        <v>865</v>
      </c>
      <c r="G25" s="51" t="s">
        <v>859</v>
      </c>
      <c r="H25" s="1" t="s">
        <v>865</v>
      </c>
      <c r="I25" s="53" t="s">
        <v>865</v>
      </c>
      <c r="J25" s="1" t="s">
        <v>863</v>
      </c>
      <c r="K25" s="29" t="s">
        <v>840</v>
      </c>
      <c r="L25" s="50"/>
      <c r="M25" s="9"/>
      <c r="N25" s="9"/>
      <c r="O25" s="9"/>
      <c r="P25" s="8" t="s">
        <v>62</v>
      </c>
      <c r="Q25" s="8" t="s">
        <v>49</v>
      </c>
      <c r="R25" s="11"/>
    </row>
    <row r="26" spans="1:18" s="3" customFormat="1" ht="31.5" x14ac:dyDescent="0.25">
      <c r="A26" s="2" t="s">
        <v>54</v>
      </c>
      <c r="B26" s="1" t="s">
        <v>827</v>
      </c>
      <c r="C26" s="55" t="s">
        <v>465</v>
      </c>
      <c r="D26" s="55" t="s">
        <v>843</v>
      </c>
      <c r="E26" s="55" t="s">
        <v>800</v>
      </c>
      <c r="F26" s="1" t="s">
        <v>865</v>
      </c>
      <c r="G26" s="51" t="s">
        <v>859</v>
      </c>
      <c r="H26" s="1" t="s">
        <v>865</v>
      </c>
      <c r="I26" s="53" t="s">
        <v>865</v>
      </c>
      <c r="J26" s="1" t="s">
        <v>858</v>
      </c>
      <c r="K26" s="29" t="s">
        <v>840</v>
      </c>
      <c r="L26" s="1"/>
      <c r="M26" s="9"/>
      <c r="N26" s="9"/>
      <c r="O26" s="9"/>
      <c r="P26" s="8" t="s">
        <v>101</v>
      </c>
      <c r="Q26" s="8" t="s">
        <v>55</v>
      </c>
      <c r="R26" s="11"/>
    </row>
    <row r="27" spans="1:18" s="3" customFormat="1" ht="30" x14ac:dyDescent="0.25">
      <c r="A27" s="2" t="s">
        <v>15</v>
      </c>
      <c r="B27" s="1" t="s">
        <v>827</v>
      </c>
      <c r="C27" s="55" t="s">
        <v>465</v>
      </c>
      <c r="D27" s="55" t="s">
        <v>843</v>
      </c>
      <c r="E27" s="55" t="s">
        <v>800</v>
      </c>
      <c r="F27" s="1" t="s">
        <v>865</v>
      </c>
      <c r="G27" s="51" t="s">
        <v>859</v>
      </c>
      <c r="H27" s="1" t="s">
        <v>865</v>
      </c>
      <c r="I27" s="53" t="s">
        <v>865</v>
      </c>
      <c r="J27" s="1" t="s">
        <v>858</v>
      </c>
      <c r="K27" s="29" t="s">
        <v>840</v>
      </c>
      <c r="L27" s="1"/>
      <c r="M27" s="9"/>
      <c r="N27" s="9"/>
      <c r="O27" s="9"/>
      <c r="P27" s="8" t="s">
        <v>101</v>
      </c>
      <c r="Q27" s="8" t="s">
        <v>56</v>
      </c>
      <c r="R27" s="11"/>
    </row>
    <row r="28" spans="1:18" s="3" customFormat="1" ht="165" x14ac:dyDescent="0.25">
      <c r="A28" s="2" t="s">
        <v>20</v>
      </c>
      <c r="B28" s="1" t="s">
        <v>827</v>
      </c>
      <c r="C28" s="55" t="s">
        <v>465</v>
      </c>
      <c r="D28" s="55" t="s">
        <v>843</v>
      </c>
      <c r="E28" s="55" t="s">
        <v>800</v>
      </c>
      <c r="F28" s="51" t="s">
        <v>952</v>
      </c>
      <c r="G28" s="51" t="s">
        <v>970</v>
      </c>
      <c r="H28" s="51" t="s">
        <v>973</v>
      </c>
      <c r="I28" s="64">
        <v>2</v>
      </c>
      <c r="J28" s="65" t="s">
        <v>972</v>
      </c>
      <c r="K28" s="29" t="s">
        <v>148</v>
      </c>
      <c r="L28" s="1"/>
      <c r="M28" s="9"/>
      <c r="N28" s="9"/>
      <c r="O28" s="9"/>
      <c r="P28" s="8" t="s">
        <v>101</v>
      </c>
      <c r="Q28" s="8" t="s">
        <v>57</v>
      </c>
      <c r="R28" s="11" t="s">
        <v>134</v>
      </c>
    </row>
    <row r="29" spans="1:18" s="3" customFormat="1" ht="180" x14ac:dyDescent="0.25">
      <c r="A29" s="2" t="s">
        <v>20</v>
      </c>
      <c r="B29" s="1" t="s">
        <v>827</v>
      </c>
      <c r="C29" s="55" t="s">
        <v>465</v>
      </c>
      <c r="D29" s="55" t="s">
        <v>843</v>
      </c>
      <c r="E29" s="55" t="s">
        <v>800</v>
      </c>
      <c r="F29" s="51" t="s">
        <v>857</v>
      </c>
      <c r="G29" s="51" t="s">
        <v>969</v>
      </c>
      <c r="H29" s="51" t="s">
        <v>975</v>
      </c>
      <c r="I29" s="64">
        <v>2</v>
      </c>
      <c r="J29" s="65" t="s">
        <v>974</v>
      </c>
      <c r="K29" s="29" t="s">
        <v>148</v>
      </c>
      <c r="L29" s="1"/>
      <c r="M29" s="9"/>
      <c r="N29" s="9"/>
      <c r="O29" s="9"/>
      <c r="P29" s="8" t="s">
        <v>101</v>
      </c>
      <c r="Q29" s="8" t="s">
        <v>57</v>
      </c>
      <c r="R29" s="11" t="s">
        <v>134</v>
      </c>
    </row>
    <row r="30" spans="1:18" s="3" customFormat="1" ht="135" x14ac:dyDescent="0.25">
      <c r="A30" s="2" t="s">
        <v>20</v>
      </c>
      <c r="B30" s="1" t="s">
        <v>827</v>
      </c>
      <c r="C30" s="55" t="s">
        <v>465</v>
      </c>
      <c r="D30" s="55" t="s">
        <v>843</v>
      </c>
      <c r="E30" s="55" t="s">
        <v>800</v>
      </c>
      <c r="F30" s="51" t="s">
        <v>968</v>
      </c>
      <c r="G30" s="51" t="s">
        <v>967</v>
      </c>
      <c r="H30" s="51" t="s">
        <v>971</v>
      </c>
      <c r="I30" s="64">
        <v>2</v>
      </c>
      <c r="J30" s="65" t="s">
        <v>979</v>
      </c>
      <c r="K30" s="29" t="s">
        <v>149</v>
      </c>
      <c r="L30" s="1" t="s">
        <v>991</v>
      </c>
      <c r="M30" s="9"/>
      <c r="N30" s="9"/>
      <c r="O30" s="9"/>
      <c r="P30" s="8" t="s">
        <v>101</v>
      </c>
      <c r="Q30" s="8" t="s">
        <v>57</v>
      </c>
      <c r="R30" s="11" t="s">
        <v>134</v>
      </c>
    </row>
    <row r="31" spans="1:18" s="3" customFormat="1" ht="150.75" thickBot="1" x14ac:dyDescent="0.3">
      <c r="A31" s="2" t="s">
        <v>20</v>
      </c>
      <c r="B31" s="1" t="s">
        <v>827</v>
      </c>
      <c r="C31" s="55" t="s">
        <v>465</v>
      </c>
      <c r="D31" s="55" t="s">
        <v>843</v>
      </c>
      <c r="E31" s="55" t="s">
        <v>800</v>
      </c>
      <c r="F31" s="51" t="s">
        <v>978</v>
      </c>
      <c r="G31" s="66" t="s">
        <v>976</v>
      </c>
      <c r="H31" s="51" t="s">
        <v>977</v>
      </c>
      <c r="I31" s="64">
        <v>2</v>
      </c>
      <c r="J31" s="65" t="s">
        <v>980</v>
      </c>
      <c r="K31" s="29" t="s">
        <v>148</v>
      </c>
      <c r="L31" s="1"/>
      <c r="M31" s="9"/>
      <c r="N31" s="9"/>
      <c r="O31" s="9"/>
      <c r="P31" s="8" t="s">
        <v>101</v>
      </c>
      <c r="Q31" s="8" t="s">
        <v>57</v>
      </c>
      <c r="R31" s="11" t="s">
        <v>134</v>
      </c>
    </row>
    <row r="32" spans="1:18" s="3" customFormat="1" ht="165" x14ac:dyDescent="0.25">
      <c r="A32" s="2" t="s">
        <v>20</v>
      </c>
      <c r="B32" s="1" t="s">
        <v>827</v>
      </c>
      <c r="C32" s="55" t="s">
        <v>465</v>
      </c>
      <c r="D32" s="55" t="s">
        <v>843</v>
      </c>
      <c r="E32" s="55" t="s">
        <v>800</v>
      </c>
      <c r="F32" s="51" t="s">
        <v>922</v>
      </c>
      <c r="G32" s="51" t="s">
        <v>981</v>
      </c>
      <c r="H32" s="51" t="s">
        <v>982</v>
      </c>
      <c r="I32" s="64">
        <v>2</v>
      </c>
      <c r="J32" s="65" t="s">
        <v>983</v>
      </c>
      <c r="K32" s="29" t="s">
        <v>148</v>
      </c>
      <c r="L32" s="1"/>
      <c r="M32" s="9"/>
      <c r="N32" s="9"/>
      <c r="O32" s="9"/>
      <c r="P32" s="8" t="s">
        <v>101</v>
      </c>
      <c r="Q32" s="8" t="s">
        <v>57</v>
      </c>
      <c r="R32" s="11" t="s">
        <v>134</v>
      </c>
    </row>
    <row r="33" spans="1:18" s="3" customFormat="1" ht="105" x14ac:dyDescent="0.25">
      <c r="A33" s="2" t="s">
        <v>20</v>
      </c>
      <c r="B33" s="1" t="s">
        <v>827</v>
      </c>
      <c r="C33" s="55" t="s">
        <v>465</v>
      </c>
      <c r="D33" s="55" t="s">
        <v>843</v>
      </c>
      <c r="E33" s="55" t="s">
        <v>800</v>
      </c>
      <c r="F33" s="51" t="s">
        <v>984</v>
      </c>
      <c r="G33" s="51" t="s">
        <v>981</v>
      </c>
      <c r="H33" s="51" t="s">
        <v>985</v>
      </c>
      <c r="I33" s="64">
        <v>2</v>
      </c>
      <c r="J33" s="65" t="s">
        <v>989</v>
      </c>
      <c r="K33" s="29" t="s">
        <v>148</v>
      </c>
      <c r="L33" s="1"/>
      <c r="M33" s="9"/>
      <c r="N33" s="9"/>
      <c r="O33" s="9"/>
      <c r="P33" s="8" t="s">
        <v>101</v>
      </c>
      <c r="Q33" s="8" t="s">
        <v>57</v>
      </c>
      <c r="R33" s="11" t="s">
        <v>134</v>
      </c>
    </row>
    <row r="34" spans="1:18" s="3" customFormat="1" ht="180" x14ac:dyDescent="0.25">
      <c r="A34" s="2" t="s">
        <v>20</v>
      </c>
      <c r="B34" s="1" t="s">
        <v>827</v>
      </c>
      <c r="C34" s="55" t="s">
        <v>465</v>
      </c>
      <c r="D34" s="55" t="s">
        <v>843</v>
      </c>
      <c r="E34" s="55" t="s">
        <v>800</v>
      </c>
      <c r="F34" s="51" t="s">
        <v>986</v>
      </c>
      <c r="G34" s="51" t="s">
        <v>987</v>
      </c>
      <c r="H34" s="51" t="s">
        <v>988</v>
      </c>
      <c r="I34" s="64">
        <v>2</v>
      </c>
      <c r="J34" s="65" t="s">
        <v>990</v>
      </c>
      <c r="K34" s="29" t="s">
        <v>148</v>
      </c>
      <c r="L34" s="1"/>
      <c r="M34" s="9"/>
      <c r="N34" s="9"/>
      <c r="O34" s="9"/>
      <c r="P34" s="8" t="s">
        <v>101</v>
      </c>
      <c r="Q34" s="8" t="s">
        <v>57</v>
      </c>
      <c r="R34" s="11" t="s">
        <v>134</v>
      </c>
    </row>
    <row r="35" spans="1:18" s="3" customFormat="1" ht="15.75" x14ac:dyDescent="0.25">
      <c r="A35" s="2"/>
      <c r="B35" s="1"/>
      <c r="C35" s="1"/>
      <c r="D35" s="1"/>
      <c r="E35" s="1"/>
      <c r="F35" s="1"/>
      <c r="G35" s="1"/>
      <c r="H35" s="1"/>
      <c r="I35" s="53"/>
      <c r="J35" s="1"/>
      <c r="K35" s="29"/>
      <c r="L35" s="1"/>
      <c r="M35" s="9"/>
      <c r="N35" s="9"/>
      <c r="O35" s="9"/>
      <c r="R35" s="11"/>
    </row>
    <row r="36" spans="1:18" s="3" customFormat="1" ht="15.75" x14ac:dyDescent="0.25">
      <c r="A36" s="2"/>
      <c r="B36" s="1"/>
      <c r="C36" s="1"/>
      <c r="D36" s="1"/>
      <c r="E36" s="1"/>
      <c r="F36" s="1"/>
      <c r="G36" s="1"/>
      <c r="H36" s="1"/>
      <c r="I36" s="53"/>
      <c r="J36" s="1"/>
      <c r="K36" s="29"/>
      <c r="L36" s="1"/>
      <c r="M36" s="9"/>
      <c r="N36" s="9"/>
      <c r="O36" s="9"/>
      <c r="R36" s="11"/>
    </row>
    <row r="37" spans="1:18" s="3" customFormat="1" ht="15.75" x14ac:dyDescent="0.25">
      <c r="A37" s="2"/>
      <c r="B37" s="1"/>
      <c r="C37" s="1"/>
      <c r="D37" s="1"/>
      <c r="E37" s="1"/>
      <c r="F37" s="1"/>
      <c r="G37" s="1"/>
      <c r="H37" s="1"/>
      <c r="I37" s="53"/>
      <c r="J37" s="1"/>
      <c r="K37" s="29"/>
      <c r="L37" s="1"/>
      <c r="M37" s="9"/>
      <c r="N37" s="9"/>
      <c r="O37" s="9"/>
      <c r="R37" s="11"/>
    </row>
    <row r="38" spans="1:18" s="3" customFormat="1" ht="15.75" x14ac:dyDescent="0.25">
      <c r="A38" s="2"/>
      <c r="B38" s="1"/>
      <c r="C38" s="1"/>
      <c r="D38" s="1"/>
      <c r="E38" s="1"/>
      <c r="F38" s="1"/>
      <c r="G38" s="1"/>
      <c r="H38" s="1"/>
      <c r="I38" s="53"/>
      <c r="J38" s="1"/>
      <c r="K38" s="29"/>
      <c r="L38" s="29"/>
      <c r="M38" s="9"/>
      <c r="N38" s="9"/>
      <c r="O38" s="9"/>
      <c r="Q38" s="7"/>
      <c r="R38" s="11"/>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sheetData>
  <phoneticPr fontId="13" type="noConversion"/>
  <conditionalFormatting sqref="A3">
    <cfRule type="expression" dxfId="96" priority="122">
      <formula>COUNTBLANK($F3:$H3)</formula>
    </cfRule>
  </conditionalFormatting>
  <conditionalFormatting sqref="A3">
    <cfRule type="expression" dxfId="95" priority="120">
      <formula>$K3="Not Audited"</formula>
    </cfRule>
    <cfRule type="expression" dxfId="94" priority="121">
      <formula>$K3="Not Applicable"</formula>
    </cfRule>
  </conditionalFormatting>
  <conditionalFormatting sqref="K3:K34">
    <cfRule type="expression" dxfId="93" priority="113">
      <formula>COUNTBLANK($K3)</formula>
    </cfRule>
  </conditionalFormatting>
  <conditionalFormatting sqref="A4:A9 A11:A13 A28:A34">
    <cfRule type="expression" dxfId="92" priority="112">
      <formula>COUNTBLANK($F4:$I4)</formula>
    </cfRule>
  </conditionalFormatting>
  <conditionalFormatting sqref="A4:A9 A11:A13 A28:A34">
    <cfRule type="expression" dxfId="91" priority="110">
      <formula>$K4="Not Audited"</formula>
    </cfRule>
    <cfRule type="expression" dxfId="90" priority="111">
      <formula>$K4="Not Applicable"</formula>
    </cfRule>
  </conditionalFormatting>
  <conditionalFormatting sqref="A10">
    <cfRule type="expression" dxfId="89" priority="109">
      <formula>COUNTBLANK($F10:$H10)</formula>
    </cfRule>
  </conditionalFormatting>
  <conditionalFormatting sqref="A10">
    <cfRule type="expression" dxfId="88" priority="107">
      <formula>$K10="Not Audited"</formula>
    </cfRule>
    <cfRule type="expression" dxfId="87" priority="108">
      <formula>$K10="Not Applicable"</formula>
    </cfRule>
  </conditionalFormatting>
  <conditionalFormatting sqref="A15">
    <cfRule type="expression" dxfId="86" priority="106">
      <formula>COUNTBLANK($F15:$H15)</formula>
    </cfRule>
  </conditionalFormatting>
  <conditionalFormatting sqref="A15">
    <cfRule type="expression" dxfId="85" priority="104">
      <formula>$K15="Not Audited"</formula>
    </cfRule>
    <cfRule type="expression" dxfId="84" priority="105">
      <formula>$K15="Not Applicable"</formula>
    </cfRule>
  </conditionalFormatting>
  <conditionalFormatting sqref="A14">
    <cfRule type="expression" dxfId="83" priority="103">
      <formula>COUNTBLANK($F14:$H14)</formula>
    </cfRule>
  </conditionalFormatting>
  <conditionalFormatting sqref="A14">
    <cfRule type="expression" dxfId="82" priority="101">
      <formula>$K14="Not Audited"</formula>
    </cfRule>
    <cfRule type="expression" dxfId="81" priority="102">
      <formula>$K14="Not Applicable"</formula>
    </cfRule>
  </conditionalFormatting>
  <conditionalFormatting sqref="A16:A17">
    <cfRule type="expression" dxfId="80" priority="100">
      <formula>COUNTBLANK($F16:$H16)</formula>
    </cfRule>
  </conditionalFormatting>
  <conditionalFormatting sqref="A16:A17">
    <cfRule type="expression" dxfId="79" priority="98">
      <formula>$K16="Not Audited"</formula>
    </cfRule>
    <cfRule type="expression" dxfId="78" priority="99">
      <formula>$K16="Not Applicable"</formula>
    </cfRule>
  </conditionalFormatting>
  <conditionalFormatting sqref="A18">
    <cfRule type="expression" dxfId="77" priority="97">
      <formula>COUNTBLANK($F18:$H18)</formula>
    </cfRule>
  </conditionalFormatting>
  <conditionalFormatting sqref="A18">
    <cfRule type="expression" dxfId="76" priority="95">
      <formula>$K18="Not Audited"</formula>
    </cfRule>
    <cfRule type="expression" dxfId="75" priority="96">
      <formula>$K18="Not Applicable"</formula>
    </cfRule>
  </conditionalFormatting>
  <conditionalFormatting sqref="A19:A21">
    <cfRule type="expression" dxfId="74" priority="94">
      <formula>COUNTBLANK($F19:$H19)</formula>
    </cfRule>
  </conditionalFormatting>
  <conditionalFormatting sqref="A19:A21">
    <cfRule type="expression" dxfId="73" priority="92">
      <formula>$K19="Not Audited"</formula>
    </cfRule>
    <cfRule type="expression" dxfId="72" priority="93">
      <formula>$K19="Not Applicable"</formula>
    </cfRule>
  </conditionalFormatting>
  <conditionalFormatting sqref="A22:A24">
    <cfRule type="expression" dxfId="71" priority="91">
      <formula>COUNTBLANK($F22:$H22)</formula>
    </cfRule>
  </conditionalFormatting>
  <conditionalFormatting sqref="A22:A24">
    <cfRule type="expression" dxfId="70" priority="89">
      <formula>$K22="Not Audited"</formula>
    </cfRule>
    <cfRule type="expression" dxfId="69" priority="90">
      <formula>$K22="Not Applicable"</formula>
    </cfRule>
  </conditionalFormatting>
  <conditionalFormatting sqref="A25:A27">
    <cfRule type="expression" dxfId="68" priority="88">
      <formula>COUNTBLANK($F25:$H25)</formula>
    </cfRule>
  </conditionalFormatting>
  <conditionalFormatting sqref="A25:A27">
    <cfRule type="expression" dxfId="67" priority="86">
      <formula>$K25="Not Audited"</formula>
    </cfRule>
    <cfRule type="expression" dxfId="66" priority="87">
      <formula>$K25="Not Applicable"</formula>
    </cfRule>
  </conditionalFormatting>
  <conditionalFormatting sqref="F5:I5 F3:F4 H3:I4 F31:F33">
    <cfRule type="expression" dxfId="65" priority="85">
      <formula>COUNTBLANK($F3)</formula>
    </cfRule>
  </conditionalFormatting>
  <conditionalFormatting sqref="G32:G33">
    <cfRule type="expression" dxfId="64" priority="84">
      <formula>COUNTBLANK($G32)</formula>
    </cfRule>
  </conditionalFormatting>
  <conditionalFormatting sqref="H31">
    <cfRule type="expression" dxfId="63" priority="83">
      <formula>COUNTBLANK($H31)</formula>
    </cfRule>
  </conditionalFormatting>
  <conditionalFormatting sqref="F22:F24 H20:J20 F18:F20 H10:J10 F6:F15">
    <cfRule type="expression" dxfId="62" priority="81">
      <formula>COUNTBLANK($F6)</formula>
    </cfRule>
  </conditionalFormatting>
  <conditionalFormatting sqref="G12 F18 F25:F27 H18:I18 H25:I27">
    <cfRule type="expression" dxfId="61" priority="80">
      <formula>COUNTBLANK($G12)</formula>
    </cfRule>
  </conditionalFormatting>
  <conditionalFormatting sqref="H6 H19 H22:H27 I17 H8:H9 H12:H13">
    <cfRule type="expression" dxfId="60" priority="79">
      <formula>COUNTBLANK($H6)</formula>
    </cfRule>
  </conditionalFormatting>
  <conditionalFormatting sqref="I6 I30:I34">
    <cfRule type="expression" dxfId="59" priority="78">
      <formula>COUNTBLANK($I6)</formula>
    </cfRule>
  </conditionalFormatting>
  <conditionalFormatting sqref="I8:I9">
    <cfRule type="expression" dxfId="58" priority="77">
      <formula>COUNTBLANK($I8)</formula>
    </cfRule>
  </conditionalFormatting>
  <conditionalFormatting sqref="I11:I13">
    <cfRule type="expression" dxfId="57" priority="76">
      <formula>COUNTBLANK($I11)</formula>
    </cfRule>
  </conditionalFormatting>
  <conditionalFormatting sqref="G34">
    <cfRule type="expression" dxfId="56" priority="73">
      <formula>COUNTBLANK($G34)</formula>
    </cfRule>
  </conditionalFormatting>
  <conditionalFormatting sqref="H34">
    <cfRule type="expression" dxfId="55" priority="72">
      <formula>COUNTBLANK($H34)</formula>
    </cfRule>
  </conditionalFormatting>
  <conditionalFormatting sqref="H21:I21">
    <cfRule type="expression" dxfId="54" priority="48">
      <formula>COUNTBLANK($G21)</formula>
    </cfRule>
  </conditionalFormatting>
  <conditionalFormatting sqref="F21">
    <cfRule type="expression" dxfId="53" priority="47">
      <formula>COUNTBLANK($G21)</formula>
    </cfRule>
  </conditionalFormatting>
  <conditionalFormatting sqref="H14:I14">
    <cfRule type="expression" dxfId="52" priority="46">
      <formula>COUNTBLANK($F14)</formula>
    </cfRule>
  </conditionalFormatting>
  <conditionalFormatting sqref="F16">
    <cfRule type="expression" dxfId="51" priority="44">
      <formula>COUNTBLANK($F16)</formula>
    </cfRule>
  </conditionalFormatting>
  <conditionalFormatting sqref="H16:I16">
    <cfRule type="expression" dxfId="50" priority="43">
      <formula>COUNTBLANK($F16)</formula>
    </cfRule>
  </conditionalFormatting>
  <conditionalFormatting sqref="I19">
    <cfRule type="expression" dxfId="49" priority="42">
      <formula>COUNTBLANK($H19)</formula>
    </cfRule>
  </conditionalFormatting>
  <conditionalFormatting sqref="I22:I23">
    <cfRule type="expression" dxfId="48" priority="41">
      <formula>COUNTBLANK($H22)</formula>
    </cfRule>
  </conditionalFormatting>
  <conditionalFormatting sqref="I24">
    <cfRule type="expression" dxfId="47" priority="40">
      <formula>COUNTBLANK($H24)</formula>
    </cfRule>
  </conditionalFormatting>
  <conditionalFormatting sqref="I28:I29">
    <cfRule type="expression" dxfId="46" priority="39">
      <formula>COUNTBLANK($H28)</formula>
    </cfRule>
  </conditionalFormatting>
  <conditionalFormatting sqref="G3">
    <cfRule type="expression" dxfId="45" priority="37">
      <formula>COUNTBLANK($G3)</formula>
    </cfRule>
  </conditionalFormatting>
  <conditionalFormatting sqref="G4">
    <cfRule type="expression" dxfId="44" priority="36">
      <formula>COUNTBLANK($G4)</formula>
    </cfRule>
  </conditionalFormatting>
  <conditionalFormatting sqref="G6:G8">
    <cfRule type="expression" dxfId="43" priority="35">
      <formula>COUNTBLANK($G6)</formula>
    </cfRule>
  </conditionalFormatting>
  <conditionalFormatting sqref="I15">
    <cfRule type="expression" dxfId="42" priority="34">
      <formula>COUNTBLANK($I15)</formula>
    </cfRule>
  </conditionalFormatting>
  <conditionalFormatting sqref="G9:G11">
    <cfRule type="expression" dxfId="41" priority="32">
      <formula>COUNTBLANK($G9)</formula>
    </cfRule>
  </conditionalFormatting>
  <conditionalFormatting sqref="G14">
    <cfRule type="expression" dxfId="40" priority="31">
      <formula>COUNTBLANK($F14)</formula>
    </cfRule>
  </conditionalFormatting>
  <conditionalFormatting sqref="G15">
    <cfRule type="expression" dxfId="39" priority="30">
      <formula>COUNTBLANK($G15)</formula>
    </cfRule>
  </conditionalFormatting>
  <conditionalFormatting sqref="G16">
    <cfRule type="expression" dxfId="38" priority="29">
      <formula>COUNTBLANK($F16)</formula>
    </cfRule>
  </conditionalFormatting>
  <conditionalFormatting sqref="G18">
    <cfRule type="expression" dxfId="37" priority="28">
      <formula>COUNTBLANK($F18)</formula>
    </cfRule>
  </conditionalFormatting>
  <conditionalFormatting sqref="G13">
    <cfRule type="expression" dxfId="36" priority="27">
      <formula>COUNTBLANK($G13)</formula>
    </cfRule>
  </conditionalFormatting>
  <conditionalFormatting sqref="G20:G21">
    <cfRule type="expression" dxfId="35" priority="25">
      <formula>COUNTBLANK($F20)</formula>
    </cfRule>
  </conditionalFormatting>
  <conditionalFormatting sqref="G25">
    <cfRule type="expression" dxfId="34" priority="24">
      <formula>COUNTBLANK($F25)</formula>
    </cfRule>
  </conditionalFormatting>
  <conditionalFormatting sqref="G26:G27">
    <cfRule type="expression" dxfId="33" priority="23">
      <formula>COUNTBLANK($F26)</formula>
    </cfRule>
  </conditionalFormatting>
  <conditionalFormatting sqref="G19">
    <cfRule type="expression" dxfId="32" priority="22">
      <formula>COUNTBLANK($G19)</formula>
    </cfRule>
  </conditionalFormatting>
  <conditionalFormatting sqref="G22:G24">
    <cfRule type="expression" dxfId="31" priority="21">
      <formula>COUNTBLANK($G22)</formula>
    </cfRule>
  </conditionalFormatting>
  <conditionalFormatting sqref="H32">
    <cfRule type="expression" dxfId="30" priority="19">
      <formula>COUNTBLANK($H32)</formula>
    </cfRule>
  </conditionalFormatting>
  <conditionalFormatting sqref="H33">
    <cfRule type="expression" dxfId="29" priority="18">
      <formula>COUNTBLANK($H33)</formula>
    </cfRule>
  </conditionalFormatting>
  <conditionalFormatting sqref="H17">
    <cfRule type="expression" dxfId="28" priority="16">
      <formula>COUNTBLANK($H17)</formula>
    </cfRule>
  </conditionalFormatting>
  <conditionalFormatting sqref="G17">
    <cfRule type="expression" dxfId="27" priority="15">
      <formula>COUNTBLANK($G17)</formula>
    </cfRule>
  </conditionalFormatting>
  <conditionalFormatting sqref="F17">
    <cfRule type="expression" dxfId="26" priority="14">
      <formula>COUNTBLANK($F17)</formula>
    </cfRule>
  </conditionalFormatting>
  <conditionalFormatting sqref="H15">
    <cfRule type="expression" dxfId="25" priority="13">
      <formula>COUNTBLANK($H15)</formula>
    </cfRule>
  </conditionalFormatting>
  <conditionalFormatting sqref="H28:H30">
    <cfRule type="expression" dxfId="24" priority="12">
      <formula>COUNTBLANK($H28)</formula>
    </cfRule>
  </conditionalFormatting>
  <conditionalFormatting sqref="F28">
    <cfRule type="expression" dxfId="23" priority="8">
      <formula>COUNTBLANK($F28)</formula>
    </cfRule>
  </conditionalFormatting>
  <conditionalFormatting sqref="F30">
    <cfRule type="expression" dxfId="22" priority="7">
      <formula>COUNTBLANK($G30)</formula>
    </cfRule>
  </conditionalFormatting>
  <conditionalFormatting sqref="G28">
    <cfRule type="expression" dxfId="21" priority="6">
      <formula>COUNTBLANK($G28)</formula>
    </cfRule>
  </conditionalFormatting>
  <conditionalFormatting sqref="G29">
    <cfRule type="expression" dxfId="20" priority="5">
      <formula>COUNTBLANK($G29)</formula>
    </cfRule>
  </conditionalFormatting>
  <conditionalFormatting sqref="F29">
    <cfRule type="expression" dxfId="19" priority="4">
      <formula>COUNTBLANK($F29)</formula>
    </cfRule>
  </conditionalFormatting>
  <conditionalFormatting sqref="I7">
    <cfRule type="expression" dxfId="18" priority="3">
      <formula>COUNTBLANK($I7)</formula>
    </cfRule>
  </conditionalFormatting>
  <conditionalFormatting sqref="G30">
    <cfRule type="expression" dxfId="17" priority="2">
      <formula>COUNTBLANK($G30)</formula>
    </cfRule>
  </conditionalFormatting>
  <conditionalFormatting sqref="F34">
    <cfRule type="expression" dxfId="16" priority="1">
      <formula>COUNTBLANK($F34)</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38" operator="equal" id="{7F8C1F3C-CD78-4DD0-B7D7-391372719141}">
            <xm:f>Sheet1!$A$5</xm:f>
            <x14:dxf>
              <fill>
                <patternFill>
                  <bgColor rgb="FFFF0000"/>
                </patternFill>
              </fill>
            </x14:dxf>
          </x14:cfRule>
          <x14:cfRule type="cellIs" priority="139" operator="equal" id="{7B8B0ED0-1486-47EA-931D-47C6773F5F68}">
            <xm:f>Sheet1!$A$4</xm:f>
            <x14:dxf>
              <fill>
                <patternFill>
                  <bgColor rgb="FFFFFF00"/>
                </patternFill>
              </fill>
            </x14:dxf>
          </x14:cfRule>
          <x14:cfRule type="cellIs" priority="140" operator="equal" id="{D7ED206C-21D4-4599-B12D-5294200493F1}">
            <xm:f>Sheet1!$A$3</xm:f>
            <x14:dxf>
              <fill>
                <patternFill>
                  <bgColor theme="9" tint="0.59996337778862885"/>
                </patternFill>
              </fill>
            </x14:dxf>
          </x14:cfRule>
          <x14:cfRule type="cellIs" priority="141" operator="equal" id="{1CC9D004-9842-4AC9-820E-B3EAD1E7C760}">
            <xm:f>Sheet1!$A$2</xm:f>
            <x14:dxf>
              <fill>
                <patternFill>
                  <bgColor theme="9" tint="0.39994506668294322"/>
                </patternFill>
              </fill>
            </x14:dxf>
          </x14:cfRule>
          <xm:sqref>L38</xm:sqref>
        </x14:conditionalFormatting>
        <x14:conditionalFormatting xmlns:xm="http://schemas.microsoft.com/office/excel/2006/main">
          <x14:cfRule type="cellIs" priority="142" operator="equal" id="{5A5C4178-2C21-4789-A223-C9BA12490FB6}">
            <xm:f>Sheet1!$A$7</xm:f>
            <x14:dxf>
              <fill>
                <patternFill>
                  <bgColor theme="5"/>
                </patternFill>
              </fill>
            </x14:dxf>
          </x14:cfRule>
          <x14:cfRule type="cellIs" priority="143" operator="equal" id="{0FABD20D-F105-451F-B012-868FC123FA7D}">
            <xm:f>Sheet1!$A$6</xm:f>
            <x14:dxf>
              <fill>
                <patternFill>
                  <bgColor rgb="FF00B0F0"/>
                </patternFill>
              </fill>
            </x14:dxf>
          </x14:cfRule>
          <x14:cfRule type="cellIs" priority="144" operator="equal" id="{AF24907C-E2EF-40F3-AB89-E2E1870E7899}">
            <xm:f>Sheet1!$A$5</xm:f>
            <x14:dxf>
              <fill>
                <patternFill>
                  <bgColor rgb="FFFF0000"/>
                </patternFill>
              </fill>
            </x14:dxf>
          </x14:cfRule>
          <x14:cfRule type="cellIs" priority="145" operator="equal" id="{B1CADF6C-CF95-4CC9-B64B-8ACA6C280AA3}">
            <xm:f>Sheet1!$A$4</xm:f>
            <x14:dxf>
              <fill>
                <patternFill>
                  <bgColor rgb="FFFFFF00"/>
                </patternFill>
              </fill>
            </x14:dxf>
          </x14:cfRule>
          <x14:cfRule type="cellIs" priority="146" operator="equal" id="{B16D9B0A-D0CE-4780-AA2F-97A5CF4FA4E6}">
            <xm:f>Sheet1!$A$3</xm:f>
            <x14:dxf>
              <fill>
                <patternFill>
                  <bgColor theme="9" tint="0.59996337778862885"/>
                </patternFill>
              </fill>
            </x14:dxf>
          </x14:cfRule>
          <x14:cfRule type="cellIs" priority="147" operator="equal" id="{7BBF22BB-D163-4D9C-A9CD-1099DD316BD3}">
            <xm:f>Sheet1!$A$2</xm:f>
            <x14:dxf>
              <fill>
                <patternFill>
                  <bgColor theme="9" tint="0.39994506668294322"/>
                </patternFill>
              </fill>
            </x14:dxf>
          </x14:cfRule>
          <xm:sqref>K4:K38</xm:sqref>
        </x14:conditionalFormatting>
        <x14:conditionalFormatting xmlns:xm="http://schemas.microsoft.com/office/excel/2006/main">
          <x14:cfRule type="cellIs" priority="114" operator="equal" id="{7256C95C-BCCC-4B8D-B0D2-8CE9749D8FD0}">
            <xm:f>Sheet1!$A$7</xm:f>
            <x14:dxf>
              <fill>
                <patternFill>
                  <bgColor theme="5"/>
                </patternFill>
              </fill>
            </x14:dxf>
          </x14:cfRule>
          <x14:cfRule type="cellIs" priority="115" operator="equal" id="{B204C39A-1C72-4A17-811B-2160F379067F}">
            <xm:f>Sheet1!$A$6</xm:f>
            <x14:dxf>
              <fill>
                <patternFill>
                  <bgColor rgb="FF00B0F0"/>
                </patternFill>
              </fill>
            </x14:dxf>
          </x14:cfRule>
          <x14:cfRule type="cellIs" priority="116" operator="equal" id="{2B877689-231B-46E5-9D78-34D016F11E17}">
            <xm:f>Sheet1!$A$5</xm:f>
            <x14:dxf>
              <fill>
                <patternFill>
                  <bgColor rgb="FFFF0000"/>
                </patternFill>
              </fill>
            </x14:dxf>
          </x14:cfRule>
          <x14:cfRule type="cellIs" priority="117" operator="equal" id="{FED9E088-F4B1-494C-AA1F-F76DBD081246}">
            <xm:f>Sheet1!$A$4</xm:f>
            <x14:dxf>
              <fill>
                <patternFill>
                  <bgColor rgb="FFFFFF00"/>
                </patternFill>
              </fill>
            </x14:dxf>
          </x14:cfRule>
          <x14:cfRule type="cellIs" priority="118" operator="equal" id="{ED8029C3-E946-41CA-BDCA-E792BFD1BDF0}">
            <xm:f>Sheet1!$A$3</xm:f>
            <x14:dxf>
              <fill>
                <patternFill>
                  <bgColor theme="9" tint="0.59996337778862885"/>
                </patternFill>
              </fill>
            </x14:dxf>
          </x14:cfRule>
          <x14:cfRule type="cellIs" priority="119" operator="equal" id="{F373294B-4A43-4E50-A534-5D3DAF423758}">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95708D82-23FA-4A60-B618-55853BE5DB72}">
          <x14:formula1>
            <xm:f>Sheet1!$E$2:$E$49</xm:f>
          </x14:formula1>
          <xm:sqref>E3:E34</xm:sqref>
        </x14:dataValidation>
        <x14:dataValidation type="list" allowBlank="1" showInputMessage="1" showErrorMessage="1" xr:uid="{EBD1538D-0799-4BED-830A-27C320A6DC00}">
          <x14:formula1>
            <xm:f>Sheet1!$A$2:$A$5</xm:f>
          </x14:formula1>
          <xm:sqref>L38</xm:sqref>
        </x14:dataValidation>
        <x14:dataValidation type="list" allowBlank="1" showInputMessage="1" showErrorMessage="1" xr:uid="{F0CE2B0C-E4DD-4241-845B-8457B7E62A25}">
          <x14:formula1>
            <xm:f>Sheet1!$B$2:$B$6</xm:f>
          </x14:formula1>
          <xm:sqref>B3:B34</xm:sqref>
        </x14:dataValidation>
        <x14:dataValidation type="list" allowBlank="1" showInputMessage="1" showErrorMessage="1" xr:uid="{CB346472-2242-4CD5-86C8-B0A99F7E9554}">
          <x14:formula1>
            <xm:f>Sheet1!$E$2:$E$48</xm:f>
          </x14:formula1>
          <xm:sqref>E35:E38</xm:sqref>
        </x14:dataValidation>
        <x14:dataValidation type="list" allowBlank="1" showInputMessage="1" showErrorMessage="1" xr:uid="{D8305ECC-F56B-47BD-A114-7CCB32CA0EB0}">
          <x14:formula1>
            <xm:f>Sheet1!$D$2:$D$281</xm:f>
          </x14:formula1>
          <xm:sqref>D3:D34</xm:sqref>
        </x14:dataValidation>
        <x14:dataValidation type="list" allowBlank="1" showInputMessage="1" showErrorMessage="1" xr:uid="{E5BA7DB3-5A1D-448F-A3B8-BC2A7431FAE6}">
          <x14:formula1>
            <xm:f>Sheet1!$A$2:$A$7</xm:f>
          </x14:formula1>
          <xm:sqref>K3:K38</xm:sqref>
        </x14:dataValidation>
        <x14:dataValidation type="list" allowBlank="1" showInputMessage="1" showErrorMessage="1" xr:uid="{7ED42380-46B2-476F-8471-C141E554BD6C}">
          <x14:formula1>
            <xm:f>_xlfn.IFS(B3=Sheet1!$B$2,Sheet1!$C$2:$C$114,B3=Sheet1!$B$3,Sheet1!$C$115:$C$239, B3=Sheet1!$B$4,Sheet1!$C$240:$C$297,B3=Sheet1!$B$5,Sheet1!$C$298:$C$347,B3=Sheet1!$B$6,Sheet1!$C$2:$C$347)</xm:f>
          </x14:formula1>
          <xm:sqref>C3:C34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FC6A4-E18D-4EBF-B43E-A186E760CF7A}">
  <dimension ref="A1:L4"/>
  <sheetViews>
    <sheetView workbookViewId="0">
      <selection activeCell="H6" sqref="H6"/>
    </sheetView>
  </sheetViews>
  <sheetFormatPr defaultRowHeight="15" x14ac:dyDescent="0.25"/>
  <cols>
    <col min="1" max="1" width="15" bestFit="1" customWidth="1"/>
    <col min="2" max="2" width="26" bestFit="1" customWidth="1"/>
    <col min="3" max="3" width="9.7109375" bestFit="1" customWidth="1"/>
    <col min="4" max="12" width="18" customWidth="1"/>
  </cols>
  <sheetData>
    <row r="1" spans="1:12" ht="23.25" x14ac:dyDescent="0.35">
      <c r="A1" t="s">
        <v>866</v>
      </c>
      <c r="C1" s="56"/>
      <c r="D1" s="69" t="s">
        <v>867</v>
      </c>
      <c r="E1" s="69"/>
      <c r="F1" s="69"/>
      <c r="G1" s="69"/>
    </row>
    <row r="2" spans="1:12" x14ac:dyDescent="0.25">
      <c r="A2" s="57" t="s">
        <v>868</v>
      </c>
      <c r="B2" s="58">
        <v>45019</v>
      </c>
      <c r="C2" s="56"/>
      <c r="H2" s="57" t="s">
        <v>869</v>
      </c>
      <c r="I2" t="s">
        <v>870</v>
      </c>
    </row>
    <row r="3" spans="1:12" ht="45" x14ac:dyDescent="0.25">
      <c r="A3" s="75" t="s">
        <v>871</v>
      </c>
      <c r="B3" s="76" t="s">
        <v>872</v>
      </c>
      <c r="C3" s="77" t="s">
        <v>873</v>
      </c>
      <c r="D3" s="70" t="s">
        <v>874</v>
      </c>
      <c r="E3" s="71" t="s">
        <v>995</v>
      </c>
      <c r="F3" s="72" t="s">
        <v>875</v>
      </c>
      <c r="G3" s="73" t="s">
        <v>876</v>
      </c>
      <c r="H3" s="70" t="s">
        <v>877</v>
      </c>
      <c r="I3" s="71" t="s">
        <v>878</v>
      </c>
      <c r="J3" s="72" t="s">
        <v>879</v>
      </c>
      <c r="K3" s="73" t="s">
        <v>880</v>
      </c>
      <c r="L3" s="74" t="s">
        <v>881</v>
      </c>
    </row>
    <row r="4" spans="1:12" x14ac:dyDescent="0.25">
      <c r="A4" s="78">
        <v>2023</v>
      </c>
      <c r="B4" s="79" t="s">
        <v>996</v>
      </c>
      <c r="C4" s="80" t="str">
        <f t="shared" ref="C4" si="0" xml:space="preserve"> IF( L4&lt; 86, "Low", IF( L4&gt;180, "High", "Medium"))</f>
        <v>Medium</v>
      </c>
      <c r="D4" s="79" t="s">
        <v>882</v>
      </c>
      <c r="E4" s="79" t="s">
        <v>883</v>
      </c>
      <c r="F4" s="79" t="s">
        <v>882</v>
      </c>
      <c r="G4" s="79" t="s">
        <v>884</v>
      </c>
      <c r="H4" s="79" t="s">
        <v>883</v>
      </c>
      <c r="I4" s="79" t="s">
        <v>884</v>
      </c>
      <c r="J4" s="79" t="s">
        <v>882</v>
      </c>
      <c r="K4" s="79" t="s">
        <v>882</v>
      </c>
      <c r="L4" s="81">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117</v>
      </c>
    </row>
  </sheetData>
  <mergeCells count="1">
    <mergeCell ref="D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A0698-9629-465B-ABA8-3F97DEE154D6}">
  <dimension ref="A1:D14"/>
  <sheetViews>
    <sheetView zoomScale="110" zoomScaleNormal="110" workbookViewId="0">
      <selection activeCell="A30" sqref="A30"/>
    </sheetView>
  </sheetViews>
  <sheetFormatPr defaultRowHeight="15" x14ac:dyDescent="0.25"/>
  <cols>
    <col min="1" max="1" width="17.28515625" customWidth="1"/>
    <col min="2" max="2" width="20" bestFit="1" customWidth="1"/>
    <col min="3" max="3" width="11.7109375" style="54" bestFit="1" customWidth="1"/>
    <col min="4" max="4" width="12.42578125" style="54" bestFit="1" customWidth="1"/>
  </cols>
  <sheetData>
    <row r="1" spans="1:4" x14ac:dyDescent="0.25">
      <c r="A1" t="s">
        <v>885</v>
      </c>
      <c r="B1" t="s">
        <v>903</v>
      </c>
      <c r="C1" s="54" t="s">
        <v>886</v>
      </c>
      <c r="D1" s="59">
        <v>45012</v>
      </c>
    </row>
    <row r="2" spans="1:4" x14ac:dyDescent="0.25">
      <c r="C2" s="54" t="s">
        <v>887</v>
      </c>
      <c r="D2" s="59">
        <v>45013</v>
      </c>
    </row>
    <row r="4" spans="1:4" x14ac:dyDescent="0.25">
      <c r="A4" t="s">
        <v>888</v>
      </c>
      <c r="B4" t="s">
        <v>889</v>
      </c>
      <c r="C4" s="54" t="s">
        <v>890</v>
      </c>
      <c r="D4" s="54" t="s">
        <v>891</v>
      </c>
    </row>
    <row r="5" spans="1:4" x14ac:dyDescent="0.25">
      <c r="A5" t="s">
        <v>898</v>
      </c>
      <c r="B5" t="s">
        <v>929</v>
      </c>
      <c r="C5" s="54" t="s">
        <v>893</v>
      </c>
      <c r="D5" s="54" t="s">
        <v>893</v>
      </c>
    </row>
    <row r="6" spans="1:4" x14ac:dyDescent="0.25">
      <c r="A6" t="s">
        <v>870</v>
      </c>
      <c r="B6" t="s">
        <v>901</v>
      </c>
      <c r="C6" s="54" t="s">
        <v>893</v>
      </c>
      <c r="D6" s="54" t="s">
        <v>893</v>
      </c>
    </row>
    <row r="7" spans="1:4" x14ac:dyDescent="0.25">
      <c r="A7" t="s">
        <v>899</v>
      </c>
      <c r="B7" t="s">
        <v>900</v>
      </c>
      <c r="C7" s="54" t="s">
        <v>893</v>
      </c>
      <c r="D7" s="54" t="s">
        <v>893</v>
      </c>
    </row>
    <row r="8" spans="1:4" x14ac:dyDescent="0.25">
      <c r="A8" t="s">
        <v>897</v>
      </c>
      <c r="B8" t="s">
        <v>895</v>
      </c>
      <c r="C8" s="54" t="s">
        <v>893</v>
      </c>
      <c r="D8" s="54" t="s">
        <v>893</v>
      </c>
    </row>
    <row r="9" spans="1:4" x14ac:dyDescent="0.25">
      <c r="A9" t="s">
        <v>896</v>
      </c>
      <c r="B9" t="s">
        <v>892</v>
      </c>
      <c r="C9" s="54" t="s">
        <v>893</v>
      </c>
    </row>
    <row r="10" spans="1:4" x14ac:dyDescent="0.25">
      <c r="A10" t="s">
        <v>902</v>
      </c>
      <c r="B10" t="s">
        <v>894</v>
      </c>
    </row>
    <row r="11" spans="1:4" x14ac:dyDescent="0.25">
      <c r="A11" t="s">
        <v>923</v>
      </c>
      <c r="B11" t="s">
        <v>925</v>
      </c>
      <c r="C11" s="54" t="s">
        <v>893</v>
      </c>
      <c r="D11" s="54" t="s">
        <v>893</v>
      </c>
    </row>
    <row r="12" spans="1:4" x14ac:dyDescent="0.25">
      <c r="A12" t="s">
        <v>924</v>
      </c>
      <c r="B12" t="s">
        <v>926</v>
      </c>
      <c r="C12" s="54" t="s">
        <v>893</v>
      </c>
    </row>
    <row r="13" spans="1:4" x14ac:dyDescent="0.25">
      <c r="A13" t="s">
        <v>927</v>
      </c>
      <c r="B13" t="s">
        <v>928</v>
      </c>
      <c r="C13" s="54" t="s">
        <v>893</v>
      </c>
    </row>
    <row r="14" spans="1:4" x14ac:dyDescent="0.25">
      <c r="A14" t="s">
        <v>965</v>
      </c>
      <c r="B14" t="s">
        <v>966</v>
      </c>
      <c r="C14" s="54" t="s">
        <v>964</v>
      </c>
      <c r="D14" s="54" t="s">
        <v>964</v>
      </c>
    </row>
  </sheetData>
  <pageMargins left="0.7" right="0.7" top="0.75" bottom="0.75" header="0.3" footer="0.3"/>
  <pageSetup orientation="portrait"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826</v>
      </c>
      <c r="C1" s="23" t="s">
        <v>494</v>
      </c>
      <c r="D1" s="23" t="s">
        <v>22</v>
      </c>
      <c r="E1" s="23" t="s">
        <v>775</v>
      </c>
      <c r="F1" s="23"/>
    </row>
    <row r="2" spans="1:6" x14ac:dyDescent="0.25">
      <c r="A2" s="27" t="s">
        <v>148</v>
      </c>
      <c r="B2" t="s">
        <v>827</v>
      </c>
      <c r="C2" s="36" t="s">
        <v>175</v>
      </c>
      <c r="D2" t="s">
        <v>495</v>
      </c>
      <c r="E2" t="s">
        <v>776</v>
      </c>
    </row>
    <row r="3" spans="1:6" x14ac:dyDescent="0.25">
      <c r="A3" s="24" t="s">
        <v>149</v>
      </c>
      <c r="B3" t="s">
        <v>828</v>
      </c>
      <c r="C3" s="36" t="s">
        <v>176</v>
      </c>
      <c r="D3" t="s">
        <v>496</v>
      </c>
      <c r="E3" t="s">
        <v>777</v>
      </c>
    </row>
    <row r="4" spans="1:6" x14ac:dyDescent="0.25">
      <c r="A4" s="25" t="s">
        <v>150</v>
      </c>
      <c r="B4" t="s">
        <v>829</v>
      </c>
      <c r="C4" s="36" t="s">
        <v>177</v>
      </c>
      <c r="D4" t="s">
        <v>497</v>
      </c>
      <c r="E4" t="s">
        <v>778</v>
      </c>
    </row>
    <row r="5" spans="1:6" x14ac:dyDescent="0.25">
      <c r="A5" s="26" t="s">
        <v>151</v>
      </c>
      <c r="B5" t="s">
        <v>830</v>
      </c>
      <c r="C5" s="36" t="s">
        <v>178</v>
      </c>
      <c r="D5" t="s">
        <v>498</v>
      </c>
      <c r="E5" t="s">
        <v>779</v>
      </c>
    </row>
    <row r="6" spans="1:6" x14ac:dyDescent="0.25">
      <c r="A6" s="49" t="s">
        <v>841</v>
      </c>
      <c r="B6" t="s">
        <v>831</v>
      </c>
      <c r="C6" s="36" t="s">
        <v>179</v>
      </c>
      <c r="D6" t="s">
        <v>499</v>
      </c>
      <c r="E6" t="s">
        <v>780</v>
      </c>
    </row>
    <row r="7" spans="1:6" x14ac:dyDescent="0.25">
      <c r="A7" s="48" t="s">
        <v>840</v>
      </c>
      <c r="C7" s="36" t="s">
        <v>180</v>
      </c>
      <c r="D7" t="s">
        <v>500</v>
      </c>
      <c r="E7" t="s">
        <v>781</v>
      </c>
    </row>
    <row r="8" spans="1:6" x14ac:dyDescent="0.25">
      <c r="C8" s="36" t="s">
        <v>181</v>
      </c>
      <c r="D8" t="s">
        <v>501</v>
      </c>
      <c r="E8" t="s">
        <v>782</v>
      </c>
    </row>
    <row r="9" spans="1:6" x14ac:dyDescent="0.25">
      <c r="C9" s="36" t="s">
        <v>182</v>
      </c>
      <c r="D9" t="s">
        <v>502</v>
      </c>
      <c r="E9" t="s">
        <v>783</v>
      </c>
    </row>
    <row r="10" spans="1:6" x14ac:dyDescent="0.25">
      <c r="C10" s="36" t="s">
        <v>183</v>
      </c>
      <c r="D10" t="s">
        <v>503</v>
      </c>
      <c r="E10" t="s">
        <v>784</v>
      </c>
    </row>
    <row r="11" spans="1:6" x14ac:dyDescent="0.25">
      <c r="C11" s="36" t="s">
        <v>184</v>
      </c>
      <c r="D11" t="s">
        <v>504</v>
      </c>
      <c r="E11" t="s">
        <v>785</v>
      </c>
    </row>
    <row r="12" spans="1:6" x14ac:dyDescent="0.25">
      <c r="C12" s="36" t="s">
        <v>185</v>
      </c>
      <c r="D12" t="s">
        <v>505</v>
      </c>
      <c r="E12" t="s">
        <v>786</v>
      </c>
    </row>
    <row r="13" spans="1:6" x14ac:dyDescent="0.25">
      <c r="C13" s="36" t="s">
        <v>186</v>
      </c>
      <c r="D13" t="s">
        <v>506</v>
      </c>
      <c r="E13" t="s">
        <v>787</v>
      </c>
    </row>
    <row r="14" spans="1:6" x14ac:dyDescent="0.25">
      <c r="C14" s="36" t="s">
        <v>187</v>
      </c>
      <c r="D14" t="s">
        <v>507</v>
      </c>
      <c r="E14" t="s">
        <v>788</v>
      </c>
    </row>
    <row r="15" spans="1:6" x14ac:dyDescent="0.25">
      <c r="C15" s="36" t="s">
        <v>188</v>
      </c>
      <c r="D15" t="s">
        <v>508</v>
      </c>
      <c r="E15" t="s">
        <v>789</v>
      </c>
    </row>
    <row r="16" spans="1:6" x14ac:dyDescent="0.25">
      <c r="C16" s="36" t="s">
        <v>313</v>
      </c>
      <c r="D16" t="s">
        <v>509</v>
      </c>
      <c r="E16" t="s">
        <v>790</v>
      </c>
    </row>
    <row r="17" spans="3:5" x14ac:dyDescent="0.25">
      <c r="C17" s="36" t="s">
        <v>375</v>
      </c>
      <c r="D17" t="s">
        <v>510</v>
      </c>
      <c r="E17" t="s">
        <v>791</v>
      </c>
    </row>
    <row r="18" spans="3:5" x14ac:dyDescent="0.25">
      <c r="C18" s="36" t="s">
        <v>376</v>
      </c>
      <c r="D18" t="s">
        <v>511</v>
      </c>
      <c r="E18" t="s">
        <v>792</v>
      </c>
    </row>
    <row r="19" spans="3:5" x14ac:dyDescent="0.25">
      <c r="C19" s="36" t="s">
        <v>370</v>
      </c>
      <c r="D19" t="s">
        <v>512</v>
      </c>
      <c r="E19" t="s">
        <v>793</v>
      </c>
    </row>
    <row r="20" spans="3:5" x14ac:dyDescent="0.25">
      <c r="C20" s="36" t="s">
        <v>396</v>
      </c>
      <c r="D20" t="s">
        <v>513</v>
      </c>
      <c r="E20" t="s">
        <v>794</v>
      </c>
    </row>
    <row r="21" spans="3:5" x14ac:dyDescent="0.25">
      <c r="C21" s="36" t="s">
        <v>397</v>
      </c>
      <c r="D21" t="s">
        <v>514</v>
      </c>
      <c r="E21" t="s">
        <v>795</v>
      </c>
    </row>
    <row r="22" spans="3:5" x14ac:dyDescent="0.25">
      <c r="C22" s="36" t="s">
        <v>398</v>
      </c>
      <c r="D22" t="s">
        <v>515</v>
      </c>
      <c r="E22" t="s">
        <v>796</v>
      </c>
    </row>
    <row r="23" spans="3:5" x14ac:dyDescent="0.25">
      <c r="C23" s="36" t="s">
        <v>399</v>
      </c>
      <c r="D23" t="s">
        <v>516</v>
      </c>
      <c r="E23" t="s">
        <v>797</v>
      </c>
    </row>
    <row r="24" spans="3:5" x14ac:dyDescent="0.25">
      <c r="C24" s="36" t="s">
        <v>400</v>
      </c>
      <c r="D24" t="s">
        <v>517</v>
      </c>
      <c r="E24" t="s">
        <v>798</v>
      </c>
    </row>
    <row r="25" spans="3:5" x14ac:dyDescent="0.25">
      <c r="C25" s="36" t="s">
        <v>401</v>
      </c>
      <c r="D25" t="s">
        <v>518</v>
      </c>
      <c r="E25" t="s">
        <v>799</v>
      </c>
    </row>
    <row r="26" spans="3:5" x14ac:dyDescent="0.25">
      <c r="C26" s="36" t="s">
        <v>402</v>
      </c>
      <c r="D26" t="s">
        <v>519</v>
      </c>
      <c r="E26" t="s">
        <v>797</v>
      </c>
    </row>
    <row r="27" spans="3:5" x14ac:dyDescent="0.25">
      <c r="C27" s="36" t="s">
        <v>403</v>
      </c>
      <c r="D27" t="s">
        <v>520</v>
      </c>
      <c r="E27" t="s">
        <v>800</v>
      </c>
    </row>
    <row r="28" spans="3:5" x14ac:dyDescent="0.25">
      <c r="C28" s="36" t="s">
        <v>404</v>
      </c>
      <c r="D28" t="s">
        <v>521</v>
      </c>
      <c r="E28" t="s">
        <v>801</v>
      </c>
    </row>
    <row r="29" spans="3:5" x14ac:dyDescent="0.25">
      <c r="C29" s="36" t="s">
        <v>405</v>
      </c>
      <c r="D29" t="s">
        <v>522</v>
      </c>
      <c r="E29" t="s">
        <v>802</v>
      </c>
    </row>
    <row r="30" spans="3:5" x14ac:dyDescent="0.25">
      <c r="C30" s="36" t="s">
        <v>406</v>
      </c>
      <c r="D30" t="s">
        <v>523</v>
      </c>
      <c r="E30" t="s">
        <v>803</v>
      </c>
    </row>
    <row r="31" spans="3:5" x14ac:dyDescent="0.25">
      <c r="C31" s="36" t="s">
        <v>407</v>
      </c>
      <c r="D31" t="s">
        <v>524</v>
      </c>
      <c r="E31" s="30" t="s">
        <v>804</v>
      </c>
    </row>
    <row r="32" spans="3:5" x14ac:dyDescent="0.25">
      <c r="C32" s="36" t="s">
        <v>408</v>
      </c>
      <c r="D32" t="s">
        <v>525</v>
      </c>
      <c r="E32" s="30" t="s">
        <v>805</v>
      </c>
    </row>
    <row r="33" spans="3:5" x14ac:dyDescent="0.25">
      <c r="C33" s="36" t="s">
        <v>409</v>
      </c>
      <c r="D33" t="s">
        <v>526</v>
      </c>
      <c r="E33" s="30" t="s">
        <v>806</v>
      </c>
    </row>
    <row r="34" spans="3:5" x14ac:dyDescent="0.25">
      <c r="C34" s="36" t="s">
        <v>410</v>
      </c>
      <c r="D34" t="s">
        <v>527</v>
      </c>
      <c r="E34" s="31" t="s">
        <v>807</v>
      </c>
    </row>
    <row r="35" spans="3:5" x14ac:dyDescent="0.25">
      <c r="C35" s="36" t="s">
        <v>411</v>
      </c>
      <c r="D35" t="s">
        <v>528</v>
      </c>
      <c r="E35" s="32" t="s">
        <v>808</v>
      </c>
    </row>
    <row r="36" spans="3:5" x14ac:dyDescent="0.25">
      <c r="C36" s="36" t="s">
        <v>412</v>
      </c>
      <c r="D36" t="s">
        <v>529</v>
      </c>
      <c r="E36" s="31" t="s">
        <v>809</v>
      </c>
    </row>
    <row r="37" spans="3:5" x14ac:dyDescent="0.25">
      <c r="C37" s="36" t="s">
        <v>413</v>
      </c>
      <c r="D37" t="s">
        <v>530</v>
      </c>
      <c r="E37" s="31" t="s">
        <v>810</v>
      </c>
    </row>
    <row r="38" spans="3:5" x14ac:dyDescent="0.25">
      <c r="C38" s="36" t="s">
        <v>414</v>
      </c>
      <c r="D38" t="s">
        <v>531</v>
      </c>
      <c r="E38" s="31" t="s">
        <v>811</v>
      </c>
    </row>
    <row r="39" spans="3:5" x14ac:dyDescent="0.25">
      <c r="C39" s="36" t="s">
        <v>415</v>
      </c>
      <c r="D39" t="s">
        <v>532</v>
      </c>
      <c r="E39" s="33" t="s">
        <v>812</v>
      </c>
    </row>
    <row r="40" spans="3:5" x14ac:dyDescent="0.25">
      <c r="C40" s="36" t="s">
        <v>416</v>
      </c>
      <c r="D40" t="s">
        <v>533</v>
      </c>
      <c r="E40" s="33" t="s">
        <v>813</v>
      </c>
    </row>
    <row r="41" spans="3:5" x14ac:dyDescent="0.25">
      <c r="C41" s="36" t="s">
        <v>417</v>
      </c>
      <c r="D41" t="s">
        <v>534</v>
      </c>
      <c r="E41" s="33" t="s">
        <v>816</v>
      </c>
    </row>
    <row r="42" spans="3:5" x14ac:dyDescent="0.25">
      <c r="C42" s="36" t="s">
        <v>418</v>
      </c>
      <c r="D42" t="s">
        <v>535</v>
      </c>
      <c r="E42" s="34" t="s">
        <v>814</v>
      </c>
    </row>
    <row r="43" spans="3:5" x14ac:dyDescent="0.25">
      <c r="C43" s="36" t="s">
        <v>419</v>
      </c>
      <c r="D43" t="s">
        <v>536</v>
      </c>
      <c r="E43" s="35" t="s">
        <v>815</v>
      </c>
    </row>
    <row r="44" spans="3:5" x14ac:dyDescent="0.25">
      <c r="C44" s="36" t="s">
        <v>420</v>
      </c>
      <c r="D44" t="s">
        <v>537</v>
      </c>
      <c r="E44" t="s">
        <v>817</v>
      </c>
    </row>
    <row r="45" spans="3:5" x14ac:dyDescent="0.25">
      <c r="C45" s="36" t="s">
        <v>421</v>
      </c>
      <c r="D45" t="s">
        <v>538</v>
      </c>
      <c r="E45" t="s">
        <v>818</v>
      </c>
    </row>
    <row r="46" spans="3:5" x14ac:dyDescent="0.25">
      <c r="C46" s="36" t="s">
        <v>422</v>
      </c>
      <c r="D46" t="s">
        <v>539</v>
      </c>
      <c r="E46" t="s">
        <v>819</v>
      </c>
    </row>
    <row r="47" spans="3:5" x14ac:dyDescent="0.25">
      <c r="C47" s="36" t="s">
        <v>423</v>
      </c>
      <c r="D47" t="s">
        <v>540</v>
      </c>
      <c r="E47" t="s">
        <v>820</v>
      </c>
    </row>
    <row r="48" spans="3:5" x14ac:dyDescent="0.25">
      <c r="C48" s="36" t="s">
        <v>424</v>
      </c>
      <c r="D48" t="s">
        <v>541</v>
      </c>
      <c r="E48" t="s">
        <v>821</v>
      </c>
    </row>
    <row r="49" spans="3:5" x14ac:dyDescent="0.25">
      <c r="C49" s="36" t="s">
        <v>425</v>
      </c>
      <c r="D49" t="s">
        <v>542</v>
      </c>
      <c r="E49" t="s">
        <v>842</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purl.org/dc/terms/"/>
    <ds:schemaRef ds:uri="http://purl.org/dc/dcmitype/"/>
    <ds:schemaRef ds:uri="http://schemas.openxmlformats.org/package/2006/metadata/core-properties"/>
    <ds:schemaRef ds:uri="http://purl.org/dc/elements/1.1/"/>
    <ds:schemaRef ds:uri="http://schemas.microsoft.com/office/2006/metadata/properties"/>
    <ds:schemaRef ds:uri="1aa6375b-da52-4e9a-9134-b90e99dcf136"/>
    <ds:schemaRef ds:uri="http://schemas.microsoft.com/office/2006/documentManagement/types"/>
    <ds:schemaRef ds:uri="http://schemas.microsoft.com/office/infopath/2007/PartnerControls"/>
    <ds:schemaRef ds:uri="6869c964-881e-4e77-aee7-67c8e030f379"/>
    <ds:schemaRef ds:uri="http://www.w3.org/XML/1998/namespace"/>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ISO 17065</vt:lpstr>
      <vt:lpstr>Batteries</vt:lpstr>
      <vt:lpstr>Electrical</vt:lpstr>
      <vt:lpstr>Definition </vt:lpstr>
      <vt:lpstr>risk</vt:lpstr>
      <vt:lpstr>attendance</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cp:lastPrinted>2023-03-26T16:33:13Z</cp:lastPrinted>
  <dcterms:created xsi:type="dcterms:W3CDTF">2020-05-27T16:23:17Z</dcterms:created>
  <dcterms:modified xsi:type="dcterms:W3CDTF">2023-04-03T20:39:15Z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