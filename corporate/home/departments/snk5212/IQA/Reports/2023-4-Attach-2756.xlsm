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3-4, CAP CB/"/>
    </mc:Choice>
  </mc:AlternateContent>
  <xr:revisionPtr revIDLastSave="690" documentId="8_{BD3D4100-3554-4E2E-BC2C-168A6F6A0C63}" xr6:coauthVersionLast="47" xr6:coauthVersionMax="47" xr10:uidLastSave="{92435119-290B-48E7-9ED3-09B0070A783E}"/>
  <bookViews>
    <workbookView xWindow="390" yWindow="390" windowWidth="25920" windowHeight="14790" activeTab="1" xr2:uid="{5426C36E-AAE0-45E3-9C4C-2C971D0504DB}"/>
  </bookViews>
  <sheets>
    <sheet name="risk" sheetId="16" r:id="rId1"/>
    <sheet name="attendance" sheetId="15" r:id="rId2"/>
    <sheet name="ISO 17025" sheetId="18" r:id="rId3"/>
    <sheet name="ISO 17065" sheetId="13" r:id="rId4"/>
    <sheet name="agenda" sheetId="17" r:id="rId5"/>
    <sheet name="Definition " sheetId="11" r:id="rId6"/>
    <sheet name="Sheet1" sheetId="14" state="hidden" r:id="rId7"/>
  </sheets>
  <definedNames>
    <definedName name="_xlnm._FilterDatabase" localSheetId="3" hidden="1">'ISO 17065'!$A$2:$R$29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16" l="1"/>
  <c r="C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tc={928752F4-81D7-4A50-BA36-1EBC0DA9BB37}</author>
    <author>tc={D5ACB255-2AD6-4767-9B9D-73D8D94CF490}</author>
    <author>tc={9ACCD816-FE3E-4C20-BEB1-03649E68EAE3}</author>
    <author>tc={144998FE-5291-4697-85D5-5D8AEFE4B981}</author>
  </authors>
  <commentList>
    <comment ref="L28" authorId="0" shapeId="0" xr:uid="{928752F4-81D7-4A50-BA36-1EBC0DA9BB37}">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29" authorId="1" shapeId="0" xr:uid="{D5ACB255-2AD6-4767-9B9D-73D8D94CF49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0" authorId="2" shapeId="0" xr:uid="{9ACCD816-FE3E-4C20-BEB1-03649E68EAE3}">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1" authorId="3" shapeId="0" xr:uid="{144998FE-5291-4697-85D5-5D8AEFE4B981}">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<sst xmlns="http://schemas.openxmlformats.org/spreadsheetml/2006/main" count="1448" uniqueCount="1050">
  <si>
    <t>Internal Audit</t>
  </si>
  <si>
    <t>Personnel and Competence</t>
  </si>
  <si>
    <t>Management System</t>
  </si>
  <si>
    <t xml:space="preserve">Record Control </t>
  </si>
  <si>
    <t xml:space="preserve">Corrective Action </t>
  </si>
  <si>
    <t xml:space="preserve">Management Review </t>
  </si>
  <si>
    <t>Control of Documents</t>
  </si>
  <si>
    <t>Scheme/Services</t>
  </si>
  <si>
    <t>Record  # / Project # Reviewed</t>
  </si>
  <si>
    <t>17020:2012</t>
  </si>
  <si>
    <t xml:space="preserve">Impartiality management </t>
  </si>
  <si>
    <t>Confidentiality management</t>
  </si>
  <si>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</si>
  <si>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</si>
  <si>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</si>
  <si>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</si>
  <si>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</si>
  <si>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</si>
  <si>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</si>
  <si>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</si>
  <si>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</si>
  <si>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</si>
  <si>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</si>
  <si>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</si>
  <si>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</si>
  <si>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</si>
  <si>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</si>
  <si>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</si>
  <si>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</si>
  <si>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</si>
  <si>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</si>
  <si>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</si>
  <si>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</si>
  <si>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</si>
  <si>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</si>
  <si>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</si>
  <si>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</si>
  <si>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</si>
  <si>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</si>
  <si>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</si>
  <si>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</si>
  <si>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</si>
  <si>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</si>
  <si>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</si>
  <si>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</si>
  <si>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</si>
  <si>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</si>
  <si>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</si>
  <si>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</si>
  <si>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</si>
  <si>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</si>
  <si>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</si>
  <si>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</si>
  <si>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</si>
  <si>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</si>
  <si>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</si>
  <si>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</si>
  <si>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</si>
  <si>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</si>
  <si>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</si>
  <si>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</si>
  <si>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</si>
  <si>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</si>
  <si>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</si>
  <si>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</si>
  <si>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</si>
  <si>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</si>
  <si>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</si>
  <si>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</si>
  <si>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</si>
  <si>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</si>
  <si>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</si>
  <si>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</si>
  <si>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</si>
  <si>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</si>
  <si>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</si>
  <si>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</si>
  <si>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</si>
  <si>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</si>
  <si>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</si>
  <si>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</si>
  <si>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</si>
  <si>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6.2A;6.2B;6.2C;7.2A;7.2B;7.4A;7.4B;7.4C;7.4D;7.4E;7.4H;7.6;7.7A;7.8A;7.8B</t>
  </si>
  <si>
    <t>5.2A;5.2B;5.2C;5.2D;5.4B</t>
  </si>
  <si>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</si>
  <si>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</si>
  <si>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</si>
  <si>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</si>
  <si>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</si>
  <si>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</si>
  <si>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</si>
  <si>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</si>
  <si>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</si>
  <si>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</si>
  <si>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</si>
  <si>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</si>
  <si>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</si>
  <si>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</si>
  <si>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</si>
  <si>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</si>
  <si>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</si>
  <si>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</si>
  <si>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</si>
  <si>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</si>
  <si>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</si>
  <si>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</si>
  <si>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</si>
  <si>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</si>
  <si>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</si>
  <si>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</si>
  <si>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</si>
  <si>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</si>
  <si>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</si>
  <si>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</si>
  <si>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</si>
  <si>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</si>
  <si>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</si>
  <si>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</si>
  <si>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</si>
  <si>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</si>
  <si>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</si>
  <si>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</si>
  <si>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</si>
  <si>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</si>
  <si>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</si>
  <si>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</si>
  <si>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</si>
  <si>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</si>
  <si>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</si>
  <si>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</si>
  <si>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</si>
  <si>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</si>
  <si>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</si>
  <si>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</si>
  <si>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</si>
  <si>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</si>
  <si>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</si>
  <si>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</si>
  <si>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</si>
  <si>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</si>
  <si>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</si>
  <si>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</si>
  <si>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</si>
  <si>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</si>
  <si>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</si>
  <si>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</si>
  <si>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</si>
  <si>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</si>
  <si>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</si>
  <si>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</si>
  <si>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</si>
  <si>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</si>
  <si>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</si>
  <si>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</si>
  <si>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</si>
  <si>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</si>
  <si>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</si>
  <si>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</si>
  <si>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</si>
  <si>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</si>
  <si>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</si>
  <si>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</si>
  <si>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</si>
  <si>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</si>
  <si>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</si>
  <si>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</si>
  <si>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</si>
  <si>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</si>
  <si>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</si>
  <si>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</si>
  <si>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</si>
  <si>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</si>
  <si>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</si>
  <si>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</si>
  <si>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</si>
  <si>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</si>
  <si>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</si>
  <si>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</si>
  <si>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</si>
  <si>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</si>
  <si>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</si>
  <si>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</si>
  <si>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</si>
  <si>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</si>
  <si>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</si>
  <si>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</si>
  <si>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</si>
  <si>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</si>
  <si>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</si>
  <si>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</si>
  <si>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</si>
  <si>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</si>
  <si>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</si>
  <si>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</si>
  <si>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</si>
  <si>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</si>
  <si>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</si>
  <si>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</si>
  <si>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</si>
  <si>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</si>
  <si>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</si>
  <si>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</si>
  <si>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</si>
  <si>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</si>
  <si>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</si>
  <si>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</si>
  <si>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</si>
  <si>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</si>
  <si>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</si>
  <si>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</si>
  <si>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</si>
  <si>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</si>
  <si>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</si>
  <si>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</si>
  <si>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</si>
  <si>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</si>
  <si>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</si>
  <si>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</si>
  <si>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</si>
  <si>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</si>
  <si>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</si>
  <si>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</si>
  <si>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</si>
  <si>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</si>
  <si>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</si>
  <si>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</si>
  <si>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</si>
  <si>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</si>
  <si>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</si>
  <si>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</si>
  <si>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</si>
  <si>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</si>
  <si>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</si>
  <si>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</si>
  <si>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</si>
  <si>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</si>
  <si>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</si>
  <si>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</si>
  <si>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</si>
  <si>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</si>
  <si>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</si>
  <si>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</si>
  <si>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</si>
  <si>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</si>
  <si>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</si>
  <si>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</si>
  <si>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</si>
  <si>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</si>
  <si>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</si>
  <si>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</si>
  <si>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</si>
  <si>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</si>
  <si>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</si>
  <si>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</si>
  <si>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</si>
  <si>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</si>
  <si>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</si>
  <si>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</si>
  <si>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</si>
  <si>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</si>
  <si>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</si>
  <si>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</si>
  <si>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</si>
  <si>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</si>
  <si>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</si>
  <si>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</si>
  <si>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</si>
  <si>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</si>
  <si>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</si>
  <si>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</si>
  <si>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</si>
  <si>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</si>
  <si>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</si>
  <si>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</si>
  <si>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</si>
  <si>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</si>
  <si>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</si>
  <si>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</si>
  <si>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</si>
  <si>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</si>
  <si>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</si>
  <si>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</si>
  <si>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</si>
  <si>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</si>
  <si>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</si>
  <si>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</si>
  <si>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</si>
  <si>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</si>
  <si>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</si>
  <si>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</si>
  <si>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</si>
  <si>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</si>
  <si>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</si>
  <si>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</si>
  <si>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</si>
  <si>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</si>
  <si>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</si>
  <si>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</si>
  <si>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</si>
  <si>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</si>
  <si>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</si>
  <si>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</si>
  <si>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</si>
  <si>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</si>
  <si>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</si>
  <si>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</si>
  <si>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</si>
  <si>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</si>
  <si>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</si>
  <si>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</si>
  <si>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</si>
  <si>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</si>
  <si>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</si>
  <si>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</si>
  <si>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</si>
  <si>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</si>
  <si>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</si>
  <si>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</si>
  <si>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</si>
  <si>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</si>
  <si>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</si>
  <si>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</si>
  <si>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</si>
  <si>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</si>
  <si>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</si>
  <si>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</si>
  <si>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</si>
  <si>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</si>
  <si>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</si>
  <si>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</si>
  <si>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</si>
  <si>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</si>
  <si>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</si>
  <si>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</si>
  <si>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</si>
  <si>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</si>
  <si>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</si>
  <si>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</si>
  <si>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</si>
  <si>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</si>
  <si>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</si>
  <si>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</si>
  <si>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</si>
  <si>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</si>
  <si>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</si>
  <si>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</si>
  <si>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</si>
  <si>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</si>
  <si>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</si>
  <si>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</si>
  <si>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</si>
  <si>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</si>
  <si>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</si>
  <si>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</si>
  <si>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</si>
  <si>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</si>
  <si>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</si>
  <si>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</si>
  <si>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</si>
  <si>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</si>
  <si>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</si>
  <si>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</si>
  <si>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</si>
  <si>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</si>
  <si>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</si>
  <si>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</si>
  <si>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</si>
  <si>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</si>
  <si>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</si>
  <si>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</si>
  <si>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</si>
  <si>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</si>
  <si>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</si>
  <si>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</si>
  <si>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</si>
  <si>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</si>
  <si>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</si>
  <si>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</si>
  <si>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</si>
  <si>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</si>
  <si>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</si>
  <si>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</si>
  <si>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</si>
  <si>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</si>
  <si>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</si>
  <si>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</si>
  <si>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</si>
  <si>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</si>
  <si>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</si>
  <si>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</si>
  <si>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</si>
  <si>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</si>
  <si>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</si>
  <si>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</si>
  <si>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</si>
  <si>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</si>
  <si>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</si>
  <si>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</si>
  <si>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</si>
  <si>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</si>
  <si>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</si>
  <si>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</si>
  <si>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</si>
  <si>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</si>
  <si>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</si>
  <si>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</si>
  <si>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</si>
  <si>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</si>
  <si>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</si>
  <si>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</si>
  <si>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</si>
  <si>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</si>
  <si>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</si>
  <si>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</si>
  <si>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</si>
  <si>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</si>
  <si>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</si>
  <si>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</si>
  <si>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</si>
  <si>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</si>
  <si>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</si>
  <si>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</si>
  <si>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</si>
  <si>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</si>
  <si>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</si>
  <si>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</si>
  <si>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</si>
  <si>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</si>
  <si>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</si>
  <si>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</si>
  <si>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</si>
  <si>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</si>
  <si>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</si>
  <si>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</si>
  <si>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</si>
  <si>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</si>
  <si>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</si>
  <si>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</si>
  <si>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</si>
  <si>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</si>
  <si>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</si>
  <si>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</si>
  <si>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</si>
  <si>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</si>
  <si>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</si>
  <si>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</si>
  <si>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</si>
  <si>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</si>
  <si>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</si>
  <si>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</si>
  <si>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</si>
  <si>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</si>
  <si>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</si>
  <si>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</si>
  <si>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</si>
  <si>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</si>
  <si>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</si>
  <si>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</si>
  <si>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</si>
  <si>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</si>
  <si>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</si>
  <si>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</si>
  <si>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</si>
  <si>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</si>
  <si>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</si>
  <si>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</si>
  <si>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</si>
  <si>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</si>
  <si>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</si>
  <si>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</si>
  <si>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</si>
  <si>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</si>
  <si>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</si>
  <si>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</si>
  <si>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</si>
  <si>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</si>
  <si>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</si>
  <si>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</si>
  <si>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</si>
  <si>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</si>
  <si>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</si>
  <si>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</si>
  <si>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</si>
  <si>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</si>
  <si>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</si>
  <si>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</si>
  <si>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</si>
  <si>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</si>
  <si>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</si>
  <si>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</si>
  <si>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</si>
  <si>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</si>
  <si>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</si>
  <si>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</si>
  <si>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</si>
  <si>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</si>
  <si>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</si>
  <si>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</si>
  <si>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</si>
  <si>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</si>
  <si>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</si>
  <si>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</si>
  <si>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</si>
  <si>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</si>
  <si>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</si>
  <si>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</si>
  <si>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</si>
  <si>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</si>
  <si>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</si>
  <si>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</si>
  <si>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</si>
  <si>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</si>
  <si>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</si>
  <si>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</si>
  <si>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</si>
  <si>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</si>
  <si>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</si>
  <si>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</si>
  <si>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</si>
  <si>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</si>
  <si>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</si>
  <si>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</si>
  <si>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</si>
  <si>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</si>
  <si>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</si>
  <si>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</si>
  <si>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</si>
  <si>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</si>
  <si>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</si>
  <si>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</si>
  <si>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</si>
  <si>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</si>
  <si>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</si>
  <si>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</si>
  <si>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</si>
  <si>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</si>
  <si>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</si>
  <si>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</si>
  <si>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</si>
  <si>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</si>
  <si>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</si>
  <si>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</si>
  <si>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</si>
  <si>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</si>
  <si>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</si>
  <si>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</si>
  <si>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</si>
  <si>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</si>
  <si>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</si>
  <si>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</si>
  <si>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</si>
  <si>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</si>
  <si>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</si>
  <si>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</si>
  <si>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</si>
  <si>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</si>
  <si>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</si>
  <si>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</si>
  <si>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</si>
  <si>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</si>
  <si>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</si>
  <si>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</si>
  <si>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</si>
  <si>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</si>
  <si>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</si>
  <si>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</si>
  <si>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</si>
  <si>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</si>
  <si>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</si>
  <si>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</si>
  <si>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</si>
  <si>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</si>
  <si>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</si>
  <si>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</si>
  <si>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</si>
  <si>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</si>
  <si>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</si>
  <si>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</si>
  <si>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</si>
  <si>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</si>
  <si>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</si>
  <si>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</si>
  <si>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</si>
  <si>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</si>
  <si>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</si>
  <si>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</si>
  <si>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</si>
  <si>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</si>
  <si>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</si>
  <si>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</si>
  <si>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</si>
  <si>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</si>
  <si>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</si>
  <si>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</si>
  <si>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</si>
  <si>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</si>
  <si>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</si>
  <si>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</si>
  <si>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</si>
  <si>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</si>
  <si>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</si>
  <si>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</si>
  <si>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</si>
  <si>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</si>
  <si>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</si>
  <si>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</si>
  <si>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</si>
  <si>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</si>
  <si>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</si>
  <si>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</si>
  <si>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</si>
  <si>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</si>
  <si>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</si>
  <si>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</si>
  <si>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</si>
  <si>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</si>
  <si>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</si>
  <si>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</si>
  <si>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</si>
  <si>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</si>
  <si>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</si>
  <si>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</si>
  <si>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</si>
  <si>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</si>
  <si>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</si>
  <si>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</si>
  <si>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</si>
  <si>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</si>
  <si>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</si>
  <si>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</si>
  <si>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</si>
  <si>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</si>
  <si>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</si>
  <si>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</si>
  <si>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</si>
  <si>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</si>
  <si>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</si>
  <si>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</si>
  <si>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</si>
  <si>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</si>
  <si>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</si>
  <si>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</si>
  <si>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</si>
  <si>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</si>
  <si>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</si>
  <si>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</si>
  <si>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</si>
  <si>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</si>
  <si>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</si>
  <si>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</si>
  <si>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</si>
  <si>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</si>
  <si>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</si>
  <si>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</si>
  <si>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</si>
  <si>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</si>
  <si>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</si>
  <si>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</si>
  <si>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</si>
  <si>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</si>
  <si>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</si>
  <si>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</si>
  <si>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</si>
  <si>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</si>
  <si>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</si>
  <si>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</si>
  <si>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</si>
  <si>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</si>
  <si>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</si>
  <si>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</si>
  <si>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</si>
  <si>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</si>
  <si>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</si>
  <si>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</si>
  <si>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</si>
  <si>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</si>
  <si>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</si>
  <si>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</si>
  <si>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</si>
  <si>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</si>
  <si>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</si>
  <si>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</si>
  <si>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</si>
  <si>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</si>
  <si>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</si>
  <si>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</si>
  <si>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</si>
  <si>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</si>
  <si>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</si>
  <si>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</si>
  <si>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</si>
  <si>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</si>
  <si>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</si>
  <si>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</si>
  <si>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</si>
  <si>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</si>
  <si>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</si>
  <si>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</si>
  <si>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</si>
  <si>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</si>
  <si>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</si>
  <si>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</si>
  <si>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</si>
  <si>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</si>
  <si>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</si>
  <si>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</si>
  <si>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</si>
  <si>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</si>
  <si>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</si>
  <si>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</si>
  <si>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</si>
  <si>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</si>
  <si>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</si>
  <si>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</si>
  <si>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</si>
  <si>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</si>
  <si>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</si>
  <si>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</si>
  <si>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</si>
  <si>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</si>
  <si>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</si>
  <si>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</si>
  <si>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</si>
  <si>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</si>
  <si>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</si>
  <si>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</si>
  <si>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</si>
  <si>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</si>
  <si>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</si>
  <si>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</si>
  <si>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</si>
  <si>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</si>
  <si>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</si>
  <si>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</si>
  <si>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</si>
  <si>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</si>
  <si>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</si>
  <si>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</si>
  <si>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</si>
  <si>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</si>
  <si>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</si>
  <si>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</si>
  <si>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</si>
  <si>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</si>
  <si>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</si>
  <si>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</si>
  <si>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</si>
  <si>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</si>
  <si>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</si>
  <si>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</si>
  <si>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</si>
  <si>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</si>
  <si>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</si>
  <si>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</si>
  <si>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</si>
  <si>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</si>
  <si>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</si>
  <si>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</si>
  <si>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</si>
  <si>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</si>
  <si>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</si>
  <si>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</si>
  <si>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</si>
  <si>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</si>
  <si>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</si>
  <si>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</si>
  <si>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</si>
  <si>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</si>
  <si>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</si>
  <si>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</si>
  <si>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</si>
  <si>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</si>
  <si>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</si>
  <si>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</si>
  <si>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</si>
  <si>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</si>
  <si>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</si>
  <si>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</si>
  <si>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</si>
  <si>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</si>
  <si>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</si>
  <si>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Process Verdict (See "Definition" for Instruction &amp; Single selection)</t>
  </si>
  <si>
    <t>Organizational Structure</t>
  </si>
  <si>
    <t>Org. Chart</t>
  </si>
  <si>
    <t>N/A</t>
  </si>
  <si>
    <t>Stephanie Eckgren</t>
  </si>
  <si>
    <t>Johannes Bauer</t>
  </si>
  <si>
    <t>David Magri, Stephanie Eckgren</t>
  </si>
  <si>
    <t>None</t>
  </si>
  <si>
    <t>This is the internal.  IQA is covered under Corporate IQA</t>
  </si>
  <si>
    <t>Stephanie Eckgren, Mike Jablonski</t>
  </si>
  <si>
    <t>Johannes Bauer
Doug Briggs</t>
  </si>
  <si>
    <t>Stephanie Eckgren, Mike Jablonski, David Magri</t>
  </si>
  <si>
    <t>No changes in the program. Discussed process</t>
  </si>
  <si>
    <t>Policy-ULID-004133 (00-CB-P0883) UL LLC CERTIFICATION BODY COMPLIANCE MANUAL FOR CYBERSECURITY ASSURANCE PROGRAM (CAP) SCHEME Issue 7.0 &amp; Handling Customer Complaints (SOP-ULID-004161(DCS 00-CS-S0012)) Issue 47.0</t>
  </si>
  <si>
    <t>Discussed process with PrE.  No appeals submitted</t>
  </si>
  <si>
    <t>Approved participant List</t>
  </si>
  <si>
    <t>See SOP listed within the pathnotes</t>
  </si>
  <si>
    <t>5/9-11/2023</t>
  </si>
  <si>
    <t>Ken Berger</t>
  </si>
  <si>
    <t>Audit # 2023-4</t>
  </si>
  <si>
    <t>External stakeholders Excluded per scheme.</t>
  </si>
  <si>
    <t>n/a</t>
  </si>
  <si>
    <t>ISO 17020 doesn't apply to this scheme</t>
  </si>
  <si>
    <t>SOP-ULID-001015 (00-QA-S0006) CORRECTIVE ACTION REQUEST PROCESS Issue 30</t>
  </si>
  <si>
    <t>Policy-ULID-009204,  UL SOLUTIONS CERTIFICATION BODY COMPLIANCE POLICY, Issue 3.0</t>
  </si>
  <si>
    <t>https://ul.sharepoint.com/sites/GlobalRiskManagement/SitePages/Re.aspx</t>
  </si>
  <si>
    <t>Policy-ULID-004133 (00-CB-P0883) UL LLC CERTIFICATION BODY COMPLIANCE MANUAL FOR CYBERSECURITY ASSURANCE PROGRAM (CAP) SCHEME Issue 9.0</t>
  </si>
  <si>
    <t>Policy-ULID-004133 (00-CB-P0883) UL LLC CERTIFICATION BODY COMPLIANCE MANUAL FOR CYBERSECURITY ASSURANCE PROGRAM (CAP) SCHEME Issue 9.0 &amp; CYBERSECURITY ASSURANCE PROGRAM (CAP) SCHEME Issue 6.0</t>
  </si>
  <si>
    <t>Policy-ULID-004133 (00-CB-P0883) UL LLC CERTIFICATION BODY COMPLIANCE MANUAL FOR CYBERSECURITY ASSURANCE PROGRAM (CAP) SCHEME Issue 9.0 &amp; SOP-ULID-000950 (00-PD-S0028) TECHNICAL APPEALS PROCESS  Issue 13.0</t>
  </si>
  <si>
    <t>SOP-ULID-001013 (00-QA-S0003) DOCUMENT MANAGEMENT SOP Issue 44.2</t>
  </si>
  <si>
    <t>Policy-ULID-004133 (00-CB-P0883) UL LLC CERTIFICATION BODY COMPLIANCE MANUAL FOR CYBERSECURITY ASSURANCE PROGRAM (CAP) SCHEME Issue 9.0 &amp; Policy-ULID-009204,  UL SOLUTIONS CERTIFICATION BODY COMPLIANCE POLICY, Issue 3.0, and  Form-ULID-001148 (00-TS-F0891) IMS - ANNUAL COMPETENCY REVIEW FOR TECHNICAL STAFF FORM Issue 2.0</t>
  </si>
  <si>
    <t>SCC requirements doesn't apply to this scheme</t>
  </si>
  <si>
    <t>Policy-ULID-004133 (00-CB-P0883) UL LLC CB COMPLIANCE MANUAL FOR CYBERSECURITY ASSURANCE PROGRAM (CAP) SCHEME Issue 9.0</t>
  </si>
  <si>
    <t>Confirmed insurance - see link in column H</t>
  </si>
  <si>
    <t>UL Schemes and Certification Bodies | UL Solutions</t>
  </si>
  <si>
    <t>External Website, saw CAP under UL LLC</t>
  </si>
  <si>
    <t>Location:</t>
  </si>
  <si>
    <t>Opening date:</t>
  </si>
  <si>
    <t>Closing date:</t>
  </si>
  <si>
    <t>Name</t>
  </si>
  <si>
    <t>Title/role</t>
  </si>
  <si>
    <t>Opening</t>
  </si>
  <si>
    <t xml:space="preserve">Closing </t>
  </si>
  <si>
    <t>x</t>
  </si>
  <si>
    <t>Auditor, Lead</t>
  </si>
  <si>
    <t>Auditor</t>
  </si>
  <si>
    <t xml:space="preserve"> </t>
  </si>
  <si>
    <t>00-QA-J0860 1.0</t>
  </si>
  <si>
    <t xml:space="preserve">Post Audit Risk Assessment for Audit Resource Arrangement  </t>
  </si>
  <si>
    <t>Date</t>
  </si>
  <si>
    <t>Conducted by:</t>
  </si>
  <si>
    <t>Audit Year</t>
  </si>
  <si>
    <t xml:space="preserve">Organization being audited </t>
  </si>
  <si>
    <t>Risk Level</t>
  </si>
  <si>
    <t>Volume of work</t>
  </si>
  <si>
    <t>Accreditation/ Regulation Status</t>
  </si>
  <si>
    <t>Previous Internal Audit Results</t>
  </si>
  <si>
    <t>Staff Changes</t>
  </si>
  <si>
    <t>Additional Monitoring Mechanism</t>
  </si>
  <si>
    <t>Management Review</t>
  </si>
  <si>
    <t>External Audit Results</t>
  </si>
  <si>
    <t>Product Incident Report</t>
  </si>
  <si>
    <t>Risk Score</t>
  </si>
  <si>
    <t>Mike Chiugu</t>
  </si>
  <si>
    <t>David.Magri</t>
  </si>
  <si>
    <t>Douglas.Biggs</t>
  </si>
  <si>
    <t>Michael.Jablonski</t>
  </si>
  <si>
    <t>Program Manager (6yrs/34)</t>
  </si>
  <si>
    <t>NBK Lab Mgr (1.5/18)</t>
  </si>
  <si>
    <t>PrE for several (4/6)</t>
  </si>
  <si>
    <t xml:space="preserve">GSA/Service T&amp;C of 2/11/2022, no change.  Cyber Advisory Services T&amp;C - not consultancy, legal plans to remove this - just for isolated testing.  Transistion to new document Policy-ULID-009204, UL ENTERPRISE CERTIFICATION BODY COMPLIANCE POLICY, - two exemptions have been requested (5.2 external mecha nism, and use of ECM for security - using IMS tool PSA not Flex) awaiting reply.  Verified Legal Entity not changed.  </t>
  </si>
  <si>
    <t>Enterprise Impartiality Policy-ULID-009205 Issue 2.0,  CAP Impartiality ULID-014152, issue 1.0 (Jul, 2022)</t>
  </si>
  <si>
    <t xml:space="preserve">Saw Business Conduct training record for Mateusz Panus, 12/16/22.  Guillaume Dupont completed training 9/5/22. </t>
  </si>
  <si>
    <t>part of Business Conduct</t>
  </si>
  <si>
    <t>see above</t>
  </si>
  <si>
    <t>Saw chart on CAP sharepoint, 2022-09-22 
2 Technical Leads:  David McGregor - ETSI 303 645 (just left 2 weeks ago), Jako Fritz - ISO/SAE 21434.  Frankfort was termporarily closed 4 weeks ago due to lack of activity (saw Authorized Test lab list).  OFI - remember to update org chart when final decisions are made on replacements.</t>
  </si>
  <si>
    <t xml:space="preserve">No new labs (internal/external) since last audit, Mumbai internal just last year, internal annual audit (see mgmnt review 1/24/23).  Frankfurt withdrawn on approved list.  
External (DATL), only for UL 2900 - Saw Client DAP Schedule - OFI - consider adding an expired date to the schedule and color code when expired.  Saw EAton DATL Auid 2022-002, Pune, Lead: Sharan qualified 10/26/22 (saw CAP DATL Traiing record).  Saw DATL LIst of Participants &amp; Scopes.  Saw 2022-002-01 Eaton DATL NCR, 25Feb2023 due date.
Internal lab, must be approved per 6.2.1.   </t>
  </si>
  <si>
    <t>saw section 4 of 2023 Managemnet Review with a list of completed &amp; in-process actions.</t>
  </si>
  <si>
    <t>MR 1/24/2023, Prior 8 Feb 22.  Also, mid-year review is planned, planned for jun/jul.  Saw Jul 14/2022 mid=year.</t>
  </si>
  <si>
    <t>6 attendees (top management)., program owner &amp; manager.
Discussed actions items  from the previous meeting.
Multiple action items developed from the meeting.
Reviewed Prev. action &amp; improvements 
Discussed status of the CARs from the internal audit
1  complaints (from customer advocacy) on cost.
Objectives: discussed objectives.  Improvement over last year.
Discussed all action items.</t>
  </si>
  <si>
    <t>CAR verification: 233926052, 2023-03-24, recevied response.  Audit for ISO 21434 without TCD qualification.</t>
  </si>
  <si>
    <t>CYBR</t>
  </si>
  <si>
    <t>crescioli</t>
  </si>
  <si>
    <t>CK</t>
  </si>
  <si>
    <t>anderw W</t>
  </si>
  <si>
    <t>ULDC is used or SharePoint.</t>
  </si>
  <si>
    <t>5 year retention, verifyed ULCAP-115, issued 2018-03-21, expired 2019-03-22</t>
  </si>
  <si>
    <t>See records listed above &amp; below</t>
  </si>
  <si>
    <t>Not applicable for now.  Plans to add to all Standards, probably for 2024 - just process &amp; capability, not products.</t>
  </si>
  <si>
    <t xml:space="preserve">UL 2900-2-1 revised Jan, 2023 , saw "plan for revision" - no impact on current certs, in-process will be notified, dated 2/7/23. </t>
  </si>
  <si>
    <t>see directory of certs above.</t>
  </si>
  <si>
    <t>see directory of certs above.  Suspension is n/a.  No reduction allowed.  No Terminations.</t>
  </si>
  <si>
    <t>Saw management review, being handled by Cust Advoc.</t>
  </si>
  <si>
    <t>CCN</t>
  </si>
  <si>
    <t># project</t>
  </si>
  <si>
    <t>PH</t>
  </si>
  <si>
    <t>EN 303  645</t>
  </si>
  <si>
    <t>ISO 21434</t>
  </si>
  <si>
    <t>auditing</t>
  </si>
  <si>
    <t>notes</t>
  </si>
  <si>
    <t>OFI3</t>
  </si>
  <si>
    <t>OFI 4 &amp; 5</t>
  </si>
  <si>
    <t>Product IQ - no EMHO, all expired.  EMHB replaced by CS-MS - ULCAP-P103
Certificates CYBR.E530900, CYBR.E511412, CYBR.E497726.  Verified ULCAP-P130 was removed. 
workbench will automatically removed certs from IQ - ECD is Jun 1.  all catagories in production, migration needed, training planned this month.  Verified correct cert form for ULCAP-102.</t>
  </si>
  <si>
    <t>CAR: 2023-4.1</t>
  </si>
  <si>
    <t>see above &amp; below</t>
  </si>
  <si>
    <t>OFI 1 &amp; 2</t>
  </si>
  <si>
    <t>cert  ULCAP-P101 or ULCAP-P102?</t>
  </si>
  <si>
    <t xml:space="preserve">Saw 1102265135 V1 included Cyber GSA Terms, 9/12/2022. </t>
  </si>
  <si>
    <t>CYBR (will be CS-PROD)</t>
  </si>
  <si>
    <t>CS-MS (prior EMHB)</t>
  </si>
  <si>
    <t>CS-CAP (no work)</t>
  </si>
  <si>
    <t>IEC 62443</t>
  </si>
  <si>
    <t>CK (CheeKheong) Lin, Stephanie</t>
  </si>
  <si>
    <r>
      <t xml:space="preserve">Project:  saw Opportunity, GAP analysis &amp; CP for iso/SAE 21434 compliance, ALPS Alpine, Version 0.1, 13 Jun 2022, Draft (proposal), Version 0.2 15 Jun 2022
saw Agreement site: GSAV2, 2017
Standard ISO PAS 5112 for ISO 21434,  VDA ACSMS was not used but included, this was before the 2022 IQA CAR.
saw Quote 1102231111, 2022/09/25, </t>
    </r>
    <r>
      <rPr>
        <b/>
        <sz val="11"/>
        <rFont val="Calibri"/>
        <family val="2"/>
        <scheme val="minor"/>
      </rPr>
      <t>doesn't inlcude CAP Terms</t>
    </r>
    <r>
      <rPr>
        <sz val="11"/>
        <rFont val="Calibri"/>
        <family val="2"/>
        <scheme val="minor"/>
      </rPr>
      <t xml:space="preserve"> but this was fixed (see column J)- error with the catalog not pointing terms.    
Saw GAP analysis - Oct 25, 2022, debriefing of project Dec 9, 2022
Opening 30-Jan-2023, </t>
    </r>
    <r>
      <rPr>
        <b/>
        <sz val="11"/>
        <color rgb="FFFF0000"/>
        <rFont val="Calibri"/>
        <family val="2"/>
        <scheme val="minor"/>
      </rPr>
      <t>Need Closing meeting file</t>
    </r>
    <r>
      <rPr>
        <sz val="11"/>
        <rFont val="Calibri"/>
        <family val="2"/>
        <scheme val="minor"/>
      </rPr>
      <t xml:space="preserve">
Saw ISO 21434 Audit Report, ver 1.0, 2023-3-29, incl. Reviewer name.  Assessment - pass, conditonal or fail.  
CK Lin, L3 qualifiedm Jako was reviewer.
Saw Cert ., PR- 4790554971, ULCAP-P103
No private Labels since last year.
some audit team was not qualified - see internal CAR 233926052 already initiated so no new CAR issued.</t>
    </r>
  </si>
  <si>
    <t>ISO 2900-2</t>
  </si>
  <si>
    <t>Andrew Wolke, Steph, Aakash Patel</t>
  </si>
  <si>
    <t>Jako, Steph</t>
  </si>
  <si>
    <t>Chris Crescioli, Steph</t>
  </si>
  <si>
    <t xml:space="preserve">Project: J33, Thales DIS, ISO 21434 Audit, 
saw Agreement:  GSAV2, 2021-06-10
Standard ISO 21434
saw Summary report, shows ISO 201434:2021, Mar-2023, includes project 46572665.
saw Quote 1102227345-V1, Jun, 2022.  
OFI - audit Report Template doesn't include the standard edition/date. 
Saw Audit Report, ver 1.1, 2/27/23, Jako &amp; CK Lin, status Final.
Saw Action Plan Proposal, v2.0.
Cert: ULCAP-P101, 2023-1-6, saw standard &amp; date., Audit report - PR-14405796.  PR number is in the Aurdit Summary but not in Audit Report.
</t>
  </si>
  <si>
    <r>
      <t>CAP since 2022.  Order Acknowledgement 1102154998, 3/30/2022 - Redmine tool gives PDF.  Standard EN 303 645 
Project Plan - not shown, Chris C - part of prior IQA CAR.
Saw Project Plan for Arlo, 4790712772
for Tahoma renewal, OFI - Chris was trainer for Olya Chyzhykova but not in redmine/datasheet.</t>
    </r>
    <r>
      <rPr>
        <b/>
        <sz val="11"/>
        <color rgb="FFFF0000"/>
        <rFont val="Calibri"/>
        <family val="2"/>
        <scheme val="minor"/>
      </rPr>
      <t xml:space="preserve">
</t>
    </r>
    <r>
      <rPr>
        <sz val="11"/>
        <rFont val="Calibri"/>
        <family val="2"/>
        <scheme val="minor"/>
      </rPr>
      <t xml:space="preserve">saw Cert ULCAP-176, 2022-10-12, but no standard edition - will be updated with current request for a cert revision from the client, (ULCAP-171 has edition).  Form ULID-004393, issue 5.
Saw Summary test report, Project 4790355207 (Oct 2022)- Handler Chri, Reviewer David M, standard &amp; ver 2.1 (2020), page #, test tools as of 2022-06.
Wireshark is main tool, saw in ULCAP Approved Tools list from sharepoint site per ULID-001191, issue 3.0, ULC CAP tool Qualification Process.
saw Agreement:  GSAv2, 2018-11-16.
</t>
    </r>
  </si>
  <si>
    <r>
      <t xml:space="preserve">Work volume: Medical, about 3 years, (total CAP 20 projects/year).   
Project: assigned project in PSA via email. Recert for UL 2900-2-1,
saw Project Plan - 4790712795 2023-01, dated 2/6/23, VMM = Mudassir, </t>
    </r>
    <r>
      <rPr>
        <b/>
        <sz val="11"/>
        <rFont val="Calibri"/>
        <family val="2"/>
        <scheme val="minor"/>
      </rPr>
      <t>Standard 2900-2-1: 2020.</t>
    </r>
    <r>
      <rPr>
        <sz val="11"/>
        <rFont val="Calibri"/>
        <family val="2"/>
        <scheme val="minor"/>
      </rPr>
      <t xml:space="preserve">
Saw files on the network drive.
</t>
    </r>
    <r>
      <rPr>
        <b/>
        <sz val="11"/>
        <rFont val="Calibri"/>
        <family val="2"/>
        <scheme val="minor"/>
      </rPr>
      <t>Reviewer</t>
    </r>
    <r>
      <rPr>
        <sz val="11"/>
        <rFont val="Calibri"/>
        <family val="2"/>
        <scheme val="minor"/>
      </rPr>
      <t xml:space="preserve">: Aakash Patel (L3) - deicide on plan, Final Review Action  
saw Agreement: GSAV2, 2023-01-27.  Saw TCD for 19553, L4 for 2900-2-1, CAP scheme.
saw DS: Mallinckrodt_4790712795_ds2_2900-2-1 --- </t>
    </r>
    <r>
      <rPr>
        <b/>
        <sz val="11"/>
        <rFont val="Calibri"/>
        <family val="2"/>
        <scheme val="minor"/>
      </rPr>
      <t xml:space="preserve">shows 2023 version, </t>
    </r>
    <r>
      <rPr>
        <sz val="11"/>
        <rFont val="Calibri"/>
        <family val="2"/>
        <scheme val="minor"/>
      </rPr>
      <t xml:space="preserve">Sample 5717158.  An action plan was in place for this revision update, but client was not contacted - plan needed to clarify responsibility.  
saw </t>
    </r>
    <r>
      <rPr>
        <b/>
        <sz val="11"/>
        <rFont val="Calibri"/>
        <family val="2"/>
        <scheme val="minor"/>
      </rPr>
      <t>Cert</t>
    </r>
    <r>
      <rPr>
        <sz val="11"/>
        <rFont val="Calibri"/>
        <family val="2"/>
        <scheme val="minor"/>
      </rPr>
      <t xml:space="preserve">: ULCP-160, satndard edition &amp; date, form ULID-004393, issue 5.0
saw </t>
    </r>
    <r>
      <rPr>
        <b/>
        <sz val="11"/>
        <rFont val="Calibri"/>
        <family val="2"/>
        <scheme val="minor"/>
      </rPr>
      <t>Summary report</t>
    </r>
    <r>
      <rPr>
        <sz val="11"/>
        <rFont val="Calibri"/>
        <family val="2"/>
        <scheme val="minor"/>
      </rPr>
      <t xml:space="preserve">: issued Mar 31, 2023, form ULID-004114 (issue 4.0)
saw </t>
    </r>
    <r>
      <rPr>
        <b/>
        <sz val="11"/>
        <rFont val="Calibri"/>
        <family val="2"/>
        <scheme val="minor"/>
      </rPr>
      <t>DTR</t>
    </r>
    <r>
      <rPr>
        <sz val="11"/>
        <rFont val="Calibri"/>
        <family val="2"/>
        <scheme val="minor"/>
      </rPr>
      <t xml:space="preserve">: Detailed Test Record, report rev.1, product version INOMAX Evolve DS v01.04.09, 2900-3-1, thru 2023.
saw L2 - for 23611 verified on TCD, CAP, 2900-1, 2900-2, ETSI EN 303.
saw </t>
    </r>
    <r>
      <rPr>
        <b/>
        <sz val="11"/>
        <rFont val="Calibri"/>
        <family val="2"/>
        <scheme val="minor"/>
      </rPr>
      <t xml:space="preserve">Quote: 1102320357, date 2023/01/12. </t>
    </r>
    <r>
      <rPr>
        <sz val="11"/>
        <rFont val="Calibri"/>
        <family val="2"/>
        <scheme val="minor"/>
      </rPr>
      <t xml:space="preserve"> 
</t>
    </r>
  </si>
  <si>
    <t>CAP needed a more specific SOP for steps &amp; responsibility.  Part of enterprise to identify, but not used to mitigate.  Saw CAP Risk Analysis &amp; Mitigation spreadsheet, risks from 2009.  Saw Risk dated 2023-02-08 - Acquisition of Kugler- Maag on 10/26/22.  Saw Microchip risk dated 2023-04-25, still in process.   Database spreadsheet was updated to include the above during this audit.</t>
  </si>
  <si>
    <t>3 of 4 clients for category CS-MS have the incorrect form. Form-ULID-004393 (00-GC-F0870) is being used but should be Form-ULID-9323, issue 1.0. The incorrect form is used for ULCAP_P101, ULCAP_P102, &amp; ULCAP_P103. Verified correct cert was used form for ULCAP-102..</t>
  </si>
  <si>
    <t>OFI 7 - consider page number for audit report</t>
  </si>
  <si>
    <t>OFI 8 - consider how to document trainer in Redmine datasheets.</t>
  </si>
  <si>
    <t>Stephanie Eckgren, Jako Fritz, Doug</t>
  </si>
  <si>
    <t>ULIS-001148, Issue 2.0 - Annual Competency Review form - for L2s.  PrE interview, Doug B (7 yrs@ul, 4 in CAP):
-	Roles: PrE for 2900, 62443, sometime reviewer, technical decisions, doc owner/approver, changes to program, new technology/protocols, advisory
-	Capability/competency: unable to test when product was in cloud, currently investigating, none since last audit
-	Confirm datasheets: currently need to update based on standard changes for derived template (UL 2900-2-1 (medical), then 2900-1 reaffirm shuffled clauses), generic template (Oct, 2022 for DATL signatory, saw UL2900 Generic v1.3) then lab creates for each clause
-	CRD proposal with standards group for 2900-2-1 in discussion, saw chat with Darrin Conlon
-	Tech appeals submitted: none 
-	L3 qualification – tech competency criteria: see section D.7 in CB Manual (4133), one in process, Rahul Gupta was last for 62443 (11/3/22), worked on standard committee), saw 11/3 email with attestation letter, 11/3/22.  
-	CB Manual – “D.6.5, Training content shall be validated for technical accuracy by the PrE”, saw “L2 Training 6243” and “L2 Training UL 2900 2022” spreadsheet. Saw 5/4/23 email for 62443.  OFI 11 – consider adding an “approvals page” to the L2 training plans to clarify the PrE technical validation.</t>
  </si>
  <si>
    <t>OFI 11</t>
  </si>
  <si>
    <r>
      <t>Sufficient personnel - based on conversation with staff, see management review section, no complaints - one new hire since last audit, Mateus, other transfers, 6 new qualifications, need more reviewers.  Future plan to cross-train more staff.  TAT not measured due to various maturity levels.
Competence - 1) scheme level (saw CAP Scheme-CB-Lab Training Program 2022), RTCA, saw  Mateus in TCD (31922),  2) technical  (done by L3 or L4).  We have PrE, L4 (Aakash Patel,  Jako Fritz), L3, &amp; L2 (L2 SOP ULID-014567, issue 1.0, Sep, 2022).  
Jako discussion - for L2 qual, empl 27804, Sharath - training on standard, reading ISO 19011 &amp; Pass 5412, network access, verify CAP, training - ISO 17065/17025, saw L2 qualif form.</t>
    </r>
    <r>
      <rPr>
        <b/>
        <sz val="11"/>
        <color rgb="FF00B0F0"/>
        <rFont val="Calibri"/>
        <family val="2"/>
        <scheme val="minor"/>
      </rPr>
      <t xml:space="preserve">
</t>
    </r>
    <r>
      <rPr>
        <sz val="11"/>
        <rFont val="Calibri"/>
        <family val="2"/>
        <scheme val="minor"/>
      </rPr>
      <t>Need to see Mateus CV info. will have Mike Chiugu review 17065 section 6.1.2.2 for Mateus. Process owner for 21434, qualify L2 &amp; L3, also developing new UL 2489.</t>
    </r>
    <r>
      <rPr>
        <b/>
        <sz val="11"/>
        <color rgb="FF00B0F0"/>
        <rFont val="Calibri"/>
        <family val="2"/>
        <scheme val="minor"/>
      </rPr>
      <t xml:space="preserve">
</t>
    </r>
    <r>
      <rPr>
        <sz val="11"/>
        <rFont val="Calibri"/>
        <family val="2"/>
        <scheme val="minor"/>
      </rPr>
      <t>saw L2 - for 23611 verified on TCD, CAP, 2900-1, 2900-2, ETSI EN 303.
Performance monitoring - no L3s for EN 303  645.  Saw Dougs review for L3s of UL2900, for Jan 24, 2023 &amp; no appeals.  (Input from Ops template)</t>
    </r>
  </si>
  <si>
    <t>Michael Chiugu</t>
  </si>
  <si>
    <t>Audit Date Range:</t>
  </si>
  <si>
    <t>05/09/2023 - 05/11/2023</t>
  </si>
  <si>
    <t>Total Record  # / Project # Reviewed (0 - 25)</t>
  </si>
  <si>
    <t>Process Verdict (See "Definition" for single selection)</t>
  </si>
  <si>
    <t xml:space="preserve">Process Input ( Maybe in Details) </t>
  </si>
  <si>
    <t xml:space="preserve">Process Output( Maybe details) </t>
  </si>
  <si>
    <t xml:space="preserve">Personnel Qualification( Maybe combined in Details) </t>
  </si>
  <si>
    <t>Common to 17065:2012</t>
  </si>
  <si>
    <r>
      <t xml:space="preserve">17025:2017 
</t>
    </r>
    <r>
      <rPr>
        <sz val="9"/>
        <color theme="1"/>
        <rFont val="Calibri"/>
        <family val="2"/>
        <scheme val="minor"/>
      </rPr>
      <t>(Number in red color is the supplemental requirement )</t>
    </r>
  </si>
  <si>
    <t>OSHA  Directive ANNEX A</t>
  </si>
  <si>
    <t>Michael Jablonski - 08237</t>
  </si>
  <si>
    <t>Policy-ULID-001739 – Issue 6.0
Policy-ULID-001163 – Issue 9.1
Policy-ULID-004133 (DCS: 00-CB-P0883); Issue 9.0</t>
  </si>
  <si>
    <t>Enteprise learning Management System (eLMS) - Standards of Business conduct</t>
  </si>
  <si>
    <t>Standards of Business Conduct Annual Renewal Training for all 10 employees reporting to Michael Jablonski (eLMS).
Policy-ULID-000516 - UL Standards of Business Conduct ; Additional Impartiality onboarding training provided by Stephanie; No consulting in lab.
Cybersecurity Sharepoint Site.</t>
  </si>
  <si>
    <r>
      <t xml:space="preserve">4.1.1; 4.1.2;4.1.3;4.1.4;4.1.5
</t>
    </r>
    <r>
      <rPr>
        <sz val="11"/>
        <color rgb="FFC00000"/>
        <rFont val="Calibri"/>
        <family val="2"/>
        <scheme val="minor"/>
      </rPr>
      <t>8.4.1</t>
    </r>
  </si>
  <si>
    <t>4.1B</t>
  </si>
  <si>
    <r>
      <rPr>
        <sz val="11"/>
        <rFont val="Calibri"/>
        <family val="2"/>
        <scheme val="minor"/>
      </rPr>
      <t>Policy-ULID-001739 – Issue 6.0
Policy-ULID-001163 – Issue 9.1
Policy-ULID-004133 (DCS: 00-CB-P0883); Issue 9.0
Policy-ULID-000434 (DCS:00-IT-P0406); Issue 8.0
Policy-ULID-004350 (DCS:00-FM-P0851); Issue 7.1</t>
    </r>
    <r>
      <rPr>
        <b/>
        <sz val="11"/>
        <color rgb="FFFF0000"/>
        <rFont val="Calibri"/>
        <family val="2"/>
        <scheme val="minor"/>
      </rPr>
      <t xml:space="preserve">
</t>
    </r>
    <r>
      <rPr>
        <sz val="11"/>
        <rFont val="Calibri"/>
        <family val="2"/>
        <scheme val="minor"/>
      </rPr>
      <t>SOP-ULID-000207 (DCS:00-HR-S0052); Issue 3.0</t>
    </r>
  </si>
  <si>
    <t>Enteprise learning Management System (eLMS) - Standards of Business conduct, quote with confidential agreement.</t>
  </si>
  <si>
    <t>Standards of Business Conduct Annual Renewal Training for all 10 employees reporting to Michael Jablonski (eLMS).
Policy-ULID-000516 - UL Standards of Business Conduct 
Access: Photo ID badge or access card;access keys or passes. 
Mike reviews list with security annually. GSA and cybersecurity agreements during testing; No contractors on site, just cleaning crew; 
"CT Lab Access review" list captures personnel with site access.</t>
  </si>
  <si>
    <r>
      <t xml:space="preserve">4.2.1; 4.2.2; 4.2.3; 4.2.4
</t>
    </r>
    <r>
      <rPr>
        <sz val="11"/>
        <color rgb="FFC00000"/>
        <rFont val="Calibri"/>
        <family val="2"/>
        <scheme val="minor"/>
      </rPr>
      <t>8.4.1</t>
    </r>
  </si>
  <si>
    <t>Policy-ULID-001739 – Issue 6.0
Policy-ULID-004133 (DCS: 00-CB-P0883); Issue 9.0</t>
  </si>
  <si>
    <t>Org Chart in Teams and Cybersecurity Sharepoint site.</t>
  </si>
  <si>
    <r>
      <t xml:space="preserve">Cybersecurity SharePoint site for organizational charts, Michael Jablonski is "lab manager", Stephanie Eckgren "Quality Manager" and Technical Staff.
The test lab operates under the Cybersecurity Assurance Program (CAP) Scheme (Scheme) and is part of the UL LLC legal entity. 
UL NBK lab was authorized on January  1st 2018, by the CB Scheme.
Job Descriptions are in UL Intranet for the Transaction Securities.
</t>
    </r>
    <r>
      <rPr>
        <sz val="16"/>
        <color theme="1" tint="4.9989318521683403E-2"/>
        <rFont val="Calibri"/>
        <family val="2"/>
        <scheme val="minor"/>
      </rPr>
      <t xml:space="preserve">
</t>
    </r>
    <r>
      <rPr>
        <b/>
        <sz val="11"/>
        <color theme="1" tint="4.9989318521683403E-2"/>
        <rFont val="Calibri"/>
        <family val="2"/>
        <scheme val="minor"/>
      </rPr>
      <t>OFI10 (2023-4)</t>
    </r>
  </si>
  <si>
    <r>
      <t xml:space="preserve">5.1; 5.2; 5.3; 5.4; 5.5; 5.6; 5.7
</t>
    </r>
    <r>
      <rPr>
        <sz val="11"/>
        <color rgb="FFC00000"/>
        <rFont val="Calibri"/>
        <family val="2"/>
        <scheme val="minor"/>
      </rPr>
      <t>8.4.1</t>
    </r>
  </si>
  <si>
    <t>Policy-ULID-001739; Issue 6.0
Policy-ULID-004133 (DCS: 00-CB-P0883);Issue 9.0</t>
  </si>
  <si>
    <t>Technical competency database (TCD), Qualification records, training plan, and Competency monitoring.</t>
  </si>
  <si>
    <t xml:space="preserve">Technical Competency database,
Annual competency review for technical staff,
L2 Training program UL 2900 and schemes - Josh, Mateusz
Cybersecurity Sharepoint site for training records, Technical competency records.
Mateusz, Olya and Joshua are new to the group. Jason and Chris report to Michael but are located in the SanLuis Obispo lab.
</t>
  </si>
  <si>
    <r>
      <t xml:space="preserve">6.2.1; 6.2.2; 6.2.3; 6.2.4; 6.2.5; 6.2.6 
</t>
    </r>
    <r>
      <rPr>
        <sz val="11"/>
        <color rgb="FFC00000"/>
        <rFont val="Calibri"/>
        <family val="2"/>
        <scheme val="minor"/>
      </rPr>
      <t>8.3.1; 8.4.1; 6.1</t>
    </r>
    <r>
      <rPr>
        <sz val="11"/>
        <color theme="1"/>
        <rFont val="Calibri"/>
        <family val="2"/>
        <scheme val="minor"/>
      </rPr>
      <t xml:space="preserve"> </t>
    </r>
  </si>
  <si>
    <t>Facilities and environmental conditions</t>
  </si>
  <si>
    <t>Policy-ULID-001739; Issue 6.0
Policy-ULID-001163 (DCS: 00-TS-P0851); Issue 9.1
ULID-001172 (DCS:00-TS-S0853); Issue: 4.1</t>
  </si>
  <si>
    <t>CT Lab Access review; Lab is located in basement with an exclusive access; Faraday box may be used (not required).</t>
  </si>
  <si>
    <t>Policy-ULID-001739; Issue 5.0 - Clause 11
Faraday cage or box. Lab access for confidentiality.
Access: Photo ID badge or access card;access keys or passes.
Intrusion alarms, lab located in the basement, with security access. Mike reviews list with security annually. GSA and cybersecurity agreements during testing; No contractors on site, just cleaning crew; 
"CT Lab Access review" list captures personnel with site access. Laboratory has seperate network for evaluation work.</t>
  </si>
  <si>
    <r>
      <t xml:space="preserve">6.3.1; 6.3.2; 6.3.3; 6.3.4; 6.3.5; 
</t>
    </r>
    <r>
      <rPr>
        <sz val="11"/>
        <color rgb="FFC00000"/>
        <rFont val="Calibri"/>
        <family val="2"/>
        <scheme val="minor"/>
      </rPr>
      <t>8.4.1; 6.1</t>
    </r>
  </si>
  <si>
    <t>Equipment management and calibration</t>
  </si>
  <si>
    <t xml:space="preserve">
Policy-ULID-004133 (DCS: 00-CB-P0883);Issue 9.0
SOP-ULID-001191 (DCS:00-TS-S0891); Issue 3.0
Form-ULID-001147 (DCS:00-TS-F0884); Issue 5.0</t>
  </si>
  <si>
    <t>Approved Tool List - see CAR 2023-4-2</t>
  </si>
  <si>
    <t xml:space="preserve">Policy-ULID-004133 (DCS: 00-CB-P0883) - Clause 7.4.4 (CyberSecurity SharePoint site).
Tools reviewed in approved tool list:  beSTORM; Fortify;IDA Pro,Cybellum; SMBMap and ENUM4LINUX.
</t>
  </si>
  <si>
    <r>
      <t>6.4.1; 6.4.2; 6.4.3; 6.4.4; 6.4.5; 6.4.6; 6.4.7; 6.4.8; 6.4.9; 6.4.10; 6.4.11; 6.4.12; 6.4.13, 6.5.1; 6.5.2; 6.5.3</t>
    </r>
    <r>
      <rPr>
        <sz val="11"/>
        <color rgb="FFC00000"/>
        <rFont val="Calibri"/>
        <family val="2"/>
        <scheme val="minor"/>
      </rPr>
      <t xml:space="preserve"> 
7.5.1; 8.4.1; 6.1; 6.6.3</t>
    </r>
  </si>
  <si>
    <r>
      <t xml:space="preserve">4.6A;4.6B;4.6C;4.6D;5.5A;5.5B;5.5C;5.5D;5.5E; </t>
    </r>
    <r>
      <rPr>
        <sz val="11"/>
        <rFont val="Calibri"/>
        <family val="2"/>
        <scheme val="minor"/>
      </rPr>
      <t>5.5 F; 5.5 G</t>
    </r>
  </si>
  <si>
    <t>Externally provided products and services, except Subcontracting Testing</t>
  </si>
  <si>
    <t>Policy-ULID-000488 (DCS:00-LC-P0026); Issue 10.2
SOP-ULID-000684 (DCS:00-LO-S0412); Issue 6.0
SOP-ULID-000683 (DCS:00-LO-S0409); Issue 8.2
Policy-ULID-000490 (DCS:00-LC-P0029); Issue 14.0
WI-ULID-000695 (DCS:00-LO-W0856); Issue 3.0
Policy-ULID-000970(DCS: 00-PS-P0026); Issue 11.0</t>
  </si>
  <si>
    <t>Approved supplier list</t>
  </si>
  <si>
    <t>Personnel work with corporate purchasing department, most tools are open source, Some tools involves IT and Purchasing department.
Tools reviewed in approved tool list:  beSTORM; Fortify;IDA Pro,Cybellum; SMBMap and ENUM4LINUX.</t>
  </si>
  <si>
    <r>
      <t xml:space="preserve">6.6.1; 6.6.2; 6.6.3; 
</t>
    </r>
    <r>
      <rPr>
        <sz val="11"/>
        <color rgb="FFC00000"/>
        <rFont val="Calibri"/>
        <family val="2"/>
        <scheme val="minor"/>
      </rPr>
      <t>8.4.1; 6.1</t>
    </r>
  </si>
  <si>
    <t>Subcontracting Testing ONLY</t>
  </si>
  <si>
    <t>Policy-ULID-004133 (DCS: 00-CB-P0883);Issue 9.0</t>
  </si>
  <si>
    <r>
      <t xml:space="preserve">6.6.1; 6.6.2; 6.6.3;
</t>
    </r>
    <r>
      <rPr>
        <sz val="11"/>
        <color rgb="FFC00000"/>
        <rFont val="Calibri"/>
        <family val="2"/>
        <scheme val="minor"/>
      </rPr>
      <t>8.3.1; 8.4.1; 6.1</t>
    </r>
  </si>
  <si>
    <t>Review of requests, tenders and contracts;</t>
  </si>
  <si>
    <t>Aakash Patel - 19553
Jonathan Snow - 12925
Vavathar Mudassir - 20798
Michael Jablonski - 08237</t>
  </si>
  <si>
    <t>Policy-ULID-004133 (DCS: 00-CB-P0883); Issue 9.0
Policy-ULID-001739 – Issue 6.0</t>
  </si>
  <si>
    <t>4790806185; 4790190985; 4790720209</t>
  </si>
  <si>
    <t>Policy-ULID-004133 (DCS: 00-CB-P0883) - Clause 7.2, and 7.3
See "Selection, verification and validation of methods" below for more details - reviewed quotes as part of the test demonstration/discussion process.</t>
  </si>
  <si>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</si>
  <si>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t>Handling of Test or Calibration items</t>
  </si>
  <si>
    <t xml:space="preserve">
Policy-ULID-001739; Issue 6.0
SOP-ULID-001790 (DCS: 01-LO-S0124); Issue 10.0</t>
  </si>
  <si>
    <t>5057735.1; 507735.2; 6036744, 4601156, 4601158, 3912532,  3912531, 3912530, 4010356, 4010357, 4010363, 3721511, 3711955, 3721509,  CTES8000126, CTES8000124.</t>
  </si>
  <si>
    <r>
      <t xml:space="preserve">Electronic samples logged in "Electronic sample inventory and process log" and once testing is done they are deleted from sample location drive. Electronic samples: CTES8000124, CTES8000125,CTES8000126, CTES8000106
</t>
    </r>
    <r>
      <rPr>
        <sz val="11"/>
        <rFont val="Calibri"/>
        <family val="2"/>
        <scheme val="minor"/>
      </rPr>
      <t xml:space="preserve">Physical samples: 5057735.1; 507735.2; 6036744, 4601156, 4601158, 3912532,  3912531, 3912530, 4010356, 4010357, 4010363, 3721511, 3711955, 3721509. 
No samples overdue over 60 days  for this lab in the Sample Handling Report - Labware site.
</t>
    </r>
  </si>
  <si>
    <r>
      <t xml:space="preserve">7.4.1; 7.4.2; 7.4.3; 7.4.4; 
</t>
    </r>
    <r>
      <rPr>
        <sz val="11"/>
        <color rgb="FFC00000"/>
        <rFont val="Calibri"/>
        <family val="2"/>
        <scheme val="minor"/>
      </rPr>
      <t>8.4.1</t>
    </r>
  </si>
  <si>
    <t>Requirements for reports &amp; technical records</t>
  </si>
  <si>
    <t>Aakash Patel - 19553
Jonathan Snow - 12925
Vavathar Mudassir - 20798</t>
  </si>
  <si>
    <t xml:space="preserve">
Policy-ULID-004133 (DCS: 00-CB-P0883)– UL LLC Certification Body Compliance Manual  Clause 7.4.9 (Datasheet requirements)                               
Form - ULID-004114 UL Cyber Security Assurance Program.
Cybersecurity Sharepoint Site and Shared drive.
Note: Lab provides datasheets/data records to the certification body as per ISO/IEC 17065 requirements.</t>
  </si>
  <si>
    <r>
      <t xml:space="preserve">7.5.1;7.5.2; 7.8.1; 7.8.2;  7.8.3; 7.8.4; 7.8.5; 7.8.6;  7.8.7; 7.8.8
</t>
    </r>
    <r>
      <rPr>
        <sz val="11"/>
        <color rgb="FFC00000"/>
        <rFont val="Calibri"/>
        <family val="2"/>
        <scheme val="minor"/>
      </rPr>
      <t>8.4.1</t>
    </r>
  </si>
  <si>
    <r>
      <t>4.13.2;</t>
    </r>
    <r>
      <rPr>
        <sz val="11"/>
        <color rgb="FFFF0000"/>
        <rFont val="Calibri"/>
        <family val="2"/>
        <scheme val="minor"/>
      </rPr>
      <t>5.4A</t>
    </r>
  </si>
  <si>
    <t>Evaluation of measurement uncertainty</t>
  </si>
  <si>
    <r>
      <t xml:space="preserve">7.6.1; 7.6.2; 7.6.3
</t>
    </r>
    <r>
      <rPr>
        <sz val="11"/>
        <color rgb="FFC00000"/>
        <rFont val="Calibri"/>
        <family val="2"/>
        <scheme val="minor"/>
      </rPr>
      <t>7.5.1; 8.4.1</t>
    </r>
  </si>
  <si>
    <t xml:space="preserve">Ensuring the Validity of Results </t>
  </si>
  <si>
    <t>Policy-ULID-001739 – Issue 6.0</t>
  </si>
  <si>
    <t>Tools List and personnel competence</t>
  </si>
  <si>
    <t>Policy-ULID-001739; Issue 5.0 - Clause 14.6
test tools and tester competence - Verifying these two factors will ensure that the lab is achieving consistent and valid results.</t>
  </si>
  <si>
    <r>
      <t xml:space="preserve">7.7.1; 7.7.3; 
</t>
    </r>
    <r>
      <rPr>
        <sz val="11"/>
        <color rgb="FFC00000"/>
        <rFont val="Calibri"/>
        <family val="2"/>
        <scheme val="minor"/>
      </rPr>
      <t>8.4.1</t>
    </r>
  </si>
  <si>
    <t>Interlaboratory comparisons / proficiency testing</t>
  </si>
  <si>
    <t>Policy-ULID-001739; Issue 5.0 - Clause 14.6 (note)</t>
  </si>
  <si>
    <r>
      <t xml:space="preserve">7.7.2; 7.7.3; 
</t>
    </r>
    <r>
      <rPr>
        <sz val="11"/>
        <color rgb="FFC00000"/>
        <rFont val="Calibri"/>
        <family val="2"/>
        <scheme val="minor"/>
      </rPr>
      <t>8.4.1; 6.6.1; 6.6.2;  6.6.3</t>
    </r>
  </si>
  <si>
    <t xml:space="preserve">Nonconforming Work Management </t>
  </si>
  <si>
    <t xml:space="preserve">
Policy-ULID-001739; Issue 6.0</t>
  </si>
  <si>
    <t>2022 Management Review</t>
  </si>
  <si>
    <t>Policy-ULID-001739; Issue 5.0 -Clause 14.2. 
Discussions during review of 2022 MR record.</t>
  </si>
  <si>
    <r>
      <t xml:space="preserve">7.10.1; 7.10.2; 7.10.3 
</t>
    </r>
    <r>
      <rPr>
        <sz val="11"/>
        <color rgb="FFC00000"/>
        <rFont val="Calibri"/>
        <family val="2"/>
        <scheme val="minor"/>
      </rPr>
      <t xml:space="preserve">8.4.1; 8.7.1; 8.7.2; 8.7.3 </t>
    </r>
  </si>
  <si>
    <t>5.5F;5.5G</t>
  </si>
  <si>
    <t>Control of data and information management</t>
  </si>
  <si>
    <t>Michael Jabloski - 08237</t>
  </si>
  <si>
    <t>Policy-ULID-000434 (DCS:00-IT-P0406); Issue 8.0</t>
  </si>
  <si>
    <t xml:space="preserve">CyberSecurity Secured drive (Z Drive) – NBKCAP, Cybersecurity SharePoint, </t>
  </si>
  <si>
    <t>Back-up up part of UL Corporate IT. All systems are backed up as part of the UL coprporate IT requirements. SharePoint, Cybersecurity secure drive, etc</t>
  </si>
  <si>
    <r>
      <t xml:space="preserve">7.11.1; 7.11.2; 7.11.3; 7.11.4; 7.11.5; 7.11.6; 
</t>
    </r>
    <r>
      <rPr>
        <sz val="11"/>
        <color rgb="FFC00000"/>
        <rFont val="Calibri"/>
        <family val="2"/>
        <scheme val="minor"/>
      </rPr>
      <t>8.4.1</t>
    </r>
  </si>
  <si>
    <t>Complaints &amp; Feedback</t>
  </si>
  <si>
    <t xml:space="preserve">Discussions during review of 2022 MR record. Complaints and feedback are provided through Customer advocacy.
Stephanie gets the Quarterly feedback from Customer Advocacy of lab performance. 
</t>
  </si>
  <si>
    <r>
      <t xml:space="preserve">7.9.1; 7.9.2; 7.9.3; 7.9.4; 7.9.5; 7.9.6; 7.9.7; 8.6.2; 
</t>
    </r>
    <r>
      <rPr>
        <sz val="11"/>
        <color rgb="FFC00000"/>
        <rFont val="Calibri"/>
        <family val="2"/>
        <scheme val="minor"/>
      </rPr>
      <t xml:space="preserve">8.3.1; 8.4.1; 8.7.1; 8.7.2; 8.7.3 </t>
    </r>
  </si>
  <si>
    <t xml:space="preserve">Sampling </t>
  </si>
  <si>
    <t>UL does not perform sampling</t>
  </si>
  <si>
    <r>
      <t xml:space="preserve">7.3.1; 7.3.2; 7.3.3
</t>
    </r>
    <r>
      <rPr>
        <sz val="11"/>
        <color rgb="FFC00000"/>
        <rFont val="Calibri"/>
        <family val="2"/>
        <scheme val="minor"/>
      </rPr>
      <t>8.3.1; 8.4.1</t>
    </r>
  </si>
  <si>
    <t>SOP-ULID-001013 (DCS:00-QA-S0003); Issue 44.2
Policy-ULID-001739; Issue 6.0
Policy-ULID-004133 (DCS: 00-CB-P0883);Issue 9.0</t>
  </si>
  <si>
    <t>ULDC documents, CyberSecurity SharePoint site, 2022 Management Review.</t>
  </si>
  <si>
    <t>ULDC documents; Cybersecurity SharePoint; and 2022 management review.</t>
  </si>
  <si>
    <r>
      <t xml:space="preserve">8.1.1; 8.1.2; 8.1.3, 8.2.1; 8.2.2; 8.2.3; 8.2.4; 8.2.5
</t>
    </r>
    <r>
      <rPr>
        <sz val="11"/>
        <color rgb="FFC00000"/>
        <rFont val="Calibri"/>
        <family val="2"/>
        <scheme val="minor"/>
      </rPr>
      <t>8.3.1; 8.4.1</t>
    </r>
  </si>
  <si>
    <t>4.1A;4.2</t>
  </si>
  <si>
    <t>Michael Jablonski- 08237
Aakash Patel - 19553
Jonathan Snow - 12925
Vavathar Mudassir - 20798</t>
  </si>
  <si>
    <r>
      <t xml:space="preserve">SOP-ULID-001013 (DCS:00-QA-S0003) - Document meets record management requirements.
Cybersecurity SharePoint – Templates, datasheets, and reports, Standards UL in Intranet, IHS for IEC 62423, ETSI from ETSI site.
Policy-ULID-001739; Issue 5.0 - 11.4 CAP approved Tools (Equipment)
Cybersecurity SharePoint Site.
Policy-ULID-004133 (DCS: 00-CB-P0883) - Clause 7.4.3 (ULDC, UL Intranet, CyberSecurity SharePoint site, Secure network)
</t>
    </r>
    <r>
      <rPr>
        <b/>
        <sz val="11"/>
        <rFont val="Calibri"/>
        <family val="2"/>
        <scheme val="minor"/>
      </rPr>
      <t>CAR 2023-04-02 
OFI9 (2023-4)</t>
    </r>
    <r>
      <rPr>
        <sz val="11"/>
        <rFont val="Calibri"/>
        <family val="2"/>
        <scheme val="minor"/>
      </rPr>
      <t xml:space="preserve"> </t>
    </r>
  </si>
  <si>
    <r>
      <t xml:space="preserve">8.3.1;8.3.2
</t>
    </r>
    <r>
      <rPr>
        <sz val="11"/>
        <color rgb="FFC00000"/>
        <rFont val="Calibri"/>
        <family val="2"/>
        <scheme val="minor"/>
      </rPr>
      <t>8.4.1</t>
    </r>
  </si>
  <si>
    <t>5.4C</t>
  </si>
  <si>
    <t>Policy-ULID-001739; Issue 6.0
Policy-ULID-004133 (DCS: 00-CB-P0883);Issue 9.0
Policy-ULID-000434 (DCS:00-IT-P0406); Issue 8.0
Policy-ULID-001010 (DCS: 00-QA-P0026); Issue 5.0</t>
  </si>
  <si>
    <t>Policy-ULID-001739; Issue 5.0 Clause 13
Policy-ULID-004133 - Appendix C</t>
  </si>
  <si>
    <t>8.4.1; 8.4.2</t>
  </si>
  <si>
    <t>SOP-ULID-001015 (DCS:00-QA-S0006); Issue 30.0</t>
  </si>
  <si>
    <t>223925324; 223925328; 223925326; 223925336.</t>
  </si>
  <si>
    <t>UL uses the GCAR system, CARs for lab had appropriate actions taken.
Closed CAR 223925324 verified as effective.</t>
  </si>
  <si>
    <r>
      <t xml:space="preserve">8.7.1; 8.7.2; 8.7.3
</t>
    </r>
    <r>
      <rPr>
        <sz val="11"/>
        <color rgb="FFC00000"/>
        <rFont val="Calibri"/>
        <family val="2"/>
        <scheme val="minor"/>
      </rPr>
      <t>8.4.1</t>
    </r>
  </si>
  <si>
    <t xml:space="preserve">Note: This audit # is 2023-4-IQA (Cyber Security Assurance Program). 
Internal audit process is part of a different corporate audit.
</t>
  </si>
  <si>
    <r>
      <t xml:space="preserve">8.8.1; 8.8.2
</t>
    </r>
    <r>
      <rPr>
        <sz val="11"/>
        <color rgb="FFC00000"/>
        <rFont val="Calibri"/>
        <family val="2"/>
        <scheme val="minor"/>
      </rPr>
      <t>8.4.1; 8.7.1; 8.7.2; 8.7.3</t>
    </r>
  </si>
  <si>
    <t>Actions to address risks and opportunities / Improvement</t>
  </si>
  <si>
    <t>Michael Jablonski- 08237</t>
  </si>
  <si>
    <t xml:space="preserve">Policy-ULID-001739 – Issue 6.0
Policy-ULID-001163 – Issue 9.1
SOP-ULID-001177 (DCS:00-TS-S0857); Issue #: 6.0
Policy-ULID-004133 (DCS: 00-CB-P0883); Issue 9.0
SOP-ULID-000091; Issue 2.0 </t>
  </si>
  <si>
    <t>2022 Management Review; UL CAP approved Tool List; New Template -In Progress folder.</t>
  </si>
  <si>
    <t>Management review, Secure network drive; regular reviews and improvement updates of datasheets; Lab planning to get all staff qualified for all three UL 2900 standards; risk identification on need of having an alternative tool to "Synopsis".</t>
  </si>
  <si>
    <r>
      <t xml:space="preserve">8.5.1;8.5.2;8.5.3;8.6.1
</t>
    </r>
    <r>
      <rPr>
        <sz val="11"/>
        <color rgb="FFC00000"/>
        <rFont val="Calibri"/>
        <family val="2"/>
        <scheme val="minor"/>
      </rPr>
      <t>8.4.1</t>
    </r>
  </si>
  <si>
    <t xml:space="preserve">SOP-ULID-000091; Issue 2.0 </t>
  </si>
  <si>
    <t>2022 Management Review of UL NBK (CAP) Test lab</t>
  </si>
  <si>
    <t>Management Review reviewed on September 28, 2022. All sections entered and review form signed off at the end.
Remote attendance: Dean Zwarts,Mike Jablonski, Stephanie Eckgren. Action items updated accordingly.</t>
  </si>
  <si>
    <r>
      <t xml:space="preserve">8.9.1;8.9.2;8.9.3
</t>
    </r>
    <r>
      <rPr>
        <sz val="11"/>
        <color rgb="FFC00000"/>
        <rFont val="Calibri"/>
        <family val="2"/>
        <scheme val="minor"/>
      </rPr>
      <t>8.4.1</t>
    </r>
  </si>
  <si>
    <t>Selection, verification and validation of methods</t>
  </si>
  <si>
    <t>Aakash Patel - 19553</t>
  </si>
  <si>
    <t>UL 2900-2-1 (2023)</t>
  </si>
  <si>
    <r>
      <t>Technical competency database - L4 in UL2900-2-1;</t>
    </r>
    <r>
      <rPr>
        <b/>
        <sz val="11"/>
        <color theme="1"/>
        <rFont val="Calibri"/>
        <family val="2"/>
        <scheme val="minor"/>
      </rPr>
      <t xml:space="preserve"> </t>
    </r>
    <r>
      <rPr>
        <sz val="11"/>
        <color theme="1"/>
        <rFont val="Calibri"/>
        <family val="2"/>
        <scheme val="minor"/>
      </rPr>
      <t>UL 2900-2-1; Recertification testing - Test Section 13 - Known Vulnerability Testing; Shared Drive: Cybersecurity SharePoint site; Quote; datasheet; Electronic sample inventory spreadsheet; labware.</t>
    </r>
  </si>
  <si>
    <r>
      <t xml:space="preserve">7.2.1; 7.2.2
</t>
    </r>
    <r>
      <rPr>
        <sz val="11"/>
        <color rgb="FFC00000"/>
        <rFont val="Calibri"/>
        <family val="2"/>
        <scheme val="minor"/>
      </rPr>
      <t xml:space="preserve">6.1;6.2.3;6.2.6;6.3.1; 6.3.2; 6.3.3; 6.3.4;6.4.1; 6.4.4; 6.4.5; 6.4.6; 6.4.12; 6.4.13, 6.5.2; 6.5.3;6.6.1; 6.6.2;7.4.2; 7.4.3; 7.4.4;7.5.1;7.8.2;7.8.3;7.8.6;8.3.1; 8.4.1 </t>
    </r>
  </si>
  <si>
    <t>5.4A</t>
  </si>
  <si>
    <t>Jonathan Snow - 12925</t>
  </si>
  <si>
    <t>UL 2900-2-3 Level 1 (2020)</t>
  </si>
  <si>
    <t>Technical competency database - L3 in UL2900-2-3; UL 2900-2-3 (Level 1); Recertification testing - Clause 9: Access Control, User Authentication and authorization, Clause 10: Remote Communication; Shared Drive: Cybersecurity SharePoint site; Quote; datasheet; Electronic sample inventory spreadsheet; labware; UL Standard. Standard eventually references or points back to UL 2900-1.</t>
  </si>
  <si>
    <t>Vavathar Mudassir - 20798</t>
  </si>
  <si>
    <t>UL 2900-2-3 Level 2</t>
  </si>
  <si>
    <t>UL 2900-2-3 (Level 2)standard recertification tests clauses: 13; 15;18;19;20.
Technical competency: L4 (Regional reviewer); Quote;Cybersecurity Sharepoint site; Shared Drive; Customer datasheet -1_2900-1_13; Vendor Product Risk management, Sample retention agreement by customer; Electronic sample inventory spreadsheet.</t>
  </si>
  <si>
    <t>ETSI EN 303 645 V2.1.1 (2020-06)</t>
  </si>
  <si>
    <t>New lab capability discussion</t>
  </si>
  <si>
    <t>CYBER; Cyber Security for Consumer Internet of Things: Baseline Requirements ; Shared Drive: Expectations are the lab will use the same resources as before. (i.e.,Cybersecurity SharePoint site; Quote; datasheet, etc.)
Note: This is a new capability addition to Lab. Reviewed comparison log between ETSI standard and UL 2900.</t>
  </si>
  <si>
    <t>CB CAP</t>
  </si>
  <si>
    <t>Medium</t>
  </si>
  <si>
    <t>Low</t>
  </si>
  <si>
    <t>Program Owner/NBK Lab Rep (2yrs/6 at UL)</t>
  </si>
  <si>
    <t>CB  CAP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</si>
</sst>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b/>
      <sz val="11"/>
      <color rgb="FFFF0000"/>
      <name val="Calibri"/>
      <family val="2"/>
      <scheme val="minor"/>
    </font>
    <font>
      <sz val="12"/>
      <color theme="1"/>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u/>
      <sz val="11"/>
      <color theme="10"/>
      <name val="Calibri"/>
      <family val="2"/>
      <scheme val="minor"/>
    </font>
    <font>
      <b/>
      <sz val="11"/>
      <color theme="0"/>
      <name val="Calibri"/>
      <family val="2"/>
      <scheme val="minor"/>
    </font>
    <font>
      <sz val="18"/>
      <color theme="1"/>
      <name val="Calibri"/>
      <family val="2"/>
      <scheme val="minor"/>
    </font>
    <font>
      <b/>
      <sz val="11"/>
      <color rgb="FF00B0F0"/>
      <name val="Calibri"/>
      <family val="2"/>
      <scheme val="minor"/>
    </font>
    <font>
      <b/>
      <sz val="11"/>
      <color rgb="FF7030A0"/>
      <name val="Calibri"/>
      <family val="2"/>
      <scheme val="minor"/>
    </font>
    <font>
      <sz val="12"/>
      <name val="Calibri"/>
      <family val="2"/>
      <scheme val="minor"/>
    </font>
    <font>
      <sz val="11"/>
      <color rgb="FFC00000"/>
      <name val="Calibri"/>
      <family val="2"/>
      <scheme val="minor"/>
    </font>
    <font>
      <sz val="11"/>
      <color theme="1" tint="4.9989318521683403E-2"/>
      <name val="Calibri"/>
      <family val="2"/>
      <scheme val="minor"/>
    </font>
    <font>
      <sz val="16"/>
      <color theme="1" tint="4.9989318521683403E-2"/>
      <name val="Calibri"/>
      <family val="2"/>
      <scheme val="minor"/>
    </font>
    <font>
      <b/>
      <sz val="11"/>
      <color theme="1" tint="4.9989318521683403E-2"/>
      <name val="Calibri"/>
      <family val="2"/>
      <scheme val="minor"/>
    </font>
    <font>
      <sz val="12"/>
      <color theme="1" tint="4.9989318521683403E-2"/>
      <name val="Calibri"/>
      <family val="2"/>
      <scheme val="minor"/>
    </font>
  </fonts>
  <fills count="22">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8"/>
        <bgColor theme="8"/>
      </patternFill>
    </fill>
    <fill>
      <patternFill patternType="solid">
        <fgColor theme="9"/>
        <bgColor indexed="64"/>
      </patternFill>
    </fill>
    <fill>
      <patternFill patternType="solid">
        <fgColor theme="7"/>
        <bgColor indexed="64"/>
      </patternFill>
    </fill>
    <fill>
      <patternFill patternType="solid">
        <fgColor theme="8" tint="0.79998168889431442"/>
        <bgColor theme="8" tint="0.79998168889431442"/>
      </patternFill>
    </fill>
    <fill>
      <patternFill patternType="solid">
        <fgColor theme="0" tint="-0.14999847407452621"/>
        <bgColor theme="0" tint="-0.14999847407452621"/>
      </patternFill>
    </fill>
    <fill>
      <patternFill patternType="solid">
        <fgColor theme="0" tint="-0.149998474074526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theme="1"/>
      </left>
      <right/>
      <top style="thin">
        <color theme="1"/>
      </top>
      <bottom style="thin">
        <color theme="1"/>
      </bottom>
      <diagonal/>
    </border>
  </borders>
  <cellStyleXfs count="2">
    <xf numFmtId="0" fontId="0" fillId="0" borderId="0"/>
    <xf numFmtId="0" fontId="10" fillId="0" borderId="0" applyNumberFormat="0" applyFill="0" applyBorder="0" applyAlignment="0" applyProtection="0"/>
  </cellStyleXfs>
  <cellXfs count="95">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0" borderId="0" xfId="0" applyAlignment="1">
      <alignment horizontal="left" vertical="top" wrapText="1"/>
    </xf>
    <xf numFmtId="49" fontId="0" fillId="0" borderId="0" xfId="0" applyNumberFormat="1" applyFill="1" applyAlignment="1">
      <alignment vertical="top"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6" borderId="0" xfId="0" applyFill="1"/>
    <xf numFmtId="0" fontId="6" fillId="7" borderId="0" xfId="0" applyFont="1" applyFill="1"/>
    <xf numFmtId="0" fontId="6" fillId="3" borderId="0" xfId="0" applyFont="1" applyFill="1"/>
    <xf numFmtId="0" fontId="6" fillId="8" borderId="0" xfId="0" applyFont="1" applyFill="1"/>
    <xf numFmtId="0" fontId="6" fillId="9" borderId="0" xfId="0" applyFont="1" applyFill="1"/>
    <xf numFmtId="0" fontId="0" fillId="0" borderId="0" xfId="0" applyAlignment="1">
      <alignment vertical="center" wrapText="1"/>
    </xf>
    <xf numFmtId="0" fontId="0" fillId="0" borderId="1" xfId="0" applyFill="1" applyBorder="1" applyAlignment="1">
      <alignment wrapText="1"/>
    </xf>
    <xf numFmtId="0" fontId="7" fillId="3" borderId="0" xfId="0" applyFont="1" applyFill="1" applyAlignment="1">
      <alignment vertical="center"/>
    </xf>
    <xf numFmtId="0" fontId="7" fillId="10" borderId="0" xfId="0" applyFont="1" applyFill="1" applyAlignment="1">
      <alignment vertical="center"/>
    </xf>
    <xf numFmtId="0" fontId="8" fillId="10" borderId="0" xfId="0" applyFont="1" applyFill="1" applyAlignment="1">
      <alignment vertical="center"/>
    </xf>
    <xf numFmtId="0" fontId="8" fillId="11" borderId="0" xfId="0" applyFont="1" applyFill="1" applyAlignment="1">
      <alignment vertical="center"/>
    </xf>
    <xf numFmtId="0" fontId="7" fillId="12" borderId="0" xfId="0" applyFont="1" applyFill="1" applyAlignment="1">
      <alignment vertical="center"/>
    </xf>
    <xf numFmtId="0" fontId="8"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0" fillId="0" borderId="0" xfId="0" applyFill="1" applyAlignment="1">
      <alignment vertical="center" wrapText="1"/>
    </xf>
    <xf numFmtId="0" fontId="9" fillId="0" borderId="1" xfId="0" applyFont="1" applyFill="1" applyBorder="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3" borderId="0" xfId="0" applyFill="1"/>
    <xf numFmtId="0" fontId="0" fillId="14" borderId="0" xfId="0" applyFill="1"/>
    <xf numFmtId="0" fontId="0" fillId="2" borderId="1" xfId="0" applyFill="1" applyBorder="1" applyAlignment="1">
      <alignment vertical="center" wrapText="1"/>
    </xf>
    <xf numFmtId="0" fontId="10" fillId="2" borderId="1" xfId="1" applyFill="1" applyBorder="1" applyAlignment="1">
      <alignment vertical="center" wrapText="1"/>
    </xf>
    <xf numFmtId="0" fontId="0" fillId="2" borderId="1" xfId="0" applyFill="1" applyBorder="1" applyAlignment="1">
      <alignment horizontal="center" vertical="center" wrapText="1"/>
    </xf>
    <xf numFmtId="0" fontId="5" fillId="2" borderId="1" xfId="0" applyFont="1" applyFill="1" applyBorder="1" applyAlignment="1">
      <alignment vertical="center" wrapText="1"/>
    </xf>
    <xf numFmtId="0" fontId="5" fillId="2" borderId="1" xfId="0" applyFont="1" applyFill="1" applyBorder="1" applyAlignment="1">
      <alignment horizontal="center" vertical="center" wrapText="1"/>
    </xf>
    <xf numFmtId="0" fontId="0" fillId="0" borderId="0" xfId="0" applyAlignment="1"/>
    <xf numFmtId="0" fontId="9" fillId="0" borderId="1" xfId="0" applyFont="1" applyFill="1" applyBorder="1" applyAlignment="1"/>
    <xf numFmtId="0" fontId="9" fillId="0" borderId="0" xfId="0" applyFont="1" applyFill="1" applyAlignment="1" applyProtection="1"/>
    <xf numFmtId="0" fontId="1" fillId="3" borderId="1" xfId="0" applyFont="1" applyFill="1" applyBorder="1" applyAlignment="1">
      <alignment horizontal="center"/>
    </xf>
    <xf numFmtId="0" fontId="0" fillId="2" borderId="1" xfId="0" applyFill="1" applyBorder="1" applyAlignment="1">
      <alignment vertical="center"/>
    </xf>
    <xf numFmtId="0" fontId="1" fillId="3" borderId="1" xfId="0" applyFont="1" applyFill="1" applyBorder="1" applyAlignment="1" applyProtection="1">
      <alignment horizontal="center"/>
      <protection locked="0"/>
    </xf>
    <xf numFmtId="0" fontId="0" fillId="0" borderId="0" xfId="0" applyFill="1" applyAlignment="1">
      <alignment horizontal="center"/>
    </xf>
    <xf numFmtId="0" fontId="0" fillId="0" borderId="0" xfId="0" applyAlignment="1">
      <alignment horizontal="center"/>
    </xf>
    <xf numFmtId="15" fontId="0" fillId="0" borderId="0" xfId="0" applyNumberFormat="1" applyAlignment="1">
      <alignment horizontal="center"/>
    </xf>
    <xf numFmtId="0" fontId="4" fillId="0" borderId="0" xfId="0" applyFont="1"/>
    <xf numFmtId="0" fontId="9" fillId="0" borderId="0" xfId="0" applyFont="1"/>
    <xf numFmtId="14" fontId="0" fillId="0" borderId="0" xfId="0" applyNumberFormat="1"/>
    <xf numFmtId="0" fontId="11" fillId="16" borderId="2" xfId="0" applyFont="1" applyFill="1" applyBorder="1"/>
    <xf numFmtId="0" fontId="11" fillId="16" borderId="3" xfId="0" applyFont="1" applyFill="1" applyBorder="1"/>
    <xf numFmtId="0" fontId="1" fillId="16" borderId="3" xfId="0" applyFont="1" applyFill="1" applyBorder="1"/>
    <xf numFmtId="0" fontId="11" fillId="16" borderId="3" xfId="0" applyFont="1" applyFill="1" applyBorder="1" applyAlignment="1">
      <alignment wrapText="1"/>
    </xf>
    <xf numFmtId="0" fontId="11" fillId="13" borderId="3" xfId="0" applyFont="1" applyFill="1" applyBorder="1" applyAlignment="1">
      <alignment wrapText="1"/>
    </xf>
    <xf numFmtId="0" fontId="11" fillId="17" borderId="3" xfId="0" applyFont="1" applyFill="1" applyBorder="1" applyAlignment="1">
      <alignment wrapText="1"/>
    </xf>
    <xf numFmtId="0" fontId="11" fillId="18" borderId="3" xfId="0" applyFont="1" applyFill="1" applyBorder="1"/>
    <xf numFmtId="0" fontId="11" fillId="16" borderId="4" xfId="0" applyFont="1" applyFill="1" applyBorder="1"/>
    <xf numFmtId="0" fontId="0" fillId="19" borderId="2" xfId="0" applyFill="1" applyBorder="1"/>
    <xf numFmtId="0" fontId="0" fillId="19" borderId="3" xfId="0" applyFill="1" applyBorder="1"/>
    <xf numFmtId="0" fontId="4" fillId="19" borderId="3" xfId="0" applyFont="1" applyFill="1" applyBorder="1"/>
    <xf numFmtId="0" fontId="0" fillId="19" borderId="4" xfId="0" applyFill="1" applyBorder="1"/>
    <xf numFmtId="0" fontId="13" fillId="2" borderId="1" xfId="0" applyFont="1" applyFill="1" applyBorder="1" applyAlignment="1">
      <alignment vertical="center" wrapText="1"/>
    </xf>
    <xf numFmtId="0" fontId="0" fillId="20" borderId="5" xfId="0" applyFont="1" applyFill="1" applyBorder="1"/>
    <xf numFmtId="0" fontId="0" fillId="0" borderId="5" xfId="0" applyFont="1" applyBorder="1"/>
    <xf numFmtId="14" fontId="0" fillId="2" borderId="1" xfId="0" quotePrefix="1" applyNumberFormat="1" applyFill="1" applyBorder="1" applyAlignment="1">
      <alignment wrapText="1"/>
    </xf>
    <xf numFmtId="0" fontId="0" fillId="0" borderId="0" xfId="0" applyFont="1" applyFill="1" applyBorder="1"/>
    <xf numFmtId="0" fontId="10" fillId="21" borderId="0" xfId="1" applyFill="1" applyAlignment="1">
      <alignment vertical="center"/>
    </xf>
    <xf numFmtId="0" fontId="9" fillId="0" borderId="1" xfId="0" applyFont="1" applyBorder="1"/>
    <xf numFmtId="0" fontId="9" fillId="0" borderId="1" xfId="0" applyFont="1" applyBorder="1" applyAlignment="1">
      <alignment horizontal="center"/>
    </xf>
    <xf numFmtId="0" fontId="14" fillId="3" borderId="0" xfId="0" applyFont="1" applyFill="1" applyAlignment="1">
      <alignment horizontal="center" wrapText="1"/>
    </xf>
    <xf numFmtId="0" fontId="0" fillId="5" borderId="0" xfId="0" applyFill="1" applyAlignment="1">
      <alignment horizontal="left" wrapText="1"/>
    </xf>
    <xf numFmtId="0" fontId="15" fillId="4" borderId="1" xfId="0" applyFont="1" applyFill="1" applyBorder="1" applyAlignment="1">
      <alignment horizontal="left" vertical="center" wrapText="1"/>
    </xf>
    <xf numFmtId="0" fontId="5" fillId="2" borderId="1" xfId="0" applyFont="1" applyFill="1" applyBorder="1" applyAlignment="1">
      <alignment wrapText="1"/>
    </xf>
    <xf numFmtId="0" fontId="0" fillId="2" borderId="1" xfId="0" applyFill="1" applyBorder="1" applyAlignment="1">
      <alignment horizontal="center" wrapText="1"/>
    </xf>
    <xf numFmtId="0" fontId="0" fillId="0" borderId="1" xfId="0" applyBorder="1" applyAlignment="1">
      <alignment wrapText="1"/>
    </xf>
    <xf numFmtId="0" fontId="0" fillId="2" borderId="0" xfId="0" applyFill="1" applyAlignment="1">
      <alignment wrapText="1"/>
    </xf>
    <xf numFmtId="0" fontId="17" fillId="2" borderId="1" xfId="0" applyFont="1" applyFill="1" applyBorder="1" applyAlignment="1">
      <alignment wrapText="1"/>
    </xf>
    <xf numFmtId="0" fontId="20" fillId="4" borderId="1" xfId="0" applyFont="1" applyFill="1" applyBorder="1" applyAlignment="1">
      <alignment horizontal="left" vertical="center" wrapText="1"/>
    </xf>
    <xf numFmtId="0" fontId="5" fillId="2" borderId="1" xfId="0" applyFont="1" applyFill="1" applyBorder="1" applyAlignment="1">
      <alignment horizontal="center" wrapText="1"/>
    </xf>
    <xf numFmtId="0" fontId="5" fillId="2" borderId="1" xfId="0" applyFont="1" applyFill="1" applyBorder="1" applyAlignment="1">
      <alignment vertical="top" wrapText="1"/>
    </xf>
    <xf numFmtId="0" fontId="0" fillId="2" borderId="1" xfId="0" applyFill="1" applyBorder="1" applyAlignment="1">
      <alignment vertical="top" wrapText="1"/>
    </xf>
    <xf numFmtId="49" fontId="0" fillId="0" borderId="0" xfId="0" applyNumberFormat="1"/>
    <xf numFmtId="0" fontId="0" fillId="0" borderId="0" xfId="0" applyAlignment="1">
      <alignment horizontal="center" wrapText="1"/>
    </xf>
    <xf numFmtId="0" fontId="9" fillId="0" borderId="0" xfId="0" applyFont="1" applyAlignment="1">
      <alignment wrapText="1"/>
    </xf>
    <xf numFmtId="0" fontId="12" fillId="0" borderId="0" xfId="0" applyFont="1" applyAlignment="1">
      <alignment horizontal="left"/>
    </xf>
  </cellXfs>
  <cellStyles count="2">
    <cellStyle name="Hyperlink" xfId="1" builtinId="8"/>
    <cellStyle name="Normal" xfId="0" builtinId="0"/>
  </cellStyles>
  <dxfs count="174">
    <dxf>
      <alignment horizontal="center" vertical="bottom" textRotation="0" wrapText="0" indent="0" justifyLastLine="0" shrinkToFit="0" readingOrder="0"/>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1595231</xdr:colOff>
      <xdr:row>17</xdr:row>
      <xdr:rowOff>165652</xdr:rowOff>
    </xdr:from>
    <xdr:to>
      <xdr:col>6</xdr:col>
      <xdr:colOff>8283</xdr:colOff>
      <xdr:row>32</xdr:row>
      <xdr:rowOff>13252</xdr:rowOff>
    </xdr:to>
    <xdr:sp macro="" textlink="">
      <xdr:nvSpPr>
        <xdr:cNvPr id="2" name="TextBox 1">
          <a:extLst>
            <a:ext uri="{FF2B5EF4-FFF2-40B4-BE49-F238E27FC236}">
              <a16:creationId xmlns:a16="http://schemas.microsoft.com/office/drawing/2014/main" id="{8C721CFD-29DF-4F30-8EDB-9831F6652F58}"/>
            </a:ext>
          </a:extLst>
        </xdr:cNvPr>
        <xdr:cNvSpPr txBox="1"/>
      </xdr:nvSpPr>
      <xdr:spPr>
        <a:xfrm>
          <a:off x="3028122" y="3404152"/>
          <a:ext cx="3440596" cy="2705100"/>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OFIs - </a:t>
          </a:r>
          <a:r>
            <a:rPr lang="en-US" sz="1100" b="1">
              <a:solidFill>
                <a:schemeClr val="dk1"/>
              </a:solidFill>
              <a:effectLst/>
              <a:latin typeface="+mn-lt"/>
              <a:ea typeface="+mn-ea"/>
              <a:cs typeface="+mn-cs"/>
            </a:rPr>
            <a:t>see audit report</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b="0">
            <a:effectLst/>
          </a:endParaRPr>
        </a:p>
      </xdr:txBody>
    </xdr:sp>
    <xdr:clientData/>
  </xdr:twoCellAnchor>
  <xdr:twoCellAnchor>
    <xdr:from>
      <xdr:col>0</xdr:col>
      <xdr:colOff>94731</xdr:colOff>
      <xdr:row>18</xdr:row>
      <xdr:rowOff>132522</xdr:rowOff>
    </xdr:from>
    <xdr:to>
      <xdr:col>1</xdr:col>
      <xdr:colOff>1470992</xdr:colOff>
      <xdr:row>35</xdr:row>
      <xdr:rowOff>82826</xdr:rowOff>
    </xdr:to>
    <xdr:sp macro="" textlink="">
      <xdr:nvSpPr>
        <xdr:cNvPr id="3" name="TextBox 2">
          <a:extLst>
            <a:ext uri="{FF2B5EF4-FFF2-40B4-BE49-F238E27FC236}">
              <a16:creationId xmlns:a16="http://schemas.microsoft.com/office/drawing/2014/main" id="{84127E01-B7C6-48CE-815D-58ABE99C1BC6}"/>
            </a:ext>
          </a:extLst>
        </xdr:cNvPr>
        <xdr:cNvSpPr txBox="1"/>
      </xdr:nvSpPr>
      <xdr:spPr>
        <a:xfrm>
          <a:off x="94731" y="3561522"/>
          <a:ext cx="2809152" cy="3188804"/>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a:t>CARs -  see audit report</a:t>
          </a:r>
        </a:p>
        <a:p>
          <a:endParaRPr lang="en-US" sz="1100" b="1" baseline="0">
            <a:solidFill>
              <a:schemeClr val="dk1"/>
            </a:solidFill>
            <a:effectLst/>
            <a:latin typeface="+mn-lt"/>
            <a:ea typeface="+mn-ea"/>
            <a:cs typeface="+mn-cs"/>
          </a:endParaRPr>
        </a:p>
        <a:p>
          <a:r>
            <a:rPr lang="en-US" sz="1100" b="1" baseline="0">
              <a:solidFill>
                <a:schemeClr val="dk1"/>
              </a:solidFill>
              <a:effectLst/>
              <a:latin typeface="+mn-lt"/>
              <a:ea typeface="+mn-ea"/>
              <a:cs typeface="+mn-cs"/>
            </a:rPr>
            <a:t> </a:t>
          </a:r>
        </a:p>
        <a:p>
          <a:r>
            <a:rPr lang="en-US" sz="1100" b="1" baseline="0">
              <a:solidFill>
                <a:schemeClr val="dk1"/>
              </a:solidFill>
              <a:effectLst/>
              <a:latin typeface="+mn-lt"/>
              <a:ea typeface="+mn-ea"/>
              <a:cs typeface="+mn-cs"/>
            </a:rPr>
            <a:t> </a:t>
          </a:r>
          <a:endParaRPr lang="en-US" sz="1100" b="0" baseline="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195349</xdr:colOff>
      <xdr:row>10</xdr:row>
      <xdr:rowOff>671381</xdr:rowOff>
    </xdr:from>
    <xdr:to>
      <xdr:col>11</xdr:col>
      <xdr:colOff>1919615</xdr:colOff>
      <xdr:row>10</xdr:row>
      <xdr:rowOff>3422585</xdr:rowOff>
    </xdr:to>
    <xdr:pic>
      <xdr:nvPicPr>
        <xdr:cNvPr id="2" name="Picture 1">
          <a:extLst>
            <a:ext uri="{FF2B5EF4-FFF2-40B4-BE49-F238E27FC236}">
              <a16:creationId xmlns:a16="http://schemas.microsoft.com/office/drawing/2014/main" id="{1C053A5B-8019-51BE-F692-E9D2EC5A83B5}"/>
            </a:ext>
          </a:extLst>
        </xdr:cNvPr>
        <xdr:cNvPicPr>
          <a:picLocks noChangeAspect="1"/>
        </xdr:cNvPicPr>
      </xdr:nvPicPr>
      <xdr:blipFill>
        <a:blip xmlns:r="http://schemas.openxmlformats.org/officeDocument/2006/relationships" r:embed="rId1"/>
        <a:stretch>
          <a:fillRect/>
        </a:stretch>
      </xdr:blipFill>
      <xdr:spPr>
        <a:xfrm>
          <a:off x="18471443" y="10232100"/>
          <a:ext cx="1724266" cy="2751204"/>
        </a:xfrm>
        <a:prstGeom prst="rect">
          <a:avLst/>
        </a:prstGeom>
      </xdr:spPr>
    </xdr:pic>
    <xdr:clientData/>
  </xdr:twoCellAnchor>
  <xdr:twoCellAnchor editAs="oneCell">
    <xdr:from>
      <xdr:col>9</xdr:col>
      <xdr:colOff>105469</xdr:colOff>
      <xdr:row>29</xdr:row>
      <xdr:rowOff>2220969</xdr:rowOff>
    </xdr:from>
    <xdr:to>
      <xdr:col>10</xdr:col>
      <xdr:colOff>881063</xdr:colOff>
      <xdr:row>29</xdr:row>
      <xdr:rowOff>4203967</xdr:rowOff>
    </xdr:to>
    <xdr:pic>
      <xdr:nvPicPr>
        <xdr:cNvPr id="3" name="Picture 2">
          <a:extLst>
            <a:ext uri="{FF2B5EF4-FFF2-40B4-BE49-F238E27FC236}">
              <a16:creationId xmlns:a16="http://schemas.microsoft.com/office/drawing/2014/main" id="{B40AB432-6BFA-7C94-5319-7351CDE349DD}"/>
            </a:ext>
          </a:extLst>
        </xdr:cNvPr>
        <xdr:cNvPicPr>
          <a:picLocks noChangeAspect="1"/>
        </xdr:cNvPicPr>
      </xdr:nvPicPr>
      <xdr:blipFill>
        <a:blip xmlns:r="http://schemas.openxmlformats.org/officeDocument/2006/relationships" r:embed="rId2"/>
        <a:stretch>
          <a:fillRect/>
        </a:stretch>
      </xdr:blipFill>
      <xdr:spPr>
        <a:xfrm>
          <a:off x="12357000" y="36499063"/>
          <a:ext cx="4752282" cy="1982998"/>
        </a:xfrm>
        <a:prstGeom prst="rect">
          <a:avLst/>
        </a:prstGeom>
      </xdr:spPr>
    </xdr:pic>
    <xdr:clientData/>
  </xdr:twoCellAnchor>
  <xdr:twoCellAnchor editAs="oneCell">
    <xdr:from>
      <xdr:col>9</xdr:col>
      <xdr:colOff>79961</xdr:colOff>
      <xdr:row>29</xdr:row>
      <xdr:rowOff>438883</xdr:rowOff>
    </xdr:from>
    <xdr:to>
      <xdr:col>10</xdr:col>
      <xdr:colOff>1170513</xdr:colOff>
      <xdr:row>29</xdr:row>
      <xdr:rowOff>1452560</xdr:rowOff>
    </xdr:to>
    <xdr:pic>
      <xdr:nvPicPr>
        <xdr:cNvPr id="5" name="Picture 4">
          <a:extLst>
            <a:ext uri="{FF2B5EF4-FFF2-40B4-BE49-F238E27FC236}">
              <a16:creationId xmlns:a16="http://schemas.microsoft.com/office/drawing/2014/main" id="{EA576AA3-53C4-AFD0-30B4-2217366E9D95}"/>
            </a:ext>
          </a:extLst>
        </xdr:cNvPr>
        <xdr:cNvPicPr>
          <a:picLocks noChangeAspect="1"/>
        </xdr:cNvPicPr>
      </xdr:nvPicPr>
      <xdr:blipFill>
        <a:blip xmlns:r="http://schemas.openxmlformats.org/officeDocument/2006/relationships" r:embed="rId3"/>
        <a:stretch>
          <a:fillRect/>
        </a:stretch>
      </xdr:blipFill>
      <xdr:spPr>
        <a:xfrm>
          <a:off x="12331492" y="34716977"/>
          <a:ext cx="5067240" cy="10136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8</xdr:col>
      <xdr:colOff>274598</xdr:colOff>
      <xdr:row>26</xdr:row>
      <xdr:rowOff>155863</xdr:rowOff>
    </xdr:to>
    <xdr:pic>
      <xdr:nvPicPr>
        <xdr:cNvPr id="2" name="Picture 1">
          <a:extLst>
            <a:ext uri="{FF2B5EF4-FFF2-40B4-BE49-F238E27FC236}">
              <a16:creationId xmlns:a16="http://schemas.microsoft.com/office/drawing/2014/main" id="{8FAEC0C7-85C1-FC3D-300D-894E8D42D51A}"/>
            </a:ext>
          </a:extLst>
        </xdr:cNvPr>
        <xdr:cNvPicPr>
          <a:picLocks noChangeAspect="1"/>
        </xdr:cNvPicPr>
      </xdr:nvPicPr>
      <xdr:blipFill>
        <a:blip xmlns:r="http://schemas.openxmlformats.org/officeDocument/2006/relationships" r:embed="rId1"/>
        <a:stretch>
          <a:fillRect/>
        </a:stretch>
      </xdr:blipFill>
      <xdr:spPr>
        <a:xfrm>
          <a:off x="1" y="0"/>
          <a:ext cx="5123688" cy="5264727"/>
        </a:xfrm>
        <a:prstGeom prst="rect">
          <a:avLst/>
        </a:prstGeom>
      </xdr:spPr>
    </xdr:pic>
    <xdr:clientData/>
  </xdr:twoCellAnchor>
  <xdr:twoCellAnchor editAs="oneCell">
    <xdr:from>
      <xdr:col>8</xdr:col>
      <xdr:colOff>292681</xdr:colOff>
      <xdr:row>0</xdr:row>
      <xdr:rowOff>0</xdr:rowOff>
    </xdr:from>
    <xdr:to>
      <xdr:col>13</xdr:col>
      <xdr:colOff>606514</xdr:colOff>
      <xdr:row>24</xdr:row>
      <xdr:rowOff>80660</xdr:rowOff>
    </xdr:to>
    <xdr:pic>
      <xdr:nvPicPr>
        <xdr:cNvPr id="3" name="Picture 2">
          <a:extLst>
            <a:ext uri="{FF2B5EF4-FFF2-40B4-BE49-F238E27FC236}">
              <a16:creationId xmlns:a16="http://schemas.microsoft.com/office/drawing/2014/main" id="{BA841440-D97F-D898-3CCF-CC6FBCA4876F}"/>
            </a:ext>
          </a:extLst>
        </xdr:cNvPr>
        <xdr:cNvPicPr>
          <a:picLocks noChangeAspect="1"/>
        </xdr:cNvPicPr>
      </xdr:nvPicPr>
      <xdr:blipFill>
        <a:blip xmlns:r="http://schemas.openxmlformats.org/officeDocument/2006/relationships" r:embed="rId2"/>
        <a:stretch>
          <a:fillRect/>
        </a:stretch>
      </xdr:blipFill>
      <xdr:spPr>
        <a:xfrm>
          <a:off x="5141772" y="0"/>
          <a:ext cx="5154265" cy="465266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Ip, Paul" id="{23C377F7-5B31-465E-973C-B2712D92A99E}" userId="S::90534@global.ul.com::a1944aae-00ef-4a31-bd27-f3580031ab75"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461B23-EB8E-492F-9743-CE1506C23963}" name="Table2" displayName="Table2" ref="A4:D11" totalsRowShown="0">
  <autoFilter ref="A4:D11" xr:uid="{9AED5F9A-4A45-4603-95B2-D2D26EA875DA}"/>
  <tableColumns count="4">
    <tableColumn id="1" xr3:uid="{2A872128-6EE3-4B45-B0E8-FA27B731E673}" name="Name"/>
    <tableColumn id="2" xr3:uid="{B6599A5B-750E-40DC-A2A6-4939AE11FDF7}" name="Title/role"/>
    <tableColumn id="3" xr3:uid="{6ACC36C6-4649-4206-8CFA-8B859A7FF196}" name="Opening" dataDxfId="173"/>
    <tableColumn id="4" xr3:uid="{D0F2D061-3465-428E-B5DC-B9DC93BB55C2}" name="Closing " dataDxfId="172"/>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A3DCB04-4AD2-46B0-AA0D-134C73D656DA}" name="Table3" displayName="Table3" ref="L27:O31" totalsRowShown="0">
  <autoFilter ref="L27:O31" xr:uid="{FA3DCB04-4AD2-46B0-AA0D-134C73D656DA}"/>
  <tableColumns count="4">
    <tableColumn id="1" xr3:uid="{85DDB1EE-21E8-4245-B26F-7ACB32C467F3}" name="CCN"/>
    <tableColumn id="2" xr3:uid="{3405268D-AA37-4581-8BB0-6FE3E934116F}" name="# project" dataDxfId="0"/>
    <tableColumn id="3" xr3:uid="{C5DBD4B4-B1FC-4FD0-9C45-6B5ADE6CBCBF}" name="PH"/>
    <tableColumn id="4" xr3:uid="{1D8A25CB-C653-46BF-9308-608F3B45E569}" name="note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28" dT="2020-09-22T15:02:37.15" personId="{23C377F7-5B31-465E-973C-B2712D92A99E}" id="{928752F4-81D7-4A50-BA36-1EBC0DA9BB37}">
    <text>When looking test method,  need further discussion for additional form or pathnote</text>
  </threadedComment>
  <threadedComment ref="L29" dT="2020-09-22T15:02:37.15" personId="{23C377F7-5B31-465E-973C-B2712D92A99E}" id="{D5ACB255-2AD6-4767-9B9D-73D8D94CF490}">
    <text>When looking test method,  need further discussion for additional form or pathnote</text>
  </threadedComment>
  <threadedComment ref="L30" dT="2020-09-22T15:02:37.15" personId="{23C377F7-5B31-465E-973C-B2712D92A99E}" id="{9ACCD816-FE3E-4C20-BEB1-03649E68EAE3}">
    <text>When looking test method,  need further discussion for additional form or pathnote</text>
  </threadedComment>
  <threadedComment ref="L31" dT="2020-09-22T15:02:37.15" personId="{23C377F7-5B31-465E-973C-B2712D92A99E}" id="{144998FE-5291-4697-85D5-5D8AEFE4B981}">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ul.com/resources/ul-schemes-and-certification-bodies" TargetMode="External"/><Relationship Id="rId1" Type="http://schemas.openxmlformats.org/officeDocument/2006/relationships/hyperlink" Target="https://ul.sharepoint.com/sites/GlobalRiskManagement/SitePages/Re.aspx"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88964-632B-4B26-82C2-16AAD83541E6}">
  <sheetPr codeName="Sheet2"/>
  <dimension ref="A1:L4"/>
  <sheetViews>
    <sheetView workbookViewId="0">
      <selection activeCell="A4" sqref="A4:L4"/>
    </sheetView>
  </sheetViews>
  <sheetFormatPr defaultRowHeight="15" x14ac:dyDescent="0.25"/>
  <cols>
    <col min="1" max="1" width="15" bestFit="1" customWidth="1"/>
    <col min="2" max="2" width="26" bestFit="1" customWidth="1"/>
    <col min="3" max="12" width="18" customWidth="1"/>
  </cols>
  <sheetData>
    <row r="1" spans="1:12" ht="23.25" x14ac:dyDescent="0.35">
      <c r="A1" t="s">
        <v>828</v>
      </c>
      <c r="C1" s="56"/>
      <c r="D1" s="94" t="s">
        <v>829</v>
      </c>
      <c r="E1" s="94"/>
      <c r="F1" s="94"/>
      <c r="G1" s="94"/>
    </row>
    <row r="2" spans="1:12" x14ac:dyDescent="0.25">
      <c r="A2" s="57" t="s">
        <v>830</v>
      </c>
      <c r="B2" s="58">
        <v>45057</v>
      </c>
      <c r="C2" s="56"/>
      <c r="H2" s="57" t="s">
        <v>831</v>
      </c>
      <c r="I2" t="s">
        <v>799</v>
      </c>
    </row>
    <row r="3" spans="1:12" ht="45" x14ac:dyDescent="0.25">
      <c r="A3" s="59" t="s">
        <v>832</v>
      </c>
      <c r="B3" s="60" t="s">
        <v>833</v>
      </c>
      <c r="C3" s="61" t="s">
        <v>834</v>
      </c>
      <c r="D3" s="62" t="s">
        <v>835</v>
      </c>
      <c r="E3" s="63" t="s">
        <v>836</v>
      </c>
      <c r="F3" s="64" t="s">
        <v>837</v>
      </c>
      <c r="G3" s="65" t="s">
        <v>838</v>
      </c>
      <c r="H3" s="62" t="s">
        <v>839</v>
      </c>
      <c r="I3" s="63" t="s">
        <v>840</v>
      </c>
      <c r="J3" s="64" t="s">
        <v>841</v>
      </c>
      <c r="K3" s="65" t="s">
        <v>842</v>
      </c>
      <c r="L3" s="66" t="s">
        <v>843</v>
      </c>
    </row>
    <row r="4" spans="1:12" x14ac:dyDescent="0.25">
      <c r="A4" s="67">
        <v>2023</v>
      </c>
      <c r="B4" s="68" t="s">
        <v>1045</v>
      </c>
      <c r="C4" s="69" t="str">
        <f t="shared" ref="C4" si="0" xml:space="preserve"> IF( L4&lt; 86, "Low", IF( L4&gt;180, "High", "Medium"))</f>
        <v>Medium</v>
      </c>
      <c r="D4" s="68" t="s">
        <v>1046</v>
      </c>
      <c r="E4" s="68" t="s">
        <v>1047</v>
      </c>
      <c r="F4" s="68" t="s">
        <v>1046</v>
      </c>
      <c r="G4" s="68" t="s">
        <v>1046</v>
      </c>
      <c r="H4" s="68" t="s">
        <v>1046</v>
      </c>
      <c r="I4" s="68" t="s">
        <v>1047</v>
      </c>
      <c r="J4" s="68" t="s">
        <v>1047</v>
      </c>
      <c r="K4" s="68" t="s">
        <v>1047</v>
      </c>
      <c r="L4" s="70">
        <f t="shared" ref="L4" si="1">_xlfn.SWITCH(D4,"High", 5, "Medium", 2, "Low",1)*7.5 +_xlfn.SWITCH(E4,"High", 5, "Medium", 2, "Low",1)*5 + _xlfn.SWITCH(F4,"High", 5, "Medium", 2, "Low",1)*10+ _xlfn.SWITCH(G4,"High", 5, "Medium", 2, "Low",1)*6.5+_xlfn.SWITCH(H4,"High", 5, "Medium", 2, "Low",1)*5 + _xlfn.SWITCH(I4,"High", 5, "Medium", 2, "Low",1)*10 +_xlfn.SWITCH(J4,"High", 5, "Medium", 2, "Low",1)*10+_xlfn.SWITCH(K4,"High", 5, "Medium", 2, "Low",1)*6.5</f>
        <v>89.5</v>
      </c>
    </row>
  </sheetData>
  <mergeCells count="1">
    <mergeCell ref="D1:G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262C8-EC54-4C5B-8B90-A49AACA5C798}">
  <sheetPr codeName="Sheet5"/>
  <dimension ref="A1:L16"/>
  <sheetViews>
    <sheetView tabSelected="1" zoomScale="115" zoomScaleNormal="115" workbookViewId="0">
      <selection activeCell="D13" sqref="D13"/>
    </sheetView>
  </sheetViews>
  <sheetFormatPr defaultRowHeight="15" x14ac:dyDescent="0.25"/>
  <cols>
    <col min="1" max="1" width="21.42578125" bestFit="1" customWidth="1"/>
    <col min="2" max="2" width="39.7109375" bestFit="1" customWidth="1"/>
    <col min="3" max="3" width="11.7109375" style="54" bestFit="1" customWidth="1"/>
    <col min="4" max="4" width="12.42578125" style="54" bestFit="1" customWidth="1"/>
  </cols>
  <sheetData>
    <row r="1" spans="1:12" x14ac:dyDescent="0.25">
      <c r="A1" t="s">
        <v>817</v>
      </c>
      <c r="B1" t="s">
        <v>1049</v>
      </c>
      <c r="C1" s="54" t="s">
        <v>818</v>
      </c>
      <c r="D1" s="55">
        <v>45055</v>
      </c>
    </row>
    <row r="2" spans="1:12" x14ac:dyDescent="0.25">
      <c r="C2" s="54" t="s">
        <v>819</v>
      </c>
      <c r="D2" s="55">
        <v>45057</v>
      </c>
    </row>
    <row r="4" spans="1:12" x14ac:dyDescent="0.25">
      <c r="A4" t="s">
        <v>820</v>
      </c>
      <c r="B4" t="s">
        <v>821</v>
      </c>
      <c r="C4" s="54" t="s">
        <v>822</v>
      </c>
      <c r="D4" s="54" t="s">
        <v>823</v>
      </c>
    </row>
    <row r="5" spans="1:12" x14ac:dyDescent="0.25">
      <c r="A5" t="s">
        <v>785</v>
      </c>
      <c r="B5" t="s">
        <v>1048</v>
      </c>
      <c r="C5" s="54" t="s">
        <v>824</v>
      </c>
      <c r="D5" s="54" t="s">
        <v>824</v>
      </c>
    </row>
    <row r="6" spans="1:12" x14ac:dyDescent="0.25">
      <c r="A6" t="s">
        <v>799</v>
      </c>
      <c r="B6" t="s">
        <v>825</v>
      </c>
      <c r="C6" s="54" t="s">
        <v>824</v>
      </c>
      <c r="D6" s="54" t="s">
        <v>824</v>
      </c>
    </row>
    <row r="7" spans="1:12" x14ac:dyDescent="0.25">
      <c r="A7" t="s">
        <v>845</v>
      </c>
      <c r="B7" t="s">
        <v>848</v>
      </c>
      <c r="C7" s="54" t="s">
        <v>824</v>
      </c>
      <c r="D7" s="54" t="s">
        <v>824</v>
      </c>
    </row>
    <row r="9" spans="1:12" x14ac:dyDescent="0.25">
      <c r="A9" t="s">
        <v>846</v>
      </c>
      <c r="B9" t="s">
        <v>850</v>
      </c>
      <c r="C9" s="54" t="s">
        <v>824</v>
      </c>
    </row>
    <row r="10" spans="1:12" x14ac:dyDescent="0.25">
      <c r="A10" t="s">
        <v>844</v>
      </c>
      <c r="B10" t="s">
        <v>826</v>
      </c>
      <c r="C10" s="54" t="s">
        <v>824</v>
      </c>
      <c r="D10" s="54" t="s">
        <v>824</v>
      </c>
    </row>
    <row r="11" spans="1:12" x14ac:dyDescent="0.25">
      <c r="A11" t="s">
        <v>847</v>
      </c>
      <c r="B11" t="s">
        <v>849</v>
      </c>
      <c r="C11" s="54" t="s">
        <v>824</v>
      </c>
      <c r="D11" s="54" t="s">
        <v>824</v>
      </c>
    </row>
    <row r="16" spans="1:12" x14ac:dyDescent="0.25">
      <c r="L16" t="s">
        <v>827</v>
      </c>
    </row>
  </sheetData>
  <pageMargins left="0.7" right="0.7" top="0.75" bottom="0.75" header="0.3" footer="0.3"/>
  <pageSetup orientation="portrait"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28CB2-2C0D-4739-B0D6-62EA54DE33A8}">
  <sheetPr codeName="Sheet7"/>
  <dimension ref="A1:M48"/>
  <sheetViews>
    <sheetView zoomScale="89" zoomScaleNormal="89" workbookViewId="0">
      <pane xSplit="1" ySplit="2" topLeftCell="B3" activePane="bottomRight" state="frozen"/>
      <selection pane="topRight" activeCell="B1" sqref="B1"/>
      <selection pane="bottomLeft" activeCell="A3" sqref="A3"/>
      <selection pane="bottomRight" activeCell="C5" sqref="C5"/>
    </sheetView>
  </sheetViews>
  <sheetFormatPr defaultColWidth="9.140625" defaultRowHeight="15" x14ac:dyDescent="0.25"/>
  <cols>
    <col min="1" max="1" width="44.28515625" customWidth="1"/>
    <col min="2" max="2" width="30.7109375" customWidth="1"/>
    <col min="3" max="3" width="44.5703125" style="3" customWidth="1"/>
    <col min="4" max="4" width="33.42578125" customWidth="1"/>
    <col min="5" max="5" width="30.7109375" style="54" customWidth="1"/>
    <col min="6" max="6" width="38" customWidth="1"/>
    <col min="7" max="7" width="30.5703125" customWidth="1"/>
    <col min="8" max="10" width="30.7109375" hidden="1" customWidth="1"/>
    <col min="11" max="11" width="12.5703125" style="3" customWidth="1"/>
    <col min="12" max="12" width="27.5703125" customWidth="1"/>
    <col min="13" max="13" width="15.85546875" style="13" customWidth="1"/>
  </cols>
  <sheetData>
    <row r="1" spans="1:13" x14ac:dyDescent="0.25">
      <c r="A1" s="77" t="s">
        <v>800</v>
      </c>
      <c r="B1" s="77" t="s">
        <v>774</v>
      </c>
      <c r="C1" t="s">
        <v>910</v>
      </c>
      <c r="D1" s="57" t="s">
        <v>911</v>
      </c>
      <c r="E1" s="78" t="s">
        <v>912</v>
      </c>
    </row>
    <row r="2" spans="1:13" s="3" customFormat="1" ht="85.5" customHeight="1" x14ac:dyDescent="0.25">
      <c r="A2" s="4" t="s">
        <v>14</v>
      </c>
      <c r="B2" s="5" t="s">
        <v>764</v>
      </c>
      <c r="C2" s="5" t="s">
        <v>87</v>
      </c>
      <c r="D2" s="5" t="s">
        <v>8</v>
      </c>
      <c r="E2" s="5" t="s">
        <v>913</v>
      </c>
      <c r="F2" s="5" t="s">
        <v>88</v>
      </c>
      <c r="G2" s="5" t="s">
        <v>914</v>
      </c>
      <c r="H2" s="79" t="s">
        <v>915</v>
      </c>
      <c r="I2" s="79" t="s">
        <v>916</v>
      </c>
      <c r="J2" s="79" t="s">
        <v>917</v>
      </c>
      <c r="K2" s="4" t="s">
        <v>918</v>
      </c>
      <c r="L2" s="4" t="s">
        <v>919</v>
      </c>
      <c r="M2" s="80" t="s">
        <v>920</v>
      </c>
    </row>
    <row r="3" spans="1:13" s="3" customFormat="1" ht="150" x14ac:dyDescent="0.25">
      <c r="A3" s="81" t="s">
        <v>10</v>
      </c>
      <c r="B3" s="1" t="s">
        <v>921</v>
      </c>
      <c r="C3" s="82" t="s">
        <v>922</v>
      </c>
      <c r="D3" s="1" t="s">
        <v>923</v>
      </c>
      <c r="E3" s="83">
        <v>1</v>
      </c>
      <c r="F3" s="82" t="s">
        <v>924</v>
      </c>
      <c r="G3" s="84" t="s">
        <v>90</v>
      </c>
      <c r="H3" s="85"/>
      <c r="I3" s="85"/>
      <c r="J3" s="85"/>
      <c r="K3" s="7" t="s">
        <v>53</v>
      </c>
      <c r="L3" s="8" t="s">
        <v>925</v>
      </c>
      <c r="M3" s="8" t="s">
        <v>926</v>
      </c>
    </row>
    <row r="4" spans="1:13" s="3" customFormat="1" ht="210" x14ac:dyDescent="0.25">
      <c r="A4" s="81" t="s">
        <v>11</v>
      </c>
      <c r="B4" s="1" t="s">
        <v>921</v>
      </c>
      <c r="C4" s="1" t="s">
        <v>927</v>
      </c>
      <c r="D4" s="1" t="s">
        <v>928</v>
      </c>
      <c r="E4" s="83">
        <v>2</v>
      </c>
      <c r="F4" s="1" t="s">
        <v>929</v>
      </c>
      <c r="G4" s="84" t="s">
        <v>90</v>
      </c>
      <c r="H4" s="85"/>
      <c r="I4" s="85"/>
      <c r="J4" s="85"/>
      <c r="K4" s="7" t="s">
        <v>15</v>
      </c>
      <c r="L4" s="8" t="s">
        <v>930</v>
      </c>
      <c r="M4" s="8"/>
    </row>
    <row r="5" spans="1:13" s="3" customFormat="1" ht="216" x14ac:dyDescent="0.25">
      <c r="A5" s="81" t="s">
        <v>782</v>
      </c>
      <c r="B5" s="1" t="s">
        <v>921</v>
      </c>
      <c r="C5" s="86" t="s">
        <v>931</v>
      </c>
      <c r="D5" s="1" t="s">
        <v>932</v>
      </c>
      <c r="E5" s="83">
        <v>4</v>
      </c>
      <c r="F5" s="86" t="s">
        <v>933</v>
      </c>
      <c r="G5" s="84" t="s">
        <v>90</v>
      </c>
      <c r="H5" s="85"/>
      <c r="I5" s="85"/>
      <c r="J5" s="85"/>
      <c r="K5" s="7" t="s">
        <v>53</v>
      </c>
      <c r="L5" s="7" t="s">
        <v>934</v>
      </c>
      <c r="M5" s="8"/>
    </row>
    <row r="6" spans="1:13" s="3" customFormat="1" ht="195" x14ac:dyDescent="0.25">
      <c r="A6" s="87" t="s">
        <v>1</v>
      </c>
      <c r="B6" s="86" t="s">
        <v>921</v>
      </c>
      <c r="C6" s="82" t="s">
        <v>935</v>
      </c>
      <c r="D6" s="82" t="s">
        <v>936</v>
      </c>
      <c r="E6" s="88">
        <v>4</v>
      </c>
      <c r="F6" s="82" t="s">
        <v>937</v>
      </c>
      <c r="G6" s="84" t="s">
        <v>90</v>
      </c>
      <c r="H6" s="85"/>
      <c r="I6" s="85"/>
      <c r="J6" s="85"/>
      <c r="K6" s="7" t="s">
        <v>53</v>
      </c>
      <c r="L6" s="7" t="s">
        <v>938</v>
      </c>
      <c r="M6" s="8" t="s">
        <v>81</v>
      </c>
    </row>
    <row r="7" spans="1:13" s="3" customFormat="1" ht="225" x14ac:dyDescent="0.25">
      <c r="A7" s="87" t="s">
        <v>939</v>
      </c>
      <c r="B7" s="82" t="s">
        <v>921</v>
      </c>
      <c r="C7" s="1" t="s">
        <v>940</v>
      </c>
      <c r="D7" s="1" t="s">
        <v>941</v>
      </c>
      <c r="E7" s="83">
        <v>2</v>
      </c>
      <c r="F7" s="82" t="s">
        <v>942</v>
      </c>
      <c r="G7" s="84" t="s">
        <v>90</v>
      </c>
      <c r="H7" s="85"/>
      <c r="I7" s="85"/>
      <c r="J7" s="85"/>
      <c r="K7" s="7" t="s">
        <v>53</v>
      </c>
      <c r="L7" s="8" t="s">
        <v>943</v>
      </c>
      <c r="M7" s="8"/>
    </row>
    <row r="8" spans="1:13" s="3" customFormat="1" ht="120" x14ac:dyDescent="0.25">
      <c r="A8" s="81" t="s">
        <v>944</v>
      </c>
      <c r="B8" s="1" t="s">
        <v>921</v>
      </c>
      <c r="C8" s="82" t="s">
        <v>945</v>
      </c>
      <c r="D8" s="1" t="s">
        <v>946</v>
      </c>
      <c r="E8" s="83">
        <v>6</v>
      </c>
      <c r="F8" s="89" t="s">
        <v>947</v>
      </c>
      <c r="G8" s="84" t="s">
        <v>91</v>
      </c>
      <c r="H8" s="85"/>
      <c r="I8" s="85"/>
      <c r="J8" s="85"/>
      <c r="K8" s="7" t="s">
        <v>53</v>
      </c>
      <c r="L8" s="7" t="s">
        <v>948</v>
      </c>
      <c r="M8" s="8" t="s">
        <v>949</v>
      </c>
    </row>
    <row r="9" spans="1:13" s="3" customFormat="1" ht="135" x14ac:dyDescent="0.25">
      <c r="A9" s="87" t="s">
        <v>950</v>
      </c>
      <c r="B9" s="1" t="s">
        <v>921</v>
      </c>
      <c r="C9" s="1" t="s">
        <v>951</v>
      </c>
      <c r="D9" s="82" t="s">
        <v>952</v>
      </c>
      <c r="E9" s="83">
        <v>6</v>
      </c>
      <c r="F9" s="90" t="s">
        <v>953</v>
      </c>
      <c r="G9" s="84" t="s">
        <v>90</v>
      </c>
      <c r="H9" s="85"/>
      <c r="I9" s="85"/>
      <c r="J9" s="85"/>
      <c r="K9" s="7" t="s">
        <v>53</v>
      </c>
      <c r="L9" s="7" t="s">
        <v>954</v>
      </c>
      <c r="M9" s="8"/>
    </row>
    <row r="10" spans="1:13" s="3" customFormat="1" ht="30" x14ac:dyDescent="0.25">
      <c r="A10" s="87" t="s">
        <v>955</v>
      </c>
      <c r="B10" s="1" t="s">
        <v>921</v>
      </c>
      <c r="C10" s="1" t="s">
        <v>956</v>
      </c>
      <c r="D10" s="1"/>
      <c r="E10" s="83"/>
      <c r="F10" s="90"/>
      <c r="G10" s="84" t="s">
        <v>780</v>
      </c>
      <c r="H10" s="85"/>
      <c r="I10" s="85"/>
      <c r="J10" s="85"/>
      <c r="K10" s="7" t="s">
        <v>53</v>
      </c>
      <c r="L10" s="7" t="s">
        <v>957</v>
      </c>
      <c r="M10" s="8">
        <v>4.5</v>
      </c>
    </row>
    <row r="11" spans="1:13" s="3" customFormat="1" ht="90" x14ac:dyDescent="0.25">
      <c r="A11" s="87" t="s">
        <v>958</v>
      </c>
      <c r="B11" s="1" t="s">
        <v>959</v>
      </c>
      <c r="C11" s="82" t="s">
        <v>960</v>
      </c>
      <c r="D11" s="1" t="s">
        <v>961</v>
      </c>
      <c r="E11" s="83">
        <v>3</v>
      </c>
      <c r="F11" s="89" t="s">
        <v>962</v>
      </c>
      <c r="G11" s="84" t="s">
        <v>90</v>
      </c>
      <c r="H11" s="85"/>
      <c r="I11" s="85"/>
      <c r="J11" s="85"/>
      <c r="K11" s="6" t="s">
        <v>15</v>
      </c>
      <c r="L11" s="6" t="s">
        <v>963</v>
      </c>
      <c r="M11" s="8"/>
    </row>
    <row r="12" spans="1:13" s="3" customFormat="1" ht="225" x14ac:dyDescent="0.25">
      <c r="A12" s="87" t="s">
        <v>964</v>
      </c>
      <c r="B12" s="1" t="s">
        <v>959</v>
      </c>
      <c r="C12" s="82" t="s">
        <v>965</v>
      </c>
      <c r="D12" s="82" t="s">
        <v>966</v>
      </c>
      <c r="E12" s="83">
        <v>16</v>
      </c>
      <c r="F12" s="90" t="s">
        <v>967</v>
      </c>
      <c r="G12" s="84" t="s">
        <v>90</v>
      </c>
      <c r="H12" s="85"/>
      <c r="I12" s="85"/>
      <c r="J12" s="85"/>
      <c r="K12" s="7" t="s">
        <v>53</v>
      </c>
      <c r="L12" s="7" t="s">
        <v>968</v>
      </c>
      <c r="M12" s="8"/>
    </row>
    <row r="13" spans="1:13" s="3" customFormat="1" ht="180" x14ac:dyDescent="0.25">
      <c r="A13" s="87" t="s">
        <v>969</v>
      </c>
      <c r="B13" s="82" t="s">
        <v>970</v>
      </c>
      <c r="C13" s="82" t="s">
        <v>960</v>
      </c>
      <c r="D13" s="1" t="s">
        <v>961</v>
      </c>
      <c r="E13" s="83">
        <v>3</v>
      </c>
      <c r="F13" s="86" t="s">
        <v>971</v>
      </c>
      <c r="G13" s="84" t="s">
        <v>90</v>
      </c>
      <c r="H13" s="85"/>
      <c r="I13" s="85"/>
      <c r="J13" s="85"/>
      <c r="K13" s="7" t="s">
        <v>53</v>
      </c>
      <c r="L13" s="7" t="s">
        <v>972</v>
      </c>
      <c r="M13" s="8" t="s">
        <v>973</v>
      </c>
    </row>
    <row r="14" spans="1:13" s="3" customFormat="1" ht="30" x14ac:dyDescent="0.25">
      <c r="A14" s="87" t="s">
        <v>974</v>
      </c>
      <c r="B14" s="1" t="s">
        <v>921</v>
      </c>
      <c r="C14" s="1" t="s">
        <v>960</v>
      </c>
      <c r="D14" s="1"/>
      <c r="E14" s="83"/>
      <c r="F14" s="1"/>
      <c r="G14" s="84" t="s">
        <v>780</v>
      </c>
      <c r="H14" s="85"/>
      <c r="I14" s="85"/>
      <c r="J14" s="85"/>
      <c r="K14" s="7" t="s">
        <v>53</v>
      </c>
      <c r="L14" s="7" t="s">
        <v>975</v>
      </c>
      <c r="M14" s="8"/>
    </row>
    <row r="15" spans="1:13" s="3" customFormat="1" ht="90" x14ac:dyDescent="0.25">
      <c r="A15" s="87" t="s">
        <v>976</v>
      </c>
      <c r="B15" s="1" t="s">
        <v>921</v>
      </c>
      <c r="C15" s="1" t="s">
        <v>977</v>
      </c>
      <c r="D15" s="1" t="s">
        <v>978</v>
      </c>
      <c r="E15" s="83">
        <v>2</v>
      </c>
      <c r="F15" s="1" t="s">
        <v>979</v>
      </c>
      <c r="G15" s="84" t="s">
        <v>90</v>
      </c>
      <c r="H15" s="85"/>
      <c r="I15" s="85"/>
      <c r="J15" s="85"/>
      <c r="K15" s="7" t="s">
        <v>53</v>
      </c>
      <c r="L15" s="7" t="s">
        <v>980</v>
      </c>
      <c r="M15" s="8"/>
    </row>
    <row r="16" spans="1:13" s="3" customFormat="1" ht="31.5" x14ac:dyDescent="0.25">
      <c r="A16" s="87" t="s">
        <v>981</v>
      </c>
      <c r="B16" s="1" t="s">
        <v>921</v>
      </c>
      <c r="C16" s="1" t="s">
        <v>977</v>
      </c>
      <c r="D16" s="1"/>
      <c r="E16" s="83"/>
      <c r="F16" s="1" t="s">
        <v>982</v>
      </c>
      <c r="G16" s="84" t="s">
        <v>780</v>
      </c>
      <c r="H16" s="85"/>
      <c r="I16" s="85"/>
      <c r="J16" s="85"/>
      <c r="K16" s="7" t="s">
        <v>53</v>
      </c>
      <c r="L16" s="7" t="s">
        <v>983</v>
      </c>
      <c r="M16" s="8"/>
    </row>
    <row r="17" spans="1:13" s="3" customFormat="1" ht="60" x14ac:dyDescent="0.25">
      <c r="A17" s="87" t="s">
        <v>984</v>
      </c>
      <c r="B17" s="1" t="s">
        <v>921</v>
      </c>
      <c r="C17" s="82" t="s">
        <v>985</v>
      </c>
      <c r="D17" s="1" t="s">
        <v>986</v>
      </c>
      <c r="E17" s="88">
        <v>1</v>
      </c>
      <c r="F17" s="82" t="s">
        <v>987</v>
      </c>
      <c r="G17" s="84" t="s">
        <v>90</v>
      </c>
      <c r="H17" s="85"/>
      <c r="I17" s="85"/>
      <c r="J17" s="85"/>
      <c r="K17" s="7" t="s">
        <v>53</v>
      </c>
      <c r="L17" s="7" t="s">
        <v>988</v>
      </c>
      <c r="M17" s="8" t="s">
        <v>989</v>
      </c>
    </row>
    <row r="18" spans="1:13" s="3" customFormat="1" ht="60" x14ac:dyDescent="0.25">
      <c r="A18" s="87" t="s">
        <v>990</v>
      </c>
      <c r="B18" s="1" t="s">
        <v>991</v>
      </c>
      <c r="C18" s="82" t="s">
        <v>992</v>
      </c>
      <c r="D18" s="1" t="s">
        <v>993</v>
      </c>
      <c r="E18" s="83">
        <v>2</v>
      </c>
      <c r="F18" s="1" t="s">
        <v>994</v>
      </c>
      <c r="G18" s="84" t="s">
        <v>90</v>
      </c>
      <c r="H18" s="85"/>
      <c r="I18" s="85"/>
      <c r="J18" s="85"/>
      <c r="K18" s="7" t="s">
        <v>53</v>
      </c>
      <c r="L18" s="7" t="s">
        <v>995</v>
      </c>
      <c r="M18" s="8"/>
    </row>
    <row r="19" spans="1:13" s="3" customFormat="1" ht="105" x14ac:dyDescent="0.25">
      <c r="A19" s="87" t="s">
        <v>996</v>
      </c>
      <c r="B19" s="1" t="s">
        <v>991</v>
      </c>
      <c r="C19" s="82" t="s">
        <v>935</v>
      </c>
      <c r="D19" s="1" t="s">
        <v>986</v>
      </c>
      <c r="E19" s="83">
        <v>1</v>
      </c>
      <c r="F19" s="1" t="s">
        <v>997</v>
      </c>
      <c r="G19" s="84" t="s">
        <v>90</v>
      </c>
      <c r="H19" s="85"/>
      <c r="I19" s="85"/>
      <c r="J19" s="85"/>
      <c r="K19" s="6" t="s">
        <v>15</v>
      </c>
      <c r="L19" s="6" t="s">
        <v>998</v>
      </c>
      <c r="M19" s="8"/>
    </row>
    <row r="20" spans="1:13" s="3" customFormat="1" ht="30" x14ac:dyDescent="0.25">
      <c r="A20" s="81" t="s">
        <v>999</v>
      </c>
      <c r="B20" s="1" t="s">
        <v>991</v>
      </c>
      <c r="C20" s="82" t="s">
        <v>935</v>
      </c>
      <c r="D20" s="1"/>
      <c r="E20" s="83"/>
      <c r="F20" s="1" t="s">
        <v>1000</v>
      </c>
      <c r="G20" s="84" t="s">
        <v>780</v>
      </c>
      <c r="H20" s="85"/>
      <c r="I20" s="85"/>
      <c r="J20" s="85"/>
      <c r="K20" s="7" t="s">
        <v>53</v>
      </c>
      <c r="L20" s="7" t="s">
        <v>1001</v>
      </c>
      <c r="M20" s="8"/>
    </row>
    <row r="21" spans="1:13" s="3" customFormat="1" ht="45" x14ac:dyDescent="0.25">
      <c r="A21" s="81" t="s">
        <v>2</v>
      </c>
      <c r="B21" s="1" t="s">
        <v>991</v>
      </c>
      <c r="C21" s="82" t="s">
        <v>1002</v>
      </c>
      <c r="D21" s="1" t="s">
        <v>1003</v>
      </c>
      <c r="E21" s="83">
        <v>3</v>
      </c>
      <c r="F21" s="1" t="s">
        <v>1004</v>
      </c>
      <c r="G21" s="84" t="s">
        <v>90</v>
      </c>
      <c r="H21" s="85"/>
      <c r="I21" s="85"/>
      <c r="J21" s="85"/>
      <c r="K21" s="7" t="s">
        <v>53</v>
      </c>
      <c r="L21" s="7" t="s">
        <v>1005</v>
      </c>
      <c r="M21" s="8" t="s">
        <v>1006</v>
      </c>
    </row>
    <row r="22" spans="1:13" s="3" customFormat="1" ht="285" x14ac:dyDescent="0.25">
      <c r="A22" s="81" t="s">
        <v>6</v>
      </c>
      <c r="B22" s="1" t="s">
        <v>1007</v>
      </c>
      <c r="C22" s="82" t="s">
        <v>1002</v>
      </c>
      <c r="D22" s="1" t="s">
        <v>1003</v>
      </c>
      <c r="E22" s="83">
        <v>10</v>
      </c>
      <c r="F22" s="82" t="s">
        <v>1008</v>
      </c>
      <c r="G22" s="84" t="s">
        <v>90</v>
      </c>
      <c r="H22" s="85"/>
      <c r="I22" s="85"/>
      <c r="J22" s="85"/>
      <c r="K22" s="7" t="s">
        <v>15</v>
      </c>
      <c r="L22" s="7" t="s">
        <v>1009</v>
      </c>
      <c r="M22" s="8" t="s">
        <v>1010</v>
      </c>
    </row>
    <row r="23" spans="1:13" s="3" customFormat="1" ht="75" x14ac:dyDescent="0.25">
      <c r="A23" s="81" t="s">
        <v>3</v>
      </c>
      <c r="B23" s="1" t="s">
        <v>1007</v>
      </c>
      <c r="C23" s="82" t="s">
        <v>1011</v>
      </c>
      <c r="D23" s="1" t="s">
        <v>993</v>
      </c>
      <c r="E23" s="83">
        <v>2</v>
      </c>
      <c r="F23" s="82" t="s">
        <v>1012</v>
      </c>
      <c r="G23" s="84" t="s">
        <v>90</v>
      </c>
      <c r="H23" s="85"/>
      <c r="I23" s="85"/>
      <c r="J23" s="85"/>
      <c r="K23" s="7" t="s">
        <v>15</v>
      </c>
      <c r="L23" s="7" t="s">
        <v>1013</v>
      </c>
      <c r="M23" s="8"/>
    </row>
    <row r="24" spans="1:13" s="3" customFormat="1" ht="60" x14ac:dyDescent="0.25">
      <c r="A24" s="81" t="s">
        <v>4</v>
      </c>
      <c r="B24" s="1" t="s">
        <v>1007</v>
      </c>
      <c r="C24" s="82" t="s">
        <v>1014</v>
      </c>
      <c r="D24" s="1" t="s">
        <v>1015</v>
      </c>
      <c r="E24" s="83">
        <v>4</v>
      </c>
      <c r="F24" s="1" t="s">
        <v>1016</v>
      </c>
      <c r="G24" s="84" t="s">
        <v>90</v>
      </c>
      <c r="H24" s="85"/>
      <c r="I24" s="85"/>
      <c r="J24" s="85"/>
      <c r="K24" s="7" t="s">
        <v>15</v>
      </c>
      <c r="L24" s="7" t="s">
        <v>1017</v>
      </c>
      <c r="M24" s="8"/>
    </row>
    <row r="25" spans="1:13" s="3" customFormat="1" ht="75" x14ac:dyDescent="0.25">
      <c r="A25" s="81" t="s">
        <v>0</v>
      </c>
      <c r="B25" s="1"/>
      <c r="C25" s="1" t="s">
        <v>935</v>
      </c>
      <c r="D25" s="1"/>
      <c r="E25" s="83"/>
      <c r="F25" s="82" t="s">
        <v>1018</v>
      </c>
      <c r="G25" s="84" t="s">
        <v>779</v>
      </c>
      <c r="H25" s="85"/>
      <c r="I25" s="85"/>
      <c r="J25" s="85"/>
      <c r="K25" s="7" t="s">
        <v>15</v>
      </c>
      <c r="L25" s="7" t="s">
        <v>1019</v>
      </c>
      <c r="M25" s="8"/>
    </row>
    <row r="26" spans="1:13" s="3" customFormat="1" ht="105" x14ac:dyDescent="0.25">
      <c r="A26" s="81" t="s">
        <v>1020</v>
      </c>
      <c r="B26" s="1" t="s">
        <v>1021</v>
      </c>
      <c r="C26" s="82" t="s">
        <v>1022</v>
      </c>
      <c r="D26" s="1" t="s">
        <v>1023</v>
      </c>
      <c r="E26" s="83">
        <v>3</v>
      </c>
      <c r="F26" s="1" t="s">
        <v>1024</v>
      </c>
      <c r="G26" s="84" t="s">
        <v>90</v>
      </c>
      <c r="H26" s="85"/>
      <c r="I26" s="85"/>
      <c r="J26" s="85"/>
      <c r="K26" s="7" t="s">
        <v>53</v>
      </c>
      <c r="L26" s="7" t="s">
        <v>1025</v>
      </c>
      <c r="M26" s="8"/>
    </row>
    <row r="27" spans="1:13" s="3" customFormat="1" ht="90" x14ac:dyDescent="0.25">
      <c r="A27" s="81" t="s">
        <v>5</v>
      </c>
      <c r="B27" s="1" t="s">
        <v>1021</v>
      </c>
      <c r="C27" s="1" t="s">
        <v>1026</v>
      </c>
      <c r="D27" s="1" t="s">
        <v>1027</v>
      </c>
      <c r="E27" s="83">
        <v>1</v>
      </c>
      <c r="F27" s="82" t="s">
        <v>1028</v>
      </c>
      <c r="G27" s="84" t="s">
        <v>90</v>
      </c>
      <c r="H27" s="85"/>
      <c r="I27" s="85"/>
      <c r="J27" s="85"/>
      <c r="K27" s="7" t="s">
        <v>53</v>
      </c>
      <c r="L27" s="7" t="s">
        <v>1029</v>
      </c>
      <c r="M27" s="8"/>
    </row>
    <row r="28" spans="1:13" s="3" customFormat="1" ht="105" x14ac:dyDescent="0.25">
      <c r="A28" s="2" t="s">
        <v>1030</v>
      </c>
      <c r="B28" s="1" t="s">
        <v>1031</v>
      </c>
      <c r="C28" s="1" t="s">
        <v>1032</v>
      </c>
      <c r="D28" s="1">
        <v>4790806185</v>
      </c>
      <c r="E28" s="83">
        <v>8</v>
      </c>
      <c r="F28" s="90" t="s">
        <v>1033</v>
      </c>
      <c r="G28" s="84" t="s">
        <v>90</v>
      </c>
      <c r="H28" s="85"/>
      <c r="I28" s="85"/>
      <c r="J28" s="85"/>
      <c r="K28" s="7" t="s">
        <v>53</v>
      </c>
      <c r="L28" s="7" t="s">
        <v>1034</v>
      </c>
      <c r="M28" s="8" t="s">
        <v>1035</v>
      </c>
    </row>
    <row r="29" spans="1:13" s="3" customFormat="1" ht="165" x14ac:dyDescent="0.25">
      <c r="A29" s="2" t="s">
        <v>1030</v>
      </c>
      <c r="B29" s="1" t="s">
        <v>1036</v>
      </c>
      <c r="C29" s="82" t="s">
        <v>1037</v>
      </c>
      <c r="D29" s="1">
        <v>4790190985</v>
      </c>
      <c r="E29" s="83">
        <v>9</v>
      </c>
      <c r="F29" s="90" t="s">
        <v>1038</v>
      </c>
      <c r="G29" s="84" t="s">
        <v>90</v>
      </c>
      <c r="H29" s="85"/>
      <c r="I29" s="85"/>
      <c r="J29" s="85"/>
      <c r="K29" s="7" t="s">
        <v>53</v>
      </c>
      <c r="L29" s="7" t="s">
        <v>1034</v>
      </c>
      <c r="M29" s="8" t="s">
        <v>1035</v>
      </c>
    </row>
    <row r="30" spans="1:13" s="3" customFormat="1" ht="150" x14ac:dyDescent="0.25">
      <c r="A30" s="2" t="s">
        <v>1030</v>
      </c>
      <c r="B30" s="1" t="s">
        <v>1039</v>
      </c>
      <c r="C30" s="1" t="s">
        <v>1040</v>
      </c>
      <c r="D30" s="1">
        <v>4790720209</v>
      </c>
      <c r="E30" s="83">
        <v>9</v>
      </c>
      <c r="F30" s="90" t="s">
        <v>1041</v>
      </c>
      <c r="G30" s="84" t="s">
        <v>90</v>
      </c>
      <c r="H30" s="85"/>
      <c r="I30" s="85"/>
      <c r="J30" s="85"/>
      <c r="K30" s="7" t="s">
        <v>53</v>
      </c>
      <c r="L30" s="7" t="s">
        <v>1034</v>
      </c>
      <c r="M30" s="8" t="s">
        <v>1035</v>
      </c>
    </row>
    <row r="31" spans="1:13" s="3" customFormat="1" ht="150" x14ac:dyDescent="0.25">
      <c r="A31" s="2" t="s">
        <v>1030</v>
      </c>
      <c r="B31" s="1" t="s">
        <v>921</v>
      </c>
      <c r="C31" s="1" t="s">
        <v>1042</v>
      </c>
      <c r="D31" s="1" t="s">
        <v>1043</v>
      </c>
      <c r="E31" s="83">
        <v>1</v>
      </c>
      <c r="F31" s="90" t="s">
        <v>1044</v>
      </c>
      <c r="G31" s="84" t="s">
        <v>90</v>
      </c>
      <c r="H31" s="85"/>
      <c r="I31" s="85"/>
      <c r="J31" s="85"/>
      <c r="K31" s="7" t="s">
        <v>53</v>
      </c>
      <c r="L31" s="7" t="s">
        <v>1034</v>
      </c>
      <c r="M31" s="8" t="s">
        <v>1035</v>
      </c>
    </row>
    <row r="32" spans="1:13" s="3" customFormat="1" ht="15.75" x14ac:dyDescent="0.25">
      <c r="A32" s="2"/>
      <c r="B32" s="1"/>
      <c r="C32" s="1"/>
      <c r="D32" s="1"/>
      <c r="E32" s="83"/>
      <c r="F32" s="1"/>
      <c r="G32" s="84"/>
      <c r="H32" s="85"/>
      <c r="I32" s="85"/>
      <c r="J32" s="85"/>
      <c r="M32" s="8"/>
    </row>
    <row r="33" spans="1:13" s="3" customFormat="1" ht="15.75" x14ac:dyDescent="0.25">
      <c r="A33" s="2"/>
      <c r="B33" s="1"/>
      <c r="C33" s="1"/>
      <c r="D33" s="1"/>
      <c r="E33" s="83"/>
      <c r="F33" s="1"/>
      <c r="G33" s="84"/>
      <c r="H33" s="85"/>
      <c r="I33" s="85"/>
      <c r="J33" s="85"/>
      <c r="M33" s="8"/>
    </row>
    <row r="34" spans="1:13" s="3" customFormat="1" ht="15.75" x14ac:dyDescent="0.25">
      <c r="A34" s="2"/>
      <c r="B34" s="1"/>
      <c r="C34" s="1"/>
      <c r="D34" s="1"/>
      <c r="E34" s="83"/>
      <c r="F34" s="1"/>
      <c r="G34" s="84"/>
      <c r="H34" s="85"/>
      <c r="I34" s="85"/>
      <c r="J34" s="85"/>
      <c r="M34" s="8"/>
    </row>
    <row r="35" spans="1:13" s="3" customFormat="1" ht="15.75" x14ac:dyDescent="0.25">
      <c r="A35" s="2"/>
      <c r="B35" s="1"/>
      <c r="C35" s="1"/>
      <c r="D35" s="1"/>
      <c r="E35" s="83"/>
      <c r="F35" s="1"/>
      <c r="G35" s="84"/>
      <c r="H35" s="85"/>
      <c r="I35" s="85"/>
      <c r="J35" s="85"/>
      <c r="M35" s="8"/>
    </row>
    <row r="36" spans="1:13" s="3" customFormat="1" ht="15.75" x14ac:dyDescent="0.25">
      <c r="A36" s="2"/>
      <c r="B36" s="1"/>
      <c r="C36" s="1"/>
      <c r="D36" s="1"/>
      <c r="E36" s="83"/>
      <c r="F36" s="1"/>
      <c r="G36" s="84"/>
      <c r="H36" s="85"/>
      <c r="I36" s="85"/>
      <c r="J36" s="85"/>
      <c r="L36" s="6"/>
      <c r="M36" s="8"/>
    </row>
    <row r="37" spans="1:13" x14ac:dyDescent="0.25">
      <c r="L37" s="91"/>
    </row>
    <row r="38" spans="1:13" x14ac:dyDescent="0.25">
      <c r="L38" s="91"/>
    </row>
    <row r="39" spans="1:13" x14ac:dyDescent="0.25">
      <c r="E39" s="92"/>
      <c r="L39" s="91"/>
    </row>
    <row r="40" spans="1:13" x14ac:dyDescent="0.25">
      <c r="L40" s="91"/>
    </row>
    <row r="41" spans="1:13" x14ac:dyDescent="0.25">
      <c r="L41" s="91"/>
    </row>
    <row r="42" spans="1:13" x14ac:dyDescent="0.25">
      <c r="L42" s="91"/>
    </row>
    <row r="43" spans="1:13" x14ac:dyDescent="0.25">
      <c r="C43" s="93"/>
      <c r="L43" s="91"/>
    </row>
    <row r="44" spans="1:13" x14ac:dyDescent="0.25">
      <c r="C44" s="93"/>
      <c r="L44" s="91"/>
    </row>
    <row r="45" spans="1:13" x14ac:dyDescent="0.25">
      <c r="C45" s="93"/>
      <c r="L45" s="91"/>
    </row>
    <row r="46" spans="1:13" x14ac:dyDescent="0.25">
      <c r="L46" s="91"/>
    </row>
    <row r="47" spans="1:13" x14ac:dyDescent="0.25">
      <c r="L47" s="91"/>
    </row>
    <row r="48" spans="1:13" x14ac:dyDescent="0.25">
      <c r="L48" s="91"/>
    </row>
  </sheetData>
  <conditionalFormatting sqref="B3:B31">
    <cfRule type="expression" dxfId="171" priority="37">
      <formula>COUNTBLANK($B3)</formula>
    </cfRule>
  </conditionalFormatting>
  <conditionalFormatting sqref="C3 C5:C31">
    <cfRule type="expression" dxfId="170" priority="36">
      <formula>COUNTBLANK($C3)</formula>
    </cfRule>
  </conditionalFormatting>
  <conditionalFormatting sqref="D3:D31">
    <cfRule type="expression" dxfId="169" priority="35">
      <formula>COUNTBLANK($D3)</formula>
    </cfRule>
  </conditionalFormatting>
  <conditionalFormatting sqref="E3:E6 E28:E31">
    <cfRule type="expression" dxfId="168" priority="34">
      <formula>COUNTBLANK($E3)</formula>
    </cfRule>
  </conditionalFormatting>
  <conditionalFormatting sqref="E7:E27">
    <cfRule type="expression" dxfId="167" priority="33">
      <formula>COUNTBLANK($E7)</formula>
    </cfRule>
  </conditionalFormatting>
  <conditionalFormatting sqref="A3">
    <cfRule type="expression" dxfId="166" priority="32">
      <formula>COUNTBLANK($B3:$D3)</formula>
    </cfRule>
  </conditionalFormatting>
  <conditionalFormatting sqref="A3 A11:A13 A28:A31">
    <cfRule type="expression" dxfId="165" priority="30">
      <formula>$G3="Not Audited"</formula>
    </cfRule>
    <cfRule type="expression" dxfId="164" priority="31">
      <formula>$G3="Not Applicable"</formula>
    </cfRule>
  </conditionalFormatting>
  <conditionalFormatting sqref="A4:A9 A11:A13 A28:A31">
    <cfRule type="expression" dxfId="163" priority="29">
      <formula>COUNTBLANK($B4:$E4)</formula>
    </cfRule>
  </conditionalFormatting>
  <conditionalFormatting sqref="A4:A9">
    <cfRule type="expression" dxfId="162" priority="27">
      <formula>$G4="Not Audited"</formula>
    </cfRule>
    <cfRule type="expression" dxfId="161" priority="28">
      <formula>$G4="Not Applicable"</formula>
    </cfRule>
  </conditionalFormatting>
  <conditionalFormatting sqref="A10">
    <cfRule type="expression" dxfId="160" priority="26">
      <formula>COUNTBLANK($B10:$D10)</formula>
    </cfRule>
  </conditionalFormatting>
  <conditionalFormatting sqref="A10">
    <cfRule type="expression" dxfId="159" priority="24">
      <formula>$G10="Not Audited"</formula>
    </cfRule>
    <cfRule type="expression" dxfId="158" priority="25">
      <formula>$G10="Not Applicable"</formula>
    </cfRule>
  </conditionalFormatting>
  <conditionalFormatting sqref="A15">
    <cfRule type="expression" dxfId="157" priority="23">
      <formula>COUNTBLANK($B15:$D15)</formula>
    </cfRule>
  </conditionalFormatting>
  <conditionalFormatting sqref="A15">
    <cfRule type="expression" dxfId="156" priority="21">
      <formula>$G15="Not Audited"</formula>
    </cfRule>
    <cfRule type="expression" dxfId="155" priority="22">
      <formula>$G15="Not Applicable"</formula>
    </cfRule>
  </conditionalFormatting>
  <conditionalFormatting sqref="A14">
    <cfRule type="expression" dxfId="154" priority="20">
      <formula>COUNTBLANK($B14:$D14)</formula>
    </cfRule>
  </conditionalFormatting>
  <conditionalFormatting sqref="A14">
    <cfRule type="expression" dxfId="153" priority="18">
      <formula>$G14="Not Audited"</formula>
    </cfRule>
    <cfRule type="expression" dxfId="152" priority="19">
      <formula>$G14="Not Applicable"</formula>
    </cfRule>
  </conditionalFormatting>
  <conditionalFormatting sqref="A16:A17">
    <cfRule type="expression" dxfId="151" priority="17">
      <formula>COUNTBLANK($B16:$D16)</formula>
    </cfRule>
  </conditionalFormatting>
  <conditionalFormatting sqref="A16:A17">
    <cfRule type="expression" dxfId="150" priority="15">
      <formula>$G16="Not Audited"</formula>
    </cfRule>
    <cfRule type="expression" dxfId="149" priority="16">
      <formula>$G16="Not Applicable"</formula>
    </cfRule>
  </conditionalFormatting>
  <conditionalFormatting sqref="A18">
    <cfRule type="expression" dxfId="148" priority="14">
      <formula>COUNTBLANK($B18:$D18)</formula>
    </cfRule>
  </conditionalFormatting>
  <conditionalFormatting sqref="A18">
    <cfRule type="expression" dxfId="147" priority="12">
      <formula>$G18="Not Audited"</formula>
    </cfRule>
    <cfRule type="expression" dxfId="146" priority="13">
      <formula>$G18="Not Applicable"</formula>
    </cfRule>
  </conditionalFormatting>
  <conditionalFormatting sqref="A19:A21">
    <cfRule type="expression" dxfId="145" priority="11">
      <formula>COUNTBLANK($B19:$D19)</formula>
    </cfRule>
  </conditionalFormatting>
  <conditionalFormatting sqref="A19:A21">
    <cfRule type="expression" dxfId="144" priority="9">
      <formula>$G19="Not Audited"</formula>
    </cfRule>
    <cfRule type="expression" dxfId="143" priority="10">
      <formula>$G19="Not Applicable"</formula>
    </cfRule>
  </conditionalFormatting>
  <conditionalFormatting sqref="A22:A24">
    <cfRule type="expression" dxfId="142" priority="8">
      <formula>COUNTBLANK($B22:$D22)</formula>
    </cfRule>
  </conditionalFormatting>
  <conditionalFormatting sqref="A22:A24">
    <cfRule type="expression" dxfId="141" priority="6">
      <formula>$G22="Not Audited"</formula>
    </cfRule>
    <cfRule type="expression" dxfId="140" priority="7">
      <formula>$G22="Not Applicable"</formula>
    </cfRule>
  </conditionalFormatting>
  <conditionalFormatting sqref="A25:A27">
    <cfRule type="expression" dxfId="139" priority="5">
      <formula>COUNTBLANK($B25:$D25)</formula>
    </cfRule>
  </conditionalFormatting>
  <conditionalFormatting sqref="A25:A27">
    <cfRule type="expression" dxfId="138" priority="3">
      <formula>$G25="Not Audited"</formula>
    </cfRule>
    <cfRule type="expression" dxfId="137" priority="4">
      <formula>$G25="Not Applicable"</formula>
    </cfRule>
  </conditionalFormatting>
  <conditionalFormatting sqref="G3:G31">
    <cfRule type="expression" dxfId="136" priority="2">
      <formula>COUNTBLANK($G3)</formula>
    </cfRule>
  </conditionalFormatting>
  <conditionalFormatting sqref="C4">
    <cfRule type="expression" dxfId="135" priority="1">
      <formula>COUNTBLANK($C4)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R43"/>
  <sheetViews>
    <sheetView zoomScale="80" zoomScaleNormal="80" zoomScaleSheetLayoutView="338" workbookViewId="0">
      <pane xSplit="1" ySplit="2" topLeftCell="B11" activePane="bottomRight" state="frozen"/>
      <selection pane="topRight" activeCell="B1" sqref="B1"/>
      <selection pane="bottomLeft" activeCell="A2" sqref="A2"/>
      <selection pane="bottomRight" activeCell="J12" sqref="J12"/>
    </sheetView>
  </sheetViews>
  <sheetFormatPr defaultColWidth="9.140625" defaultRowHeight="15" x14ac:dyDescent="0.25"/>
  <cols>
    <col min="1" max="1" width="20.42578125" customWidth="1"/>
    <col min="2" max="2" width="10.28515625" style="47" customWidth="1"/>
    <col min="3" max="5" width="6.85546875" style="47" customWidth="1"/>
    <col min="6" max="6" width="20.7109375" customWidth="1"/>
    <col min="7" max="7" width="27.7109375" customWidth="1"/>
    <col min="8" max="8" width="63.140625" customWidth="1"/>
    <col min="9" max="9" width="21.140625" style="54" customWidth="1"/>
    <col min="10" max="10" width="59.7109375" customWidth="1"/>
    <col min="11" max="12" width="30.7109375" customWidth="1"/>
    <col min="13" max="13" width="14.140625" style="3" customWidth="1"/>
    <col min="14" max="14" width="40.7109375" style="3" customWidth="1"/>
    <col min="15" max="15" width="29.140625" style="6" customWidth="1"/>
    <col min="16" max="16" width="25.42578125" customWidth="1"/>
    <col min="17" max="18" width="20.28515625" customWidth="1"/>
  </cols>
  <sheetData>
    <row r="1" spans="1:18" x14ac:dyDescent="0.25">
      <c r="A1" s="36" t="s">
        <v>800</v>
      </c>
      <c r="B1" s="48" t="s">
        <v>774</v>
      </c>
      <c r="C1" s="47" t="s">
        <v>799</v>
      </c>
      <c r="D1" s="48" t="s">
        <v>798</v>
      </c>
      <c r="E1" s="49"/>
      <c r="F1" s="37"/>
      <c r="G1" s="37"/>
      <c r="H1" s="37"/>
      <c r="I1" s="53"/>
      <c r="J1" s="37"/>
      <c r="K1" s="37"/>
      <c r="L1" s="37"/>
      <c r="M1" s="38"/>
      <c r="N1" s="37"/>
      <c r="O1" s="39"/>
      <c r="P1" s="37"/>
      <c r="Q1" s="37"/>
      <c r="R1" s="37"/>
    </row>
    <row r="2" spans="1:18" s="3" customFormat="1" ht="75" x14ac:dyDescent="0.25">
      <c r="A2" s="4" t="s">
        <v>14</v>
      </c>
      <c r="B2" s="52" t="s">
        <v>773</v>
      </c>
      <c r="C2" s="50" t="s">
        <v>85</v>
      </c>
      <c r="D2" s="50" t="s">
        <v>86</v>
      </c>
      <c r="E2" s="50" t="s">
        <v>84</v>
      </c>
      <c r="F2" s="5" t="s">
        <v>764</v>
      </c>
      <c r="G2" s="5" t="s">
        <v>87</v>
      </c>
      <c r="H2" s="5" t="s">
        <v>8</v>
      </c>
      <c r="I2" s="5" t="s">
        <v>13</v>
      </c>
      <c r="J2" s="5" t="s">
        <v>88</v>
      </c>
      <c r="K2" s="5" t="s">
        <v>781</v>
      </c>
      <c r="L2" s="5" t="s">
        <v>777</v>
      </c>
      <c r="M2" s="4" t="s">
        <v>43</v>
      </c>
      <c r="N2" s="4" t="s">
        <v>22</v>
      </c>
      <c r="O2" s="10" t="s">
        <v>36</v>
      </c>
      <c r="P2" s="4" t="s">
        <v>9</v>
      </c>
      <c r="Q2" s="4" t="s">
        <v>71</v>
      </c>
      <c r="R2" s="4" t="s">
        <v>72</v>
      </c>
    </row>
    <row r="3" spans="1:18" s="3" customFormat="1" ht="105" x14ac:dyDescent="0.25">
      <c r="A3" s="2" t="s">
        <v>17</v>
      </c>
      <c r="B3" s="51" t="s">
        <v>768</v>
      </c>
      <c r="C3" s="51" t="s">
        <v>407</v>
      </c>
      <c r="D3" s="51" t="s">
        <v>498</v>
      </c>
      <c r="E3" s="51" t="s">
        <v>750</v>
      </c>
      <c r="F3" s="42" t="s">
        <v>787</v>
      </c>
      <c r="G3" s="42" t="s">
        <v>805</v>
      </c>
      <c r="H3" s="45" t="s">
        <v>851</v>
      </c>
      <c r="I3" s="46">
        <v>1</v>
      </c>
      <c r="J3" s="42"/>
      <c r="K3" s="24" t="s">
        <v>90</v>
      </c>
      <c r="L3" s="1"/>
      <c r="M3" s="7" t="s">
        <v>53</v>
      </c>
      <c r="N3" s="7" t="s">
        <v>23</v>
      </c>
      <c r="O3" s="7" t="s">
        <v>54</v>
      </c>
      <c r="P3" s="7"/>
      <c r="Q3" s="8" t="s">
        <v>73</v>
      </c>
      <c r="R3" s="8"/>
    </row>
    <row r="4" spans="1:18" s="3" customFormat="1" ht="108" customHeight="1" x14ac:dyDescent="0.25">
      <c r="A4" s="2" t="s">
        <v>10</v>
      </c>
      <c r="B4" s="51" t="s">
        <v>768</v>
      </c>
      <c r="C4" s="51" t="s">
        <v>407</v>
      </c>
      <c r="D4" s="51" t="s">
        <v>498</v>
      </c>
      <c r="E4" s="51" t="s">
        <v>750</v>
      </c>
      <c r="F4" s="42" t="s">
        <v>787</v>
      </c>
      <c r="G4" s="42" t="s">
        <v>852</v>
      </c>
      <c r="H4" s="42" t="s">
        <v>902</v>
      </c>
      <c r="I4" s="46">
        <v>4</v>
      </c>
      <c r="J4" s="45" t="s">
        <v>853</v>
      </c>
      <c r="K4" s="24" t="s">
        <v>90</v>
      </c>
      <c r="L4" s="1"/>
      <c r="M4" s="7" t="s">
        <v>53</v>
      </c>
      <c r="N4" s="7" t="s">
        <v>44</v>
      </c>
      <c r="O4" s="7"/>
      <c r="P4" s="7"/>
      <c r="Q4" s="8" t="s">
        <v>74</v>
      </c>
      <c r="R4" s="8"/>
    </row>
    <row r="5" spans="1:18" s="3" customFormat="1" ht="60" x14ac:dyDescent="0.25">
      <c r="A5" s="2" t="s">
        <v>37</v>
      </c>
      <c r="B5" s="51" t="s">
        <v>768</v>
      </c>
      <c r="C5" s="51" t="s">
        <v>407</v>
      </c>
      <c r="D5" s="51" t="s">
        <v>498</v>
      </c>
      <c r="E5" s="51" t="s">
        <v>750</v>
      </c>
      <c r="F5" s="42" t="s">
        <v>785</v>
      </c>
      <c r="G5" s="42" t="s">
        <v>805</v>
      </c>
      <c r="H5" s="43" t="s">
        <v>806</v>
      </c>
      <c r="I5" s="46">
        <v>1</v>
      </c>
      <c r="J5" s="42" t="s">
        <v>814</v>
      </c>
      <c r="K5" s="24" t="s">
        <v>90</v>
      </c>
      <c r="L5" s="1"/>
      <c r="M5" s="7" t="s">
        <v>53</v>
      </c>
      <c r="N5" s="7" t="s">
        <v>38</v>
      </c>
      <c r="O5" s="7"/>
      <c r="P5" s="7"/>
      <c r="Q5" s="8"/>
      <c r="R5" s="8"/>
    </row>
    <row r="6" spans="1:18" s="3" customFormat="1" ht="60" x14ac:dyDescent="0.25">
      <c r="A6" s="2" t="s">
        <v>39</v>
      </c>
      <c r="B6" s="51" t="s">
        <v>768</v>
      </c>
      <c r="C6" s="51" t="s">
        <v>407</v>
      </c>
      <c r="D6" s="51" t="s">
        <v>498</v>
      </c>
      <c r="E6" s="51" t="s">
        <v>750</v>
      </c>
      <c r="F6" s="42" t="s">
        <v>787</v>
      </c>
      <c r="G6" s="42" t="s">
        <v>805</v>
      </c>
      <c r="H6" s="42" t="s">
        <v>854</v>
      </c>
      <c r="I6" s="46">
        <v>2</v>
      </c>
      <c r="J6" s="42" t="s">
        <v>855</v>
      </c>
      <c r="K6" s="24" t="s">
        <v>90</v>
      </c>
      <c r="L6" s="1"/>
      <c r="M6" s="7" t="s">
        <v>53</v>
      </c>
      <c r="N6" s="7" t="s">
        <v>40</v>
      </c>
      <c r="O6" s="7"/>
      <c r="P6" s="7"/>
      <c r="Q6" s="8"/>
      <c r="R6" s="8"/>
    </row>
    <row r="7" spans="1:18" s="3" customFormat="1" ht="60" x14ac:dyDescent="0.25">
      <c r="A7" s="2" t="s">
        <v>11</v>
      </c>
      <c r="B7" s="51" t="s">
        <v>768</v>
      </c>
      <c r="C7" s="51" t="s">
        <v>407</v>
      </c>
      <c r="D7" s="51" t="s">
        <v>498</v>
      </c>
      <c r="E7" s="51" t="s">
        <v>750</v>
      </c>
      <c r="F7" s="42" t="s">
        <v>787</v>
      </c>
      <c r="G7" s="42" t="s">
        <v>805</v>
      </c>
      <c r="H7" s="42" t="s">
        <v>854</v>
      </c>
      <c r="I7" s="46">
        <v>2</v>
      </c>
      <c r="J7" s="42" t="s">
        <v>855</v>
      </c>
      <c r="K7" s="24" t="s">
        <v>90</v>
      </c>
      <c r="L7" s="1"/>
      <c r="M7" s="9" t="s">
        <v>15</v>
      </c>
      <c r="N7" s="7" t="s">
        <v>25</v>
      </c>
      <c r="O7" s="7"/>
      <c r="P7" s="7"/>
      <c r="Q7" s="8"/>
      <c r="R7" s="8"/>
    </row>
    <row r="8" spans="1:18" s="3" customFormat="1" ht="90" x14ac:dyDescent="0.25">
      <c r="A8" s="2" t="s">
        <v>18</v>
      </c>
      <c r="B8" s="51" t="s">
        <v>768</v>
      </c>
      <c r="C8" s="51" t="s">
        <v>407</v>
      </c>
      <c r="D8" s="51" t="s">
        <v>498</v>
      </c>
      <c r="E8" s="51" t="s">
        <v>750</v>
      </c>
      <c r="F8" s="42" t="s">
        <v>787</v>
      </c>
      <c r="G8" s="45" t="s">
        <v>807</v>
      </c>
      <c r="H8" s="42" t="s">
        <v>816</v>
      </c>
      <c r="I8" s="46">
        <v>1</v>
      </c>
      <c r="J8" s="76" t="s">
        <v>815</v>
      </c>
      <c r="K8" s="24" t="s">
        <v>90</v>
      </c>
      <c r="L8" s="1"/>
      <c r="M8" s="9" t="s">
        <v>53</v>
      </c>
      <c r="N8" s="7" t="s">
        <v>26</v>
      </c>
      <c r="O8" s="7"/>
      <c r="P8" s="7"/>
      <c r="Q8" s="8"/>
      <c r="R8" s="8"/>
    </row>
    <row r="9" spans="1:18" s="3" customFormat="1" ht="90" x14ac:dyDescent="0.25">
      <c r="A9" s="2" t="s">
        <v>782</v>
      </c>
      <c r="B9" s="51" t="s">
        <v>768</v>
      </c>
      <c r="C9" s="51" t="s">
        <v>407</v>
      </c>
      <c r="D9" s="51" t="s">
        <v>498</v>
      </c>
      <c r="E9" s="51" t="s">
        <v>750</v>
      </c>
      <c r="F9" s="42" t="s">
        <v>787</v>
      </c>
      <c r="G9" s="42" t="s">
        <v>805</v>
      </c>
      <c r="H9" s="42" t="s">
        <v>783</v>
      </c>
      <c r="I9" s="46">
        <v>2</v>
      </c>
      <c r="J9" s="45" t="s">
        <v>856</v>
      </c>
      <c r="K9" s="24" t="s">
        <v>90</v>
      </c>
      <c r="L9" s="1" t="s">
        <v>881</v>
      </c>
      <c r="M9" s="9" t="s">
        <v>53</v>
      </c>
      <c r="N9" s="7" t="s">
        <v>27</v>
      </c>
      <c r="O9" s="7"/>
      <c r="P9" s="7"/>
      <c r="Q9" s="8"/>
      <c r="R9" s="8"/>
    </row>
    <row r="10" spans="1:18" s="3" customFormat="1" ht="90" x14ac:dyDescent="0.25">
      <c r="A10" s="2" t="s">
        <v>16</v>
      </c>
      <c r="B10" s="51" t="s">
        <v>768</v>
      </c>
      <c r="C10" s="51" t="s">
        <v>407</v>
      </c>
      <c r="D10" s="51" t="s">
        <v>498</v>
      </c>
      <c r="E10" s="51" t="s">
        <v>750</v>
      </c>
      <c r="F10" s="42" t="s">
        <v>785</v>
      </c>
      <c r="G10" s="45" t="s">
        <v>813</v>
      </c>
      <c r="H10" s="42" t="s">
        <v>768</v>
      </c>
      <c r="I10" s="46" t="s">
        <v>768</v>
      </c>
      <c r="J10" s="42" t="s">
        <v>801</v>
      </c>
      <c r="K10" s="24" t="s">
        <v>780</v>
      </c>
      <c r="L10" s="1"/>
      <c r="M10" s="9" t="s">
        <v>53</v>
      </c>
      <c r="N10" s="7" t="s">
        <v>28</v>
      </c>
      <c r="O10" s="7"/>
      <c r="P10" s="7"/>
      <c r="Q10" s="8"/>
      <c r="R10" s="8"/>
    </row>
    <row r="11" spans="1:18" s="3" customFormat="1" ht="396" customHeight="1" x14ac:dyDescent="0.25">
      <c r="A11" s="2" t="s">
        <v>1</v>
      </c>
      <c r="B11" s="51" t="s">
        <v>768</v>
      </c>
      <c r="C11" s="51" t="s">
        <v>407</v>
      </c>
      <c r="D11" s="51" t="s">
        <v>498</v>
      </c>
      <c r="E11" s="51" t="s">
        <v>750</v>
      </c>
      <c r="F11" s="42" t="s">
        <v>906</v>
      </c>
      <c r="G11" s="45" t="s">
        <v>811</v>
      </c>
      <c r="H11" s="42" t="s">
        <v>907</v>
      </c>
      <c r="I11" s="46">
        <v>6</v>
      </c>
      <c r="J11" s="45" t="s">
        <v>909</v>
      </c>
      <c r="K11" s="24" t="s">
        <v>90</v>
      </c>
      <c r="L11" s="1" t="s">
        <v>908</v>
      </c>
      <c r="M11" s="9" t="s">
        <v>53</v>
      </c>
      <c r="N11" s="7" t="s">
        <v>45</v>
      </c>
      <c r="O11" s="7" t="s">
        <v>65</v>
      </c>
      <c r="P11" s="7"/>
      <c r="Q11" s="8" t="s">
        <v>75</v>
      </c>
      <c r="R11" s="8"/>
    </row>
    <row r="12" spans="1:18" s="3" customFormat="1" ht="165" x14ac:dyDescent="0.25">
      <c r="A12" s="2" t="s">
        <v>775</v>
      </c>
      <c r="B12" s="51" t="s">
        <v>768</v>
      </c>
      <c r="C12" s="51" t="s">
        <v>407</v>
      </c>
      <c r="D12" s="51" t="s">
        <v>498</v>
      </c>
      <c r="E12" s="51" t="s">
        <v>750</v>
      </c>
      <c r="F12" s="42" t="s">
        <v>790</v>
      </c>
      <c r="G12" s="42" t="s">
        <v>808</v>
      </c>
      <c r="H12" s="42" t="s">
        <v>796</v>
      </c>
      <c r="I12" s="46">
        <v>4</v>
      </c>
      <c r="J12" s="45" t="s">
        <v>857</v>
      </c>
      <c r="K12" s="24" t="s">
        <v>90</v>
      </c>
      <c r="L12" s="1" t="s">
        <v>882</v>
      </c>
      <c r="M12" s="9" t="s">
        <v>53</v>
      </c>
      <c r="N12" s="7" t="s">
        <v>29</v>
      </c>
      <c r="O12" s="7" t="s">
        <v>55</v>
      </c>
      <c r="P12" s="7"/>
      <c r="Q12" s="8" t="s">
        <v>76</v>
      </c>
      <c r="R12" s="8" t="s">
        <v>81</v>
      </c>
    </row>
    <row r="13" spans="1:18" s="3" customFormat="1" ht="105" x14ac:dyDescent="0.25">
      <c r="A13" s="2" t="s">
        <v>47</v>
      </c>
      <c r="B13" s="51" t="s">
        <v>768</v>
      </c>
      <c r="C13" s="51" t="s">
        <v>407</v>
      </c>
      <c r="D13" s="51" t="s">
        <v>498</v>
      </c>
      <c r="E13" s="51" t="s">
        <v>750</v>
      </c>
      <c r="F13" s="42" t="s">
        <v>790</v>
      </c>
      <c r="G13" s="45" t="s">
        <v>813</v>
      </c>
      <c r="H13" s="42" t="s">
        <v>883</v>
      </c>
      <c r="I13" s="46">
        <v>5</v>
      </c>
      <c r="J13" s="42" t="s">
        <v>903</v>
      </c>
      <c r="K13" s="24" t="s">
        <v>91</v>
      </c>
      <c r="L13" s="74" t="s">
        <v>884</v>
      </c>
      <c r="M13" s="9" t="s">
        <v>53</v>
      </c>
      <c r="N13" s="7" t="s">
        <v>48</v>
      </c>
      <c r="O13" s="7"/>
      <c r="P13" s="7"/>
      <c r="Q13" s="8" t="s">
        <v>77</v>
      </c>
      <c r="R13" s="8"/>
    </row>
    <row r="14" spans="1:18" s="3" customFormat="1" ht="90" x14ac:dyDescent="0.25">
      <c r="A14" s="2" t="s">
        <v>19</v>
      </c>
      <c r="B14" s="51" t="s">
        <v>768</v>
      </c>
      <c r="C14" s="51" t="s">
        <v>407</v>
      </c>
      <c r="D14" s="51" t="s">
        <v>498</v>
      </c>
      <c r="E14" s="51" t="s">
        <v>750</v>
      </c>
      <c r="F14" s="42" t="s">
        <v>790</v>
      </c>
      <c r="G14" s="45" t="s">
        <v>813</v>
      </c>
      <c r="H14" s="42" t="s">
        <v>802</v>
      </c>
      <c r="I14" s="46" t="s">
        <v>802</v>
      </c>
      <c r="J14" s="45" t="s">
        <v>869</v>
      </c>
      <c r="K14" s="24" t="s">
        <v>780</v>
      </c>
      <c r="L14" s="1"/>
      <c r="M14" s="9" t="s">
        <v>53</v>
      </c>
      <c r="N14" s="7" t="s">
        <v>49</v>
      </c>
      <c r="O14" s="7" t="s">
        <v>56</v>
      </c>
      <c r="P14" s="7"/>
      <c r="Q14" s="8" t="s">
        <v>78</v>
      </c>
      <c r="R14" s="8"/>
    </row>
    <row r="15" spans="1:18" s="3" customFormat="1" ht="90" x14ac:dyDescent="0.25">
      <c r="A15" s="2" t="s">
        <v>50</v>
      </c>
      <c r="B15" s="51" t="s">
        <v>768</v>
      </c>
      <c r="C15" s="51" t="s">
        <v>407</v>
      </c>
      <c r="D15" s="51" t="s">
        <v>498</v>
      </c>
      <c r="E15" s="51" t="s">
        <v>750</v>
      </c>
      <c r="F15" s="42" t="s">
        <v>791</v>
      </c>
      <c r="G15" s="45" t="s">
        <v>813</v>
      </c>
      <c r="H15" s="42" t="s">
        <v>793</v>
      </c>
      <c r="I15" s="46">
        <v>1</v>
      </c>
      <c r="J15" s="42" t="s">
        <v>870</v>
      </c>
      <c r="K15" s="24" t="s">
        <v>90</v>
      </c>
      <c r="L15" s="1"/>
      <c r="M15" s="9" t="s">
        <v>53</v>
      </c>
      <c r="N15" s="7" t="s">
        <v>51</v>
      </c>
      <c r="O15" s="7"/>
      <c r="P15" s="7"/>
      <c r="Q15" s="14"/>
      <c r="R15" s="8"/>
    </row>
    <row r="16" spans="1:18" s="3" customFormat="1" ht="90" x14ac:dyDescent="0.25">
      <c r="A16" s="2" t="s">
        <v>20</v>
      </c>
      <c r="B16" s="51" t="s">
        <v>768</v>
      </c>
      <c r="C16" s="51" t="s">
        <v>407</v>
      </c>
      <c r="D16" s="51" t="s">
        <v>498</v>
      </c>
      <c r="E16" s="51" t="s">
        <v>750</v>
      </c>
      <c r="F16" s="42" t="s">
        <v>790</v>
      </c>
      <c r="G16" s="45" t="s">
        <v>813</v>
      </c>
      <c r="H16" s="42" t="s">
        <v>872</v>
      </c>
      <c r="I16" s="46">
        <v>5</v>
      </c>
      <c r="J16" s="42" t="s">
        <v>871</v>
      </c>
      <c r="K16" s="24" t="s">
        <v>90</v>
      </c>
      <c r="L16" s="1"/>
      <c r="M16" s="9" t="s">
        <v>53</v>
      </c>
      <c r="N16" s="7" t="s">
        <v>30</v>
      </c>
      <c r="O16" s="6"/>
      <c r="P16" s="6"/>
      <c r="Q16" s="15" t="s">
        <v>79</v>
      </c>
      <c r="R16" s="8"/>
    </row>
    <row r="17" spans="1:18" s="3" customFormat="1" ht="135" x14ac:dyDescent="0.25">
      <c r="A17" s="2" t="s">
        <v>41</v>
      </c>
      <c r="B17" s="51" t="s">
        <v>768</v>
      </c>
      <c r="C17" s="51" t="s">
        <v>407</v>
      </c>
      <c r="D17" s="51" t="s">
        <v>498</v>
      </c>
      <c r="E17" s="51" t="s">
        <v>750</v>
      </c>
      <c r="F17" s="42" t="s">
        <v>792</v>
      </c>
      <c r="G17" s="42" t="s">
        <v>794</v>
      </c>
      <c r="H17" s="42" t="s">
        <v>873</v>
      </c>
      <c r="I17" s="46">
        <v>0</v>
      </c>
      <c r="J17" s="42" t="s">
        <v>788</v>
      </c>
      <c r="K17" s="24" t="s">
        <v>90</v>
      </c>
      <c r="L17" s="1"/>
      <c r="M17" s="11" t="s">
        <v>15</v>
      </c>
      <c r="N17" s="6" t="s">
        <v>31</v>
      </c>
      <c r="O17" s="6" t="s">
        <v>58</v>
      </c>
      <c r="P17" s="6"/>
      <c r="Q17" s="8"/>
      <c r="R17" s="8"/>
    </row>
    <row r="18" spans="1:18" s="3" customFormat="1" ht="135" x14ac:dyDescent="0.25">
      <c r="A18" s="2" t="s">
        <v>42</v>
      </c>
      <c r="B18" s="51" t="s">
        <v>768</v>
      </c>
      <c r="C18" s="51" t="s">
        <v>407</v>
      </c>
      <c r="D18" s="51" t="s">
        <v>498</v>
      </c>
      <c r="E18" s="51" t="s">
        <v>750</v>
      </c>
      <c r="F18" s="42" t="s">
        <v>786</v>
      </c>
      <c r="G18" s="42" t="s">
        <v>809</v>
      </c>
      <c r="H18" s="42" t="s">
        <v>784</v>
      </c>
      <c r="I18" s="46">
        <v>0</v>
      </c>
      <c r="J18" s="71" t="s">
        <v>795</v>
      </c>
      <c r="K18" s="24" t="s">
        <v>90</v>
      </c>
      <c r="L18" s="1"/>
      <c r="M18" s="9" t="s">
        <v>53</v>
      </c>
      <c r="N18" s="6" t="s">
        <v>31</v>
      </c>
      <c r="O18" s="6" t="s">
        <v>58</v>
      </c>
      <c r="P18" s="6"/>
      <c r="Q18" s="8"/>
      <c r="R18" s="8"/>
    </row>
    <row r="19" spans="1:18" s="3" customFormat="1" ht="90" x14ac:dyDescent="0.25">
      <c r="A19" s="2" t="s">
        <v>2</v>
      </c>
      <c r="B19" s="51" t="s">
        <v>768</v>
      </c>
      <c r="C19" s="51" t="s">
        <v>407</v>
      </c>
      <c r="D19" s="51" t="s">
        <v>498</v>
      </c>
      <c r="E19" s="51" t="s">
        <v>750</v>
      </c>
      <c r="F19" s="42" t="s">
        <v>792</v>
      </c>
      <c r="G19" s="45" t="s">
        <v>813</v>
      </c>
      <c r="H19" s="42" t="s">
        <v>885</v>
      </c>
      <c r="I19" s="46">
        <v>0</v>
      </c>
      <c r="J19" s="42"/>
      <c r="K19" s="24" t="s">
        <v>90</v>
      </c>
      <c r="L19" s="1" t="s">
        <v>886</v>
      </c>
      <c r="M19" s="9" t="s">
        <v>53</v>
      </c>
      <c r="N19" s="7" t="s">
        <v>46</v>
      </c>
      <c r="O19" s="7" t="s">
        <v>55</v>
      </c>
      <c r="P19" s="7"/>
      <c r="Q19" s="8" t="s">
        <v>80</v>
      </c>
      <c r="R19" s="8"/>
    </row>
    <row r="20" spans="1:18" s="3" customFormat="1" ht="45" x14ac:dyDescent="0.25">
      <c r="A20" s="2" t="s">
        <v>6</v>
      </c>
      <c r="B20" s="51" t="s">
        <v>768</v>
      </c>
      <c r="C20" s="51" t="s">
        <v>407</v>
      </c>
      <c r="D20" s="51" t="s">
        <v>498</v>
      </c>
      <c r="E20" s="51" t="s">
        <v>750</v>
      </c>
      <c r="F20" s="42" t="s">
        <v>790</v>
      </c>
      <c r="G20" s="42" t="s">
        <v>810</v>
      </c>
      <c r="H20" s="42" t="s">
        <v>797</v>
      </c>
      <c r="I20" s="46">
        <v>0</v>
      </c>
      <c r="J20" s="42" t="s">
        <v>866</v>
      </c>
      <c r="K20" s="24" t="s">
        <v>90</v>
      </c>
      <c r="L20" s="1"/>
      <c r="M20" s="11" t="s">
        <v>15</v>
      </c>
      <c r="N20" s="7" t="s">
        <v>24</v>
      </c>
      <c r="O20" s="7"/>
      <c r="P20" s="7"/>
      <c r="Q20" s="8"/>
      <c r="R20" s="8"/>
    </row>
    <row r="21" spans="1:18" s="3" customFormat="1" ht="90" x14ac:dyDescent="0.25">
      <c r="A21" s="2" t="s">
        <v>3</v>
      </c>
      <c r="B21" s="51" t="s">
        <v>768</v>
      </c>
      <c r="C21" s="51" t="s">
        <v>407</v>
      </c>
      <c r="D21" s="51" t="s">
        <v>498</v>
      </c>
      <c r="E21" s="51" t="s">
        <v>750</v>
      </c>
      <c r="F21" s="42" t="s">
        <v>790</v>
      </c>
      <c r="G21" s="45" t="s">
        <v>813</v>
      </c>
      <c r="H21" s="42" t="s">
        <v>868</v>
      </c>
      <c r="I21" s="46">
        <v>0</v>
      </c>
      <c r="J21" s="45" t="s">
        <v>867</v>
      </c>
      <c r="K21" s="24" t="s">
        <v>90</v>
      </c>
      <c r="L21" s="1"/>
      <c r="M21" s="11" t="s">
        <v>15</v>
      </c>
      <c r="N21" s="7" t="s">
        <v>21</v>
      </c>
      <c r="O21" s="7"/>
      <c r="P21" s="7"/>
      <c r="Q21" s="8"/>
      <c r="R21" s="8"/>
    </row>
    <row r="22" spans="1:18" s="3" customFormat="1" ht="120" x14ac:dyDescent="0.25">
      <c r="A22" s="2" t="s">
        <v>5</v>
      </c>
      <c r="B22" s="51" t="s">
        <v>768</v>
      </c>
      <c r="C22" s="51" t="s">
        <v>407</v>
      </c>
      <c r="D22" s="51" t="s">
        <v>498</v>
      </c>
      <c r="E22" s="51" t="s">
        <v>750</v>
      </c>
      <c r="F22" s="42" t="s">
        <v>792</v>
      </c>
      <c r="G22" s="45" t="s">
        <v>813</v>
      </c>
      <c r="H22" s="42" t="s">
        <v>859</v>
      </c>
      <c r="I22" s="46">
        <v>2</v>
      </c>
      <c r="J22" s="45" t="s">
        <v>860</v>
      </c>
      <c r="K22" s="24" t="s">
        <v>90</v>
      </c>
      <c r="L22" s="1"/>
      <c r="M22" s="9" t="s">
        <v>53</v>
      </c>
      <c r="N22" s="6" t="s">
        <v>32</v>
      </c>
      <c r="O22" s="6"/>
      <c r="P22" s="6"/>
      <c r="Q22" s="8"/>
      <c r="R22" s="8"/>
    </row>
    <row r="23" spans="1:18" s="3" customFormat="1" ht="90" x14ac:dyDescent="0.25">
      <c r="A23" s="2" t="s">
        <v>0</v>
      </c>
      <c r="B23" s="51" t="s">
        <v>768</v>
      </c>
      <c r="C23" s="51" t="s">
        <v>407</v>
      </c>
      <c r="D23" s="51" t="s">
        <v>498</v>
      </c>
      <c r="E23" s="51" t="s">
        <v>750</v>
      </c>
      <c r="F23" s="42" t="s">
        <v>792</v>
      </c>
      <c r="G23" s="45" t="s">
        <v>813</v>
      </c>
      <c r="H23" s="44" t="s">
        <v>768</v>
      </c>
      <c r="I23" s="46" t="s">
        <v>768</v>
      </c>
      <c r="J23" s="42" t="s">
        <v>789</v>
      </c>
      <c r="K23" s="24" t="s">
        <v>779</v>
      </c>
      <c r="L23" s="1"/>
      <c r="M23" s="11" t="s">
        <v>15</v>
      </c>
      <c r="N23" s="7" t="s">
        <v>33</v>
      </c>
      <c r="O23" s="7" t="s">
        <v>57</v>
      </c>
      <c r="P23" s="7"/>
      <c r="Q23" s="8"/>
      <c r="R23" s="8"/>
    </row>
    <row r="24" spans="1:18" s="3" customFormat="1" ht="45" x14ac:dyDescent="0.25">
      <c r="A24" s="2" t="s">
        <v>4</v>
      </c>
      <c r="B24" s="51" t="s">
        <v>768</v>
      </c>
      <c r="C24" s="51" t="s">
        <v>407</v>
      </c>
      <c r="D24" s="51" t="s">
        <v>498</v>
      </c>
      <c r="E24" s="51" t="s">
        <v>750</v>
      </c>
      <c r="F24" s="42" t="s">
        <v>792</v>
      </c>
      <c r="G24" s="45" t="s">
        <v>804</v>
      </c>
      <c r="H24" s="45" t="s">
        <v>861</v>
      </c>
      <c r="I24" s="46">
        <v>1</v>
      </c>
      <c r="J24" s="42"/>
      <c r="K24" s="24" t="s">
        <v>90</v>
      </c>
      <c r="L24" s="1"/>
      <c r="M24" s="11" t="s">
        <v>15</v>
      </c>
      <c r="N24" s="7" t="s">
        <v>34</v>
      </c>
      <c r="O24" s="7"/>
      <c r="P24" s="7"/>
      <c r="Q24" s="8"/>
      <c r="R24" s="8"/>
    </row>
    <row r="25" spans="1:18" s="3" customFormat="1" ht="90" x14ac:dyDescent="0.25">
      <c r="A25" s="2" t="s">
        <v>776</v>
      </c>
      <c r="B25" s="51" t="s">
        <v>768</v>
      </c>
      <c r="C25" s="51" t="s">
        <v>407</v>
      </c>
      <c r="D25" s="51" t="s">
        <v>498</v>
      </c>
      <c r="E25" s="51" t="s">
        <v>750</v>
      </c>
      <c r="F25" s="42" t="s">
        <v>792</v>
      </c>
      <c r="G25" s="45" t="s">
        <v>813</v>
      </c>
      <c r="H25" s="45" t="s">
        <v>858</v>
      </c>
      <c r="I25" s="46">
        <v>1</v>
      </c>
      <c r="J25" s="42"/>
      <c r="K25" s="24" t="s">
        <v>90</v>
      </c>
      <c r="L25" s="1"/>
      <c r="M25" s="9" t="s">
        <v>53</v>
      </c>
      <c r="N25" s="6" t="s">
        <v>35</v>
      </c>
      <c r="O25" s="6"/>
      <c r="P25" s="6"/>
      <c r="Q25" s="8"/>
      <c r="R25" s="8"/>
    </row>
    <row r="26" spans="1:18" s="3" customFormat="1" ht="47.25" x14ac:dyDescent="0.25">
      <c r="A26" s="2" t="s">
        <v>59</v>
      </c>
      <c r="B26" s="51" t="s">
        <v>768</v>
      </c>
      <c r="C26" s="51" t="s">
        <v>407</v>
      </c>
      <c r="D26" s="51" t="s">
        <v>498</v>
      </c>
      <c r="E26" s="51" t="s">
        <v>750</v>
      </c>
      <c r="F26" s="44" t="s">
        <v>768</v>
      </c>
      <c r="G26" s="44" t="s">
        <v>768</v>
      </c>
      <c r="H26" s="44" t="s">
        <v>768</v>
      </c>
      <c r="I26" s="46" t="s">
        <v>768</v>
      </c>
      <c r="J26" s="42" t="s">
        <v>812</v>
      </c>
      <c r="K26" s="24" t="s">
        <v>780</v>
      </c>
      <c r="L26" s="1"/>
      <c r="M26" s="6"/>
      <c r="N26" s="6"/>
      <c r="O26" s="6" t="s">
        <v>60</v>
      </c>
      <c r="P26" s="6"/>
      <c r="Q26" s="8"/>
      <c r="R26" s="8"/>
    </row>
    <row r="27" spans="1:18" s="3" customFormat="1" ht="47.25" x14ac:dyDescent="0.25">
      <c r="A27" s="2" t="s">
        <v>62</v>
      </c>
      <c r="B27" s="51" t="s">
        <v>768</v>
      </c>
      <c r="C27" s="51" t="s">
        <v>407</v>
      </c>
      <c r="D27" s="51" t="s">
        <v>498</v>
      </c>
      <c r="E27" s="51" t="s">
        <v>750</v>
      </c>
      <c r="F27" s="44" t="s">
        <v>768</v>
      </c>
      <c r="G27" s="44" t="s">
        <v>768</v>
      </c>
      <c r="H27" s="44" t="s">
        <v>768</v>
      </c>
      <c r="I27" s="46" t="s">
        <v>768</v>
      </c>
      <c r="J27" s="42" t="s">
        <v>812</v>
      </c>
      <c r="K27" s="24" t="s">
        <v>780</v>
      </c>
      <c r="L27" s="1"/>
      <c r="M27" s="6"/>
      <c r="N27" s="6"/>
      <c r="O27" s="6" t="s">
        <v>63</v>
      </c>
      <c r="P27" s="6"/>
      <c r="Q27" s="8"/>
      <c r="R27" s="8"/>
    </row>
    <row r="28" spans="1:18" s="3" customFormat="1" ht="45" x14ac:dyDescent="0.25">
      <c r="A28" s="2" t="s">
        <v>64</v>
      </c>
      <c r="B28" s="51" t="s">
        <v>768</v>
      </c>
      <c r="C28" s="51" t="s">
        <v>407</v>
      </c>
      <c r="D28" s="51" t="s">
        <v>498</v>
      </c>
      <c r="E28" s="51" t="s">
        <v>750</v>
      </c>
      <c r="F28" s="46" t="s">
        <v>802</v>
      </c>
      <c r="G28" s="46" t="s">
        <v>802</v>
      </c>
      <c r="H28" s="46" t="s">
        <v>802</v>
      </c>
      <c r="I28" s="46" t="s">
        <v>802</v>
      </c>
      <c r="J28" s="42" t="s">
        <v>803</v>
      </c>
      <c r="K28" s="24" t="s">
        <v>780</v>
      </c>
      <c r="L28" s="1"/>
      <c r="O28" s="6"/>
      <c r="P28" s="12" t="s">
        <v>66</v>
      </c>
      <c r="Q28" s="8"/>
      <c r="R28" s="8"/>
    </row>
    <row r="29" spans="1:18" s="3" customFormat="1" ht="31.5" x14ac:dyDescent="0.25">
      <c r="A29" s="2" t="s">
        <v>68</v>
      </c>
      <c r="B29" s="51" t="s">
        <v>768</v>
      </c>
      <c r="C29" s="51" t="s">
        <v>407</v>
      </c>
      <c r="D29" s="51" t="s">
        <v>498</v>
      </c>
      <c r="E29" s="51" t="s">
        <v>750</v>
      </c>
      <c r="F29" s="46" t="s">
        <v>802</v>
      </c>
      <c r="G29" s="46" t="s">
        <v>802</v>
      </c>
      <c r="H29" s="46" t="s">
        <v>802</v>
      </c>
      <c r="I29" s="46" t="s">
        <v>802</v>
      </c>
      <c r="J29" s="42" t="s">
        <v>803</v>
      </c>
      <c r="K29" s="24" t="s">
        <v>780</v>
      </c>
      <c r="L29" s="1"/>
      <c r="O29" s="6"/>
      <c r="P29" s="3" t="s">
        <v>69</v>
      </c>
      <c r="Q29" s="8"/>
      <c r="R29" s="8"/>
    </row>
    <row r="30" spans="1:18" s="3" customFormat="1" ht="402" customHeight="1" x14ac:dyDescent="0.25">
      <c r="A30" s="2" t="s">
        <v>67</v>
      </c>
      <c r="B30" s="51" t="s">
        <v>768</v>
      </c>
      <c r="C30" s="51" t="s">
        <v>407</v>
      </c>
      <c r="D30" s="51" t="s">
        <v>498</v>
      </c>
      <c r="E30" s="51" t="s">
        <v>750</v>
      </c>
      <c r="F30" s="42" t="s">
        <v>896</v>
      </c>
      <c r="G30" s="45" t="s">
        <v>813</v>
      </c>
      <c r="H30" s="45" t="s">
        <v>901</v>
      </c>
      <c r="I30" s="46">
        <v>5</v>
      </c>
      <c r="J30" s="45"/>
      <c r="K30" s="24" t="s">
        <v>90</v>
      </c>
      <c r="L30" s="45"/>
      <c r="M30" s="9" t="s">
        <v>53</v>
      </c>
      <c r="N30" s="7" t="s">
        <v>765</v>
      </c>
      <c r="O30" s="7" t="s">
        <v>61</v>
      </c>
      <c r="P30" s="6" t="s">
        <v>70</v>
      </c>
      <c r="Q30" s="16" t="s">
        <v>82</v>
      </c>
      <c r="R30" s="17" t="s">
        <v>83</v>
      </c>
    </row>
    <row r="31" spans="1:18" s="3" customFormat="1" ht="326.25" customHeight="1" x14ac:dyDescent="0.25">
      <c r="A31" s="2" t="s">
        <v>67</v>
      </c>
      <c r="B31" s="51" t="s">
        <v>768</v>
      </c>
      <c r="C31" s="51" t="s">
        <v>407</v>
      </c>
      <c r="D31" s="51" t="s">
        <v>498</v>
      </c>
      <c r="E31" s="51" t="s">
        <v>750</v>
      </c>
      <c r="F31" s="42" t="s">
        <v>893</v>
      </c>
      <c r="G31" s="45" t="s">
        <v>813</v>
      </c>
      <c r="H31" s="45" t="s">
        <v>894</v>
      </c>
      <c r="I31" s="46">
        <v>7</v>
      </c>
      <c r="J31" s="45" t="s">
        <v>888</v>
      </c>
      <c r="K31" s="24" t="s">
        <v>90</v>
      </c>
      <c r="L31" s="45"/>
      <c r="M31" s="9" t="s">
        <v>53</v>
      </c>
      <c r="N31" s="7" t="s">
        <v>765</v>
      </c>
      <c r="O31" s="7" t="s">
        <v>61</v>
      </c>
      <c r="P31" s="6" t="s">
        <v>70</v>
      </c>
      <c r="Q31" s="16" t="s">
        <v>82</v>
      </c>
      <c r="R31" s="17" t="s">
        <v>83</v>
      </c>
    </row>
    <row r="32" spans="1:18" s="3" customFormat="1" ht="208.5" customHeight="1" x14ac:dyDescent="0.25">
      <c r="A32" s="2" t="s">
        <v>67</v>
      </c>
      <c r="B32" s="51" t="s">
        <v>768</v>
      </c>
      <c r="C32" s="51" t="s">
        <v>407</v>
      </c>
      <c r="D32" s="51" t="s">
        <v>498</v>
      </c>
      <c r="E32" s="51" t="s">
        <v>750</v>
      </c>
      <c r="F32" s="42" t="s">
        <v>897</v>
      </c>
      <c r="G32" s="45" t="s">
        <v>813</v>
      </c>
      <c r="H32" s="45" t="s">
        <v>899</v>
      </c>
      <c r="I32" s="46">
        <v>4</v>
      </c>
      <c r="J32" s="45"/>
      <c r="K32" s="24" t="s">
        <v>90</v>
      </c>
      <c r="L32" s="45" t="s">
        <v>904</v>
      </c>
      <c r="M32" s="9" t="s">
        <v>53</v>
      </c>
      <c r="N32" s="7" t="s">
        <v>765</v>
      </c>
      <c r="O32" s="7" t="s">
        <v>61</v>
      </c>
      <c r="P32" s="6" t="s">
        <v>70</v>
      </c>
      <c r="Q32" s="16" t="s">
        <v>82</v>
      </c>
      <c r="R32" s="17" t="s">
        <v>83</v>
      </c>
    </row>
    <row r="33" spans="1:18" s="3" customFormat="1" ht="266.25" customHeight="1" x14ac:dyDescent="0.25">
      <c r="A33" s="2" t="s">
        <v>67</v>
      </c>
      <c r="B33" s="51" t="s">
        <v>768</v>
      </c>
      <c r="C33" s="51" t="s">
        <v>407</v>
      </c>
      <c r="D33" s="51" t="s">
        <v>498</v>
      </c>
      <c r="E33" s="51" t="s">
        <v>750</v>
      </c>
      <c r="F33" s="42" t="s">
        <v>898</v>
      </c>
      <c r="G33" s="45" t="s">
        <v>813</v>
      </c>
      <c r="H33" s="45" t="s">
        <v>900</v>
      </c>
      <c r="I33" s="46">
        <v>4</v>
      </c>
      <c r="J33" s="45"/>
      <c r="K33" s="24" t="s">
        <v>90</v>
      </c>
      <c r="L33" s="45" t="s">
        <v>905</v>
      </c>
      <c r="M33" s="9" t="s">
        <v>53</v>
      </c>
      <c r="N33" s="7" t="s">
        <v>765</v>
      </c>
      <c r="O33" s="7" t="s">
        <v>61</v>
      </c>
      <c r="P33" s="6" t="s">
        <v>70</v>
      </c>
      <c r="Q33" s="16" t="s">
        <v>82</v>
      </c>
      <c r="R33" s="17" t="s">
        <v>83</v>
      </c>
    </row>
    <row r="34" spans="1:18" x14ac:dyDescent="0.25">
      <c r="Q34" s="13"/>
      <c r="R34" s="13"/>
    </row>
    <row r="35" spans="1:18" x14ac:dyDescent="0.25">
      <c r="Q35" s="13"/>
      <c r="R35" s="13"/>
    </row>
    <row r="36" spans="1:18" x14ac:dyDescent="0.25">
      <c r="Q36" s="13"/>
      <c r="R36" s="13"/>
    </row>
    <row r="37" spans="1:18" x14ac:dyDescent="0.25">
      <c r="Q37" s="13"/>
      <c r="R37" s="13"/>
    </row>
    <row r="38" spans="1:18" x14ac:dyDescent="0.25">
      <c r="Q38" s="13"/>
      <c r="R38" s="13"/>
    </row>
    <row r="39" spans="1:18" x14ac:dyDescent="0.25">
      <c r="Q39" s="13"/>
      <c r="R39" s="13"/>
    </row>
    <row r="40" spans="1:18" x14ac:dyDescent="0.25">
      <c r="Q40" s="13"/>
      <c r="R40" s="13"/>
    </row>
    <row r="41" spans="1:18" x14ac:dyDescent="0.25">
      <c r="Q41" s="13"/>
      <c r="R41" s="13"/>
    </row>
    <row r="42" spans="1:18" x14ac:dyDescent="0.25">
      <c r="Q42" s="13"/>
      <c r="R42" s="13"/>
    </row>
    <row r="43" spans="1:18" x14ac:dyDescent="0.25">
      <c r="Q43" s="13"/>
      <c r="R43" s="13"/>
    </row>
  </sheetData>
  <conditionalFormatting sqref="F30 F3:F24">
    <cfRule type="expression" dxfId="134" priority="296">
      <formula>COUNTBLANK($F3)</formula>
    </cfRule>
  </conditionalFormatting>
  <conditionalFormatting sqref="H4:H14 I4:I11 I13:I23 H17:H22 G31 I26:I29 I31">
    <cfRule type="expression" dxfId="133" priority="285">
      <formula>COUNTBLANK($H4)</formula>
    </cfRule>
  </conditionalFormatting>
  <conditionalFormatting sqref="A3 A24:A25">
    <cfRule type="expression" dxfId="132" priority="276">
      <formula>COUNTBLANK($F3:$H3)</formula>
    </cfRule>
  </conditionalFormatting>
  <conditionalFormatting sqref="I12 I33">
    <cfRule type="expression" dxfId="131" priority="272">
      <formula>COUNTBLANK($I12)</formula>
    </cfRule>
  </conditionalFormatting>
  <conditionalFormatting sqref="K3:K29">
    <cfRule type="expression" dxfId="130" priority="247">
      <formula>COUNTBLANK($K3)</formula>
    </cfRule>
  </conditionalFormatting>
  <conditionalFormatting sqref="A3 A28:A30">
    <cfRule type="expression" dxfId="129" priority="248">
      <formula>$K3="Not Audited"</formula>
    </cfRule>
    <cfRule type="expression" dxfId="128" priority="249">
      <formula>$K3="Not Applicable"</formula>
    </cfRule>
  </conditionalFormatting>
  <conditionalFormatting sqref="A7 A11:A12 A14:A18 A32:A33 A28:A30">
    <cfRule type="expression" dxfId="127" priority="239">
      <formula>COUNTBLANK($F7:$I7)</formula>
    </cfRule>
  </conditionalFormatting>
  <conditionalFormatting sqref="A7 A11:A12 A14:A18">
    <cfRule type="expression" dxfId="126" priority="237">
      <formula>$K7="Not Audited"</formula>
    </cfRule>
    <cfRule type="expression" dxfId="125" priority="238">
      <formula>$K7="Not Applicable"</formula>
    </cfRule>
  </conditionalFormatting>
  <conditionalFormatting sqref="A5">
    <cfRule type="expression" dxfId="124" priority="222">
      <formula>COUNTBLANK($F5:$H5)</formula>
    </cfRule>
  </conditionalFormatting>
  <conditionalFormatting sqref="A5">
    <cfRule type="expression" dxfId="123" priority="220">
      <formula>$K5="Not Audited"</formula>
    </cfRule>
    <cfRule type="expression" dxfId="122" priority="221">
      <formula>$K5="Not Applicable"</formula>
    </cfRule>
  </conditionalFormatting>
  <conditionalFormatting sqref="A4">
    <cfRule type="expression" dxfId="121" priority="219">
      <formula>COUNTBLANK($F4:$H4)</formula>
    </cfRule>
  </conditionalFormatting>
  <conditionalFormatting sqref="A4">
    <cfRule type="expression" dxfId="120" priority="217">
      <formula>$K4="Not Audited"</formula>
    </cfRule>
    <cfRule type="expression" dxfId="119" priority="218">
      <formula>$K4="Not Applicable"</formula>
    </cfRule>
  </conditionalFormatting>
  <conditionalFormatting sqref="A6">
    <cfRule type="expression" dxfId="118" priority="216">
      <formula>COUNTBLANK($F6:$H6)</formula>
    </cfRule>
  </conditionalFormatting>
  <conditionalFormatting sqref="A6">
    <cfRule type="expression" dxfId="117" priority="214">
      <formula>$K6="Not Audited"</formula>
    </cfRule>
    <cfRule type="expression" dxfId="116" priority="215">
      <formula>$K6="Not Applicable"</formula>
    </cfRule>
  </conditionalFormatting>
  <conditionalFormatting sqref="A9">
    <cfRule type="expression" dxfId="115" priority="213">
      <formula>COUNTBLANK($F9:$H9)</formula>
    </cfRule>
  </conditionalFormatting>
  <conditionalFormatting sqref="A9">
    <cfRule type="expression" dxfId="114" priority="211">
      <formula>$K9="Not Audited"</formula>
    </cfRule>
    <cfRule type="expression" dxfId="113" priority="212">
      <formula>$K9="Not Applicable"</formula>
    </cfRule>
  </conditionalFormatting>
  <conditionalFormatting sqref="A10">
    <cfRule type="expression" dxfId="112" priority="207">
      <formula>COUNTBLANK($F10:$H10)</formula>
    </cfRule>
  </conditionalFormatting>
  <conditionalFormatting sqref="A10">
    <cfRule type="expression" dxfId="111" priority="205">
      <formula>$K10="Not Audited"</formula>
    </cfRule>
    <cfRule type="expression" dxfId="110" priority="206">
      <formula>$K10="Not Applicable"</formula>
    </cfRule>
  </conditionalFormatting>
  <conditionalFormatting sqref="A8">
    <cfRule type="expression" dxfId="109" priority="201">
      <formula>COUNTBLANK($F8:$H8)</formula>
    </cfRule>
  </conditionalFormatting>
  <conditionalFormatting sqref="A8">
    <cfRule type="expression" dxfId="108" priority="199">
      <formula>$K8="Not Audited"</formula>
    </cfRule>
    <cfRule type="expression" dxfId="107" priority="200">
      <formula>$K8="Not Applicable"</formula>
    </cfRule>
  </conditionalFormatting>
  <conditionalFormatting sqref="A13">
    <cfRule type="expression" dxfId="106" priority="198">
      <formula>COUNTBLANK($F13:$H13)</formula>
    </cfRule>
  </conditionalFormatting>
  <conditionalFormatting sqref="A13">
    <cfRule type="expression" dxfId="105" priority="196">
      <formula>$K13="Not Audited"</formula>
    </cfRule>
    <cfRule type="expression" dxfId="104" priority="197">
      <formula>$K13="Not Applicable"</formula>
    </cfRule>
  </conditionalFormatting>
  <conditionalFormatting sqref="A20">
    <cfRule type="expression" dxfId="103" priority="195">
      <formula>COUNTBLANK($F20:$H20)</formula>
    </cfRule>
  </conditionalFormatting>
  <conditionalFormatting sqref="A20">
    <cfRule type="expression" dxfId="102" priority="193">
      <formula>$K20="Not Audited"</formula>
    </cfRule>
    <cfRule type="expression" dxfId="101" priority="194">
      <formula>$K20="Not Applicable"</formula>
    </cfRule>
  </conditionalFormatting>
  <conditionalFormatting sqref="A21">
    <cfRule type="expression" dxfId="100" priority="192">
      <formula>COUNTBLANK($F21:$H21)</formula>
    </cfRule>
  </conditionalFormatting>
  <conditionalFormatting sqref="A21">
    <cfRule type="expression" dxfId="99" priority="190">
      <formula>$K21="Not Audited"</formula>
    </cfRule>
    <cfRule type="expression" dxfId="98" priority="191">
      <formula>$K21="Not Applicable"</formula>
    </cfRule>
  </conditionalFormatting>
  <conditionalFormatting sqref="A22">
    <cfRule type="expression" dxfId="97" priority="189">
      <formula>COUNTBLANK($F22:$H22)</formula>
    </cfRule>
  </conditionalFormatting>
  <conditionalFormatting sqref="A22">
    <cfRule type="expression" dxfId="96" priority="187">
      <formula>$K22="Not Audited"</formula>
    </cfRule>
    <cfRule type="expression" dxfId="95" priority="188">
      <formula>$K22="Not Applicable"</formula>
    </cfRule>
  </conditionalFormatting>
  <conditionalFormatting sqref="A24">
    <cfRule type="expression" dxfId="94" priority="184">
      <formula>$K24="Not Audited"</formula>
    </cfRule>
    <cfRule type="expression" dxfId="93" priority="185">
      <formula>$K24="Not Applicable"</formula>
    </cfRule>
  </conditionalFormatting>
  <conditionalFormatting sqref="A25">
    <cfRule type="expression" dxfId="92" priority="181">
      <formula>$K25="Not Audited"</formula>
    </cfRule>
    <cfRule type="expression" dxfId="91" priority="182">
      <formula>$K25="Not Applicable"</formula>
    </cfRule>
  </conditionalFormatting>
  <conditionalFormatting sqref="A26">
    <cfRule type="expression" dxfId="90" priority="180">
      <formula>COUNTBLANK($F26:$H26)</formula>
    </cfRule>
  </conditionalFormatting>
  <conditionalFormatting sqref="A26">
    <cfRule type="expression" dxfId="89" priority="178">
      <formula>$K26="Not Audited"</formula>
    </cfRule>
    <cfRule type="expression" dxfId="88" priority="179">
      <formula>$K26="Not Applicable"</formula>
    </cfRule>
  </conditionalFormatting>
  <conditionalFormatting sqref="A23">
    <cfRule type="expression" dxfId="87" priority="177">
      <formula>COUNTBLANK($F23:$H23)</formula>
    </cfRule>
  </conditionalFormatting>
  <conditionalFormatting sqref="A23">
    <cfRule type="expression" dxfId="86" priority="175">
      <formula>$K23="Not Audited"</formula>
    </cfRule>
    <cfRule type="expression" dxfId="85" priority="176">
      <formula>$K23="Not Applicable"</formula>
    </cfRule>
  </conditionalFormatting>
  <conditionalFormatting sqref="A19">
    <cfRule type="expression" dxfId="84" priority="171">
      <formula>COUNTBLANK($F19:$H19)</formula>
    </cfRule>
  </conditionalFormatting>
  <conditionalFormatting sqref="A19">
    <cfRule type="expression" dxfId="83" priority="169">
      <formula>$K19="Not Audited"</formula>
    </cfRule>
    <cfRule type="expression" dxfId="82" priority="170">
      <formula>$K19="Not Applicable"</formula>
    </cfRule>
  </conditionalFormatting>
  <conditionalFormatting sqref="F28">
    <cfRule type="expression" dxfId="81" priority="167">
      <formula>COUNTBLANK($F28)</formula>
    </cfRule>
  </conditionalFormatting>
  <conditionalFormatting sqref="H28">
    <cfRule type="expression" dxfId="80" priority="165">
      <formula>COUNTBLANK($H28)</formula>
    </cfRule>
  </conditionalFormatting>
  <conditionalFormatting sqref="F25">
    <cfRule type="expression" dxfId="79" priority="162">
      <formula>COUNTBLANK($F25)</formula>
    </cfRule>
  </conditionalFormatting>
  <conditionalFormatting sqref="A27">
    <cfRule type="expression" dxfId="78" priority="160">
      <formula>COUNTBLANK($F27:$H27)</formula>
    </cfRule>
  </conditionalFormatting>
  <conditionalFormatting sqref="A27">
    <cfRule type="expression" dxfId="77" priority="158">
      <formula>$K27="Not Audited"</formula>
    </cfRule>
    <cfRule type="expression" dxfId="76" priority="159">
      <formula>$K27="Not Applicable"</formula>
    </cfRule>
  </conditionalFormatting>
  <conditionalFormatting sqref="F31">
    <cfRule type="expression" dxfId="75" priority="144">
      <formula>COUNTBLANK($F31)</formula>
    </cfRule>
  </conditionalFormatting>
  <conditionalFormatting sqref="A31">
    <cfRule type="expression" dxfId="74" priority="140">
      <formula>$K31="Not Audited"</formula>
    </cfRule>
    <cfRule type="expression" dxfId="73" priority="141">
      <formula>$K31="Not Applicable"</formula>
    </cfRule>
  </conditionalFormatting>
  <conditionalFormatting sqref="A31">
    <cfRule type="expression" dxfId="72" priority="138">
      <formula>COUNTBLANK($F31:$I31)</formula>
    </cfRule>
  </conditionalFormatting>
  <conditionalFormatting sqref="F32">
    <cfRule type="expression" dxfId="71" priority="130">
      <formula>COUNTBLANK($F32)</formula>
    </cfRule>
  </conditionalFormatting>
  <conditionalFormatting sqref="A32">
    <cfRule type="expression" dxfId="70" priority="126">
      <formula>$K32="Not Audited"</formula>
    </cfRule>
    <cfRule type="expression" dxfId="69" priority="127">
      <formula>$K32="Not Applicable"</formula>
    </cfRule>
  </conditionalFormatting>
  <conditionalFormatting sqref="F33">
    <cfRule type="expression" dxfId="68" priority="116">
      <formula>COUNTBLANK($F33)</formula>
    </cfRule>
  </conditionalFormatting>
  <conditionalFormatting sqref="K33">
    <cfRule type="expression" dxfId="67" priority="111">
      <formula>COUNTBLANK($K33)</formula>
    </cfRule>
  </conditionalFormatting>
  <conditionalFormatting sqref="A33">
    <cfRule type="expression" dxfId="66" priority="112">
      <formula>$K33="Not Audited"</formula>
    </cfRule>
    <cfRule type="expression" dxfId="65" priority="113">
      <formula>$K33="Not Applicable"</formula>
    </cfRule>
  </conditionalFormatting>
  <conditionalFormatting sqref="G4">
    <cfRule type="expression" dxfId="64" priority="91">
      <formula>COUNTBLANK($H4)</formula>
    </cfRule>
  </conditionalFormatting>
  <conditionalFormatting sqref="G17">
    <cfRule type="expression" dxfId="63" priority="80">
      <formula>COUNTBLANK($H17)</formula>
    </cfRule>
  </conditionalFormatting>
  <conditionalFormatting sqref="G8">
    <cfRule type="expression" dxfId="62" priority="74">
      <formula>COUNTBLANK($H8)</formula>
    </cfRule>
  </conditionalFormatting>
  <conditionalFormatting sqref="G28">
    <cfRule type="expression" dxfId="61" priority="70">
      <formula>COUNTBLANK($H28)</formula>
    </cfRule>
  </conditionalFormatting>
  <conditionalFormatting sqref="G5:G7">
    <cfRule type="expression" dxfId="60" priority="68">
      <formula>COUNTBLANK($H5)</formula>
    </cfRule>
  </conditionalFormatting>
  <conditionalFormatting sqref="G9">
    <cfRule type="expression" dxfId="59" priority="67">
      <formula>COUNTBLANK($H9)</formula>
    </cfRule>
  </conditionalFormatting>
  <conditionalFormatting sqref="G10">
    <cfRule type="expression" dxfId="58" priority="66">
      <formula>COUNTBLANK($H10)</formula>
    </cfRule>
  </conditionalFormatting>
  <conditionalFormatting sqref="G12">
    <cfRule type="expression" dxfId="57" priority="54">
      <formula>COUNTBLANK($H12)</formula>
    </cfRule>
  </conditionalFormatting>
  <conditionalFormatting sqref="G18">
    <cfRule type="expression" dxfId="56" priority="53">
      <formula>COUNTBLANK($H18)</formula>
    </cfRule>
  </conditionalFormatting>
  <conditionalFormatting sqref="G20">
    <cfRule type="expression" dxfId="55" priority="51">
      <formula>COUNTBLANK($H20)</formula>
    </cfRule>
  </conditionalFormatting>
  <conditionalFormatting sqref="G11">
    <cfRule type="expression" dxfId="54" priority="48">
      <formula>COUNTBLANK($H11)</formula>
    </cfRule>
  </conditionalFormatting>
  <conditionalFormatting sqref="H23">
    <cfRule type="expression" dxfId="53" priority="47">
      <formula>COUNTBLANK($H23)</formula>
    </cfRule>
  </conditionalFormatting>
  <conditionalFormatting sqref="F26:H26">
    <cfRule type="expression" dxfId="52" priority="46">
      <formula>COUNTBLANK($H26)</formula>
    </cfRule>
  </conditionalFormatting>
  <conditionalFormatting sqref="F27:H27">
    <cfRule type="expression" dxfId="51" priority="45">
      <formula>COUNTBLANK($H27)</formula>
    </cfRule>
  </conditionalFormatting>
  <conditionalFormatting sqref="F29">
    <cfRule type="expression" dxfId="50" priority="44">
      <formula>COUNTBLANK($F29)</formula>
    </cfRule>
  </conditionalFormatting>
  <conditionalFormatting sqref="H29">
    <cfRule type="expression" dxfId="49" priority="43">
      <formula>COUNTBLANK($H29)</formula>
    </cfRule>
  </conditionalFormatting>
  <conditionalFormatting sqref="G29">
    <cfRule type="expression" dxfId="48" priority="41">
      <formula>COUNTBLANK($H29)</formula>
    </cfRule>
  </conditionalFormatting>
  <conditionalFormatting sqref="I12">
    <cfRule type="expression" dxfId="47" priority="40">
      <formula>COUNTBLANK($H12)</formula>
    </cfRule>
  </conditionalFormatting>
  <conditionalFormatting sqref="I3:I11">
    <cfRule type="expression" dxfId="46" priority="39">
      <formula>COUNTBLANK($I3)</formula>
    </cfRule>
  </conditionalFormatting>
  <conditionalFormatting sqref="I13:I31">
    <cfRule type="expression" dxfId="45" priority="37">
      <formula>COUNTBLANK($I13)</formula>
    </cfRule>
  </conditionalFormatting>
  <conditionalFormatting sqref="G13">
    <cfRule type="expression" dxfId="44" priority="35">
      <formula>COUNTBLANK($H13)</formula>
    </cfRule>
  </conditionalFormatting>
  <conditionalFormatting sqref="G14:G15">
    <cfRule type="expression" dxfId="43" priority="34">
      <formula>COUNTBLANK($H14)</formula>
    </cfRule>
  </conditionalFormatting>
  <conditionalFormatting sqref="G16">
    <cfRule type="expression" dxfId="42" priority="33">
      <formula>COUNTBLANK($H16)</formula>
    </cfRule>
  </conditionalFormatting>
  <conditionalFormatting sqref="G19">
    <cfRule type="expression" dxfId="41" priority="32">
      <formula>COUNTBLANK($H19)</formula>
    </cfRule>
  </conditionalFormatting>
  <conditionalFormatting sqref="G21">
    <cfRule type="expression" dxfId="40" priority="31">
      <formula>COUNTBLANK($H21)</formula>
    </cfRule>
  </conditionalFormatting>
  <conditionalFormatting sqref="G22">
    <cfRule type="expression" dxfId="39" priority="30">
      <formula>COUNTBLANK($H22)</formula>
    </cfRule>
  </conditionalFormatting>
  <conditionalFormatting sqref="G23">
    <cfRule type="expression" dxfId="38" priority="29">
      <formula>COUNTBLANK($H23)</formula>
    </cfRule>
  </conditionalFormatting>
  <conditionalFormatting sqref="G3 I3 I24:I25 G24:G25 I33 G32:G33 I30">
    <cfRule type="expression" dxfId="37" priority="363">
      <formula>COUNTBLANK(#REF!)</formula>
    </cfRule>
  </conditionalFormatting>
  <conditionalFormatting sqref="J16">
    <cfRule type="expression" dxfId="36" priority="24">
      <formula>COUNTBLANK($H16)</formula>
    </cfRule>
  </conditionalFormatting>
  <conditionalFormatting sqref="H16">
    <cfRule type="expression" dxfId="35" priority="23">
      <formula>COUNTBLANK($H16)</formula>
    </cfRule>
  </conditionalFormatting>
  <conditionalFormatting sqref="K32">
    <cfRule type="expression" dxfId="34" priority="16">
      <formula>COUNTBLANK($K32)</formula>
    </cfRule>
  </conditionalFormatting>
  <conditionalFormatting sqref="K31">
    <cfRule type="expression" dxfId="33" priority="9">
      <formula>COUNTBLANK($K31)</formula>
    </cfRule>
  </conditionalFormatting>
  <conditionalFormatting sqref="K30">
    <cfRule type="expression" dxfId="32" priority="2">
      <formula>COUNTBLANK($K30)</formula>
    </cfRule>
  </conditionalFormatting>
  <conditionalFormatting sqref="J13">
    <cfRule type="expression" dxfId="31" priority="1">
      <formula>COUNTBLANK($H13)</formula>
    </cfRule>
  </conditionalFormatting>
  <hyperlinks>
    <hyperlink ref="H5" r:id="rId1" xr:uid="{92812835-C907-4A48-B1F0-982519690CEF}"/>
    <hyperlink ref="J8" r:id="rId2" display="https://www.ul.com/resources/ul-schemes-and-certification-bodies" xr:uid="{B5B03613-2A24-4B94-B97B-825C5D7E6DB9}"/>
  </hyperlinks>
  <pageMargins left="0.7" right="0.7" top="0.75" bottom="0.75" header="0.3" footer="0.3"/>
  <pageSetup orientation="portrait" r:id="rId3"/>
  <ignoredErrors>
    <ignoredError sqref="N13 O26:O27 O23 O17:O19 O3 O12 O14 O11 Q16" numberStoredAsText="1"/>
  </ignoredErrors>
  <drawing r:id="rId4"/>
  <extLst>
    <ext xmlns:x14="http://schemas.microsoft.com/office/spreadsheetml/2009/9/main" uri="{78C0D931-6437-407d-A8EE-F0AAD7539E65}">
      <x14:conditionalFormattings>
        <x14:conditionalFormatting xmlns:xm="http://schemas.microsoft.com/office/excel/2006/main">
          <x14:cfRule type="cellIs" priority="355" operator="equal" id="{7EF44E91-FED7-414C-AED0-6E27DC53597F}">
            <xm:f>Sheet1!$A$7</xm:f>
            <x14:dxf>
              <fill>
                <patternFill>
                  <bgColor theme="5"/>
                </patternFill>
              </fill>
            </x14:dxf>
          </x14:cfRule>
          <x14:cfRule type="cellIs" priority="356" operator="equal" id="{1E6F1611-71A0-40F4-A8F1-80BAEC59C48A}">
            <xm:f>Sheet1!$A$6</xm:f>
            <x14:dxf>
              <fill>
                <patternFill>
                  <bgColor rgb="FF00B0F0"/>
                </patternFill>
              </fill>
            </x14:dxf>
          </x14:cfRule>
          <x14:cfRule type="cellIs" priority="357" operator="equal" id="{D531FEDC-1F1E-4F8D-BEB9-6ED80D3D7D00}">
            <xm:f>Sheet1!$A$5</xm:f>
            <x14:dxf>
              <fill>
                <patternFill>
                  <bgColor rgb="FFFF0000"/>
                </patternFill>
              </fill>
            </x14:dxf>
          </x14:cfRule>
          <x14:cfRule type="cellIs" priority="358" operator="equal" id="{BC3AB503-9F5B-4312-82D1-77281ACC93DB}">
            <xm:f>Sheet1!$A$4</xm:f>
            <x14:dxf>
              <fill>
                <patternFill>
                  <bgColor rgb="FFFFFF00"/>
                </patternFill>
              </fill>
            </x14:dxf>
          </x14:cfRule>
          <x14:cfRule type="cellIs" priority="359" operator="equal" id="{587C6E45-3147-4E70-9E99-50CD5C128D7E}">
            <xm:f>Sheet1!$A$3</xm:f>
            <x14:dxf>
              <fill>
                <patternFill>
                  <bgColor theme="9" tint="0.59996337778862885"/>
                </patternFill>
              </fill>
            </x14:dxf>
          </x14:cfRule>
          <x14:cfRule type="cellIs" priority="360" operator="equal" id="{BE9FB452-BE1A-411A-A96B-A6BAB49A29B5}">
            <xm:f>Sheet1!$A$2</xm:f>
            <x14:dxf>
              <fill>
                <patternFill>
                  <bgColor theme="9" tint="0.39994506668294322"/>
                </patternFill>
              </fill>
            </x14:dxf>
          </x14:cfRule>
          <xm:sqref>K3:K29</xm:sqref>
        </x14:conditionalFormatting>
        <x14:conditionalFormatting xmlns:xm="http://schemas.microsoft.com/office/excel/2006/main">
          <x14:cfRule type="cellIs" priority="117" operator="equal" id="{04955FAA-2892-4D8B-B8C3-E54753EF8D07}">
            <xm:f>Sheet1!$A$7</xm:f>
            <x14:dxf>
              <fill>
                <patternFill>
                  <bgColor theme="5"/>
                </patternFill>
              </fill>
            </x14:dxf>
          </x14:cfRule>
          <x14:cfRule type="cellIs" priority="118" operator="equal" id="{E7C95CA4-BB0A-4729-B323-66A8F3CDDCF4}">
            <xm:f>Sheet1!$A$6</xm:f>
            <x14:dxf>
              <fill>
                <patternFill>
                  <bgColor rgb="FF00B0F0"/>
                </patternFill>
              </fill>
            </x14:dxf>
          </x14:cfRule>
          <x14:cfRule type="cellIs" priority="119" operator="equal" id="{245731CA-81DC-4BEA-9882-493C9D33CBDF}">
            <xm:f>Sheet1!$A$5</xm:f>
            <x14:dxf>
              <fill>
                <patternFill>
                  <bgColor rgb="FFFF0000"/>
                </patternFill>
              </fill>
            </x14:dxf>
          </x14:cfRule>
          <x14:cfRule type="cellIs" priority="120" operator="equal" id="{4475E24A-ACBE-479F-B960-071C76525809}">
            <xm:f>Sheet1!$A$4</xm:f>
            <x14:dxf>
              <fill>
                <patternFill>
                  <bgColor rgb="FFFFFF00"/>
                </patternFill>
              </fill>
            </x14:dxf>
          </x14:cfRule>
          <x14:cfRule type="cellIs" priority="121" operator="equal" id="{CC5C41B0-98F1-4277-827B-8DDFE3874CA0}">
            <xm:f>Sheet1!$A$3</xm:f>
            <x14:dxf>
              <fill>
                <patternFill>
                  <bgColor theme="9" tint="0.59996337778862885"/>
                </patternFill>
              </fill>
            </x14:dxf>
          </x14:cfRule>
          <x14:cfRule type="cellIs" priority="122" operator="equal" id="{FBB38256-F95A-4475-A45B-A6D51BFD8758}">
            <xm:f>Sheet1!$A$2</xm:f>
            <x14:dxf>
              <fill>
                <patternFill>
                  <bgColor theme="9" tint="0.39994506668294322"/>
                </patternFill>
              </fill>
            </x14:dxf>
          </x14:cfRule>
          <xm:sqref>K33</xm:sqref>
        </x14:conditionalFormatting>
        <x14:conditionalFormatting xmlns:xm="http://schemas.microsoft.com/office/excel/2006/main">
          <x14:cfRule type="cellIs" priority="17" operator="equal" id="{334E569E-F1C2-42DC-92E4-66F8A69236F0}">
            <xm:f>Sheet1!$A$7</xm:f>
            <x14:dxf>
              <fill>
                <patternFill>
                  <bgColor theme="5"/>
                </patternFill>
              </fill>
            </x14:dxf>
          </x14:cfRule>
          <x14:cfRule type="cellIs" priority="18" operator="equal" id="{436FF55A-583C-4078-B35B-FE8F2695ABD9}">
            <xm:f>Sheet1!$A$6</xm:f>
            <x14:dxf>
              <fill>
                <patternFill>
                  <bgColor rgb="FF00B0F0"/>
                </patternFill>
              </fill>
            </x14:dxf>
          </x14:cfRule>
          <x14:cfRule type="cellIs" priority="19" operator="equal" id="{2BED3514-EA3C-452B-804D-921E7D0394EF}">
            <xm:f>Sheet1!$A$5</xm:f>
            <x14:dxf>
              <fill>
                <patternFill>
                  <bgColor rgb="FFFF0000"/>
                </patternFill>
              </fill>
            </x14:dxf>
          </x14:cfRule>
          <x14:cfRule type="cellIs" priority="20" operator="equal" id="{28E19E8C-CD40-4D90-9E30-04731276E25D}">
            <xm:f>Sheet1!$A$4</xm:f>
            <x14:dxf>
              <fill>
                <patternFill>
                  <bgColor rgb="FFFFFF00"/>
                </patternFill>
              </fill>
            </x14:dxf>
          </x14:cfRule>
          <x14:cfRule type="cellIs" priority="21" operator="equal" id="{448F9268-8B88-439A-9F29-309C4C94B2B8}">
            <xm:f>Sheet1!$A$3</xm:f>
            <x14:dxf>
              <fill>
                <patternFill>
                  <bgColor theme="9" tint="0.59996337778862885"/>
                </patternFill>
              </fill>
            </x14:dxf>
          </x14:cfRule>
          <x14:cfRule type="cellIs" priority="22" operator="equal" id="{85386912-7A3A-4C1B-9DB9-F7779D1F0D42}">
            <xm:f>Sheet1!$A$2</xm:f>
            <x14:dxf>
              <fill>
                <patternFill>
                  <bgColor theme="9" tint="0.39994506668294322"/>
                </patternFill>
              </fill>
            </x14:dxf>
          </x14:cfRule>
          <xm:sqref>K32</xm:sqref>
        </x14:conditionalFormatting>
        <x14:conditionalFormatting xmlns:xm="http://schemas.microsoft.com/office/excel/2006/main">
          <x14:cfRule type="cellIs" priority="10" operator="equal" id="{62E7E125-6A25-482C-8614-0218C269377C}">
            <xm:f>Sheet1!$A$7</xm:f>
            <x14:dxf>
              <fill>
                <patternFill>
                  <bgColor theme="5"/>
                </patternFill>
              </fill>
            </x14:dxf>
          </x14:cfRule>
          <x14:cfRule type="cellIs" priority="11" operator="equal" id="{DAEF5FED-280A-4406-A1BF-3ADBCE355494}">
            <xm:f>Sheet1!$A$6</xm:f>
            <x14:dxf>
              <fill>
                <patternFill>
                  <bgColor rgb="FF00B0F0"/>
                </patternFill>
              </fill>
            </x14:dxf>
          </x14:cfRule>
          <x14:cfRule type="cellIs" priority="12" operator="equal" id="{6461CA2F-959A-463C-97FD-6E65E70BD0B6}">
            <xm:f>Sheet1!$A$5</xm:f>
            <x14:dxf>
              <fill>
                <patternFill>
                  <bgColor rgb="FFFF0000"/>
                </patternFill>
              </fill>
            </x14:dxf>
          </x14:cfRule>
          <x14:cfRule type="cellIs" priority="13" operator="equal" id="{4632F7FF-E4E8-4F83-BD93-EB476BDF2E85}">
            <xm:f>Sheet1!$A$4</xm:f>
            <x14:dxf>
              <fill>
                <patternFill>
                  <bgColor rgb="FFFFFF00"/>
                </patternFill>
              </fill>
            </x14:dxf>
          </x14:cfRule>
          <x14:cfRule type="cellIs" priority="14" operator="equal" id="{1E23D3FF-DE4C-47C4-9234-1DCD6A9E7466}">
            <xm:f>Sheet1!$A$3</xm:f>
            <x14:dxf>
              <fill>
                <patternFill>
                  <bgColor theme="9" tint="0.59996337778862885"/>
                </patternFill>
              </fill>
            </x14:dxf>
          </x14:cfRule>
          <x14:cfRule type="cellIs" priority="15" operator="equal" id="{5DBCBE24-ACE7-4987-B107-EE802EF4548E}">
            <xm:f>Sheet1!$A$2</xm:f>
            <x14:dxf>
              <fill>
                <patternFill>
                  <bgColor theme="9" tint="0.39994506668294322"/>
                </patternFill>
              </fill>
            </x14:dxf>
          </x14:cfRule>
          <xm:sqref>K31</xm:sqref>
        </x14:conditionalFormatting>
        <x14:conditionalFormatting xmlns:xm="http://schemas.microsoft.com/office/excel/2006/main">
          <x14:cfRule type="cellIs" priority="3" operator="equal" id="{8DF03067-C431-4AC4-9017-BAAE540C68CF}">
            <xm:f>Sheet1!$A$7</xm:f>
            <x14:dxf>
              <fill>
                <patternFill>
                  <bgColor theme="5"/>
                </patternFill>
              </fill>
            </x14:dxf>
          </x14:cfRule>
          <x14:cfRule type="cellIs" priority="4" operator="equal" id="{A461660B-C03A-45E2-8042-41388AEFBDC5}">
            <xm:f>Sheet1!$A$6</xm:f>
            <x14:dxf>
              <fill>
                <patternFill>
                  <bgColor rgb="FF00B0F0"/>
                </patternFill>
              </fill>
            </x14:dxf>
          </x14:cfRule>
          <x14:cfRule type="cellIs" priority="5" operator="equal" id="{9731D34F-C0FF-442E-99FB-AD51A0FAB1F9}">
            <xm:f>Sheet1!$A$5</xm:f>
            <x14:dxf>
              <fill>
                <patternFill>
                  <bgColor rgb="FFFF0000"/>
                </patternFill>
              </fill>
            </x14:dxf>
          </x14:cfRule>
          <x14:cfRule type="cellIs" priority="6" operator="equal" id="{56D39B3B-5AFE-4B6F-810F-EA85592D4367}">
            <xm:f>Sheet1!$A$4</xm:f>
            <x14:dxf>
              <fill>
                <patternFill>
                  <bgColor rgb="FFFFFF00"/>
                </patternFill>
              </fill>
            </x14:dxf>
          </x14:cfRule>
          <x14:cfRule type="cellIs" priority="7" operator="equal" id="{D48EFD03-71AD-4BF6-B8E8-2F4876750AA4}">
            <xm:f>Sheet1!$A$3</xm:f>
            <x14:dxf>
              <fill>
                <patternFill>
                  <bgColor theme="9" tint="0.59996337778862885"/>
                </patternFill>
              </fill>
            </x14:dxf>
          </x14:cfRule>
          <x14:cfRule type="cellIs" priority="8" operator="equal" id="{A645674D-1A74-4D89-BB65-F52BBBA6DD1F}">
            <xm:f>Sheet1!$A$2</xm:f>
            <x14:dxf>
              <fill>
                <patternFill>
                  <bgColor theme="9" tint="0.39994506668294322"/>
                </patternFill>
              </fill>
            </x14:dxf>
          </x14:cfRule>
          <xm:sqref>K30</xm:sqref>
        </x14:conditionalFormatting>
      </x14:conditionalFormattings>
    </ext>
    <ext xmlns:x14="http://schemas.microsoft.com/office/spreadsheetml/2009/9/main" uri="{CCE6A557-97BC-4b89-ADB6-D9C93CAAB3DF}">
      <x14:dataValidations xmlns:xm="http://schemas.microsoft.com/office/excel/2006/main" count="5">
        <x14:dataValidation type="list" allowBlank="1" xr:uid="{9842A560-FCDF-427E-B65F-4549016396F7}">
          <x14:formula1>
            <xm:f>Sheet1!$B$2:$B$6</xm:f>
          </x14:formula1>
          <xm:sqref>B3:B33</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E3:E33</xm:sqref>
        </x14:dataValidation>
        <x14:dataValidation type="list" allowBlank="1" showInputMessage="1" showErrorMessage="1" xr:uid="{E54BCAE2-0FB5-4FE7-B9E4-02EC03F7420E}">
          <x14:formula1>
            <xm:f>Sheet1!$A$2:$A$7</xm:f>
          </x14:formula1>
          <xm:sqref>K3:K33</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1ED71-09C1-4770-9692-E4F02E35DCE7}">
  <sheetPr codeName="Sheet6"/>
  <dimension ref="K25:O31"/>
  <sheetViews>
    <sheetView zoomScale="110" zoomScaleNormal="110" workbookViewId="0">
      <selection activeCell="A25" sqref="A25"/>
    </sheetView>
  </sheetViews>
  <sheetFormatPr defaultRowHeight="15" x14ac:dyDescent="0.25"/>
  <cols>
    <col min="11" max="11" width="16.140625" customWidth="1"/>
    <col min="12" max="12" width="28" customWidth="1"/>
    <col min="13" max="14" width="10.28515625" customWidth="1"/>
    <col min="16" max="16" width="9.140625" customWidth="1"/>
    <col min="17" max="17" width="30.7109375" customWidth="1"/>
  </cols>
  <sheetData>
    <row r="25" spans="11:15" ht="27" customHeight="1" x14ac:dyDescent="0.25">
      <c r="N25" t="s">
        <v>887</v>
      </c>
    </row>
    <row r="27" spans="11:15" x14ac:dyDescent="0.25">
      <c r="L27" t="s">
        <v>874</v>
      </c>
      <c r="M27" t="s">
        <v>875</v>
      </c>
      <c r="N27" t="s">
        <v>876</v>
      </c>
      <c r="O27" t="s">
        <v>880</v>
      </c>
    </row>
    <row r="28" spans="11:15" x14ac:dyDescent="0.25">
      <c r="K28" t="s">
        <v>895</v>
      </c>
      <c r="L28" t="s">
        <v>889</v>
      </c>
      <c r="M28" s="54">
        <v>14</v>
      </c>
      <c r="N28" t="s">
        <v>865</v>
      </c>
    </row>
    <row r="29" spans="11:15" x14ac:dyDescent="0.25">
      <c r="K29" s="73" t="s">
        <v>878</v>
      </c>
      <c r="L29" t="s">
        <v>890</v>
      </c>
      <c r="M29" s="54">
        <v>3</v>
      </c>
      <c r="N29" t="s">
        <v>864</v>
      </c>
      <c r="O29" t="s">
        <v>879</v>
      </c>
    </row>
    <row r="30" spans="11:15" x14ac:dyDescent="0.25">
      <c r="K30" s="72" t="s">
        <v>877</v>
      </c>
      <c r="L30" t="s">
        <v>862</v>
      </c>
      <c r="M30" s="54">
        <v>1</v>
      </c>
      <c r="N30" t="s">
        <v>863</v>
      </c>
    </row>
    <row r="31" spans="11:15" x14ac:dyDescent="0.25">
      <c r="K31" s="75" t="s">
        <v>892</v>
      </c>
      <c r="L31" t="s">
        <v>891</v>
      </c>
      <c r="M31" s="54"/>
    </row>
  </sheetData>
  <pageMargins left="0.7" right="0.7" top="0.75" bottom="0.75" header="0.3" footer="0.3"/>
  <pageSetup orientation="portrait" verticalDpi="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8" sqref="A8"/>
    </sheetView>
  </sheetViews>
  <sheetFormatPr defaultRowHeight="15" x14ac:dyDescent="0.25"/>
  <cols>
    <col min="1" max="1" width="86.85546875" customWidth="1"/>
  </cols>
  <sheetData>
    <row r="1" spans="1:1" x14ac:dyDescent="0.25">
      <c r="A1" t="s">
        <v>52</v>
      </c>
    </row>
    <row r="2" spans="1:1" x14ac:dyDescent="0.25">
      <c r="A2" t="s">
        <v>12</v>
      </c>
    </row>
    <row r="4" spans="1:1" ht="274.5" customHeight="1" x14ac:dyDescent="0.25">
      <c r="A4" s="3" t="s">
        <v>778</v>
      </c>
    </row>
    <row r="6" spans="1:1" ht="60" x14ac:dyDescent="0.25">
      <c r="A6" s="3" t="s">
        <v>766</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18" t="s">
        <v>89</v>
      </c>
      <c r="B1" s="18" t="s">
        <v>767</v>
      </c>
      <c r="C1" s="18" t="s">
        <v>436</v>
      </c>
      <c r="D1" s="18" t="s">
        <v>7</v>
      </c>
      <c r="E1" s="18" t="s">
        <v>717</v>
      </c>
      <c r="F1" s="18"/>
    </row>
    <row r="2" spans="1:6" x14ac:dyDescent="0.25">
      <c r="A2" s="22" t="s">
        <v>90</v>
      </c>
      <c r="B2" t="s">
        <v>768</v>
      </c>
      <c r="C2" s="31" t="s">
        <v>117</v>
      </c>
      <c r="D2" t="s">
        <v>437</v>
      </c>
      <c r="E2" t="s">
        <v>718</v>
      </c>
    </row>
    <row r="3" spans="1:6" x14ac:dyDescent="0.25">
      <c r="A3" s="19" t="s">
        <v>91</v>
      </c>
      <c r="B3" t="s">
        <v>769</v>
      </c>
      <c r="C3" s="31" t="s">
        <v>118</v>
      </c>
      <c r="D3" t="s">
        <v>438</v>
      </c>
      <c r="E3" t="s">
        <v>719</v>
      </c>
    </row>
    <row r="4" spans="1:6" x14ac:dyDescent="0.25">
      <c r="A4" s="20" t="s">
        <v>92</v>
      </c>
      <c r="B4" t="s">
        <v>770</v>
      </c>
      <c r="C4" s="31" t="s">
        <v>119</v>
      </c>
      <c r="D4" t="s">
        <v>439</v>
      </c>
      <c r="E4" t="s">
        <v>720</v>
      </c>
    </row>
    <row r="5" spans="1:6" x14ac:dyDescent="0.25">
      <c r="A5" s="21" t="s">
        <v>93</v>
      </c>
      <c r="B5" t="s">
        <v>771</v>
      </c>
      <c r="C5" s="31" t="s">
        <v>120</v>
      </c>
      <c r="D5" t="s">
        <v>440</v>
      </c>
      <c r="E5" t="s">
        <v>721</v>
      </c>
    </row>
    <row r="6" spans="1:6" x14ac:dyDescent="0.25">
      <c r="A6" s="41" t="s">
        <v>780</v>
      </c>
      <c r="B6" t="s">
        <v>772</v>
      </c>
      <c r="C6" s="31" t="s">
        <v>121</v>
      </c>
      <c r="D6" t="s">
        <v>441</v>
      </c>
      <c r="E6" t="s">
        <v>722</v>
      </c>
    </row>
    <row r="7" spans="1:6" x14ac:dyDescent="0.25">
      <c r="A7" s="40" t="s">
        <v>779</v>
      </c>
      <c r="C7" s="31" t="s">
        <v>122</v>
      </c>
      <c r="D7" t="s">
        <v>442</v>
      </c>
      <c r="E7" t="s">
        <v>723</v>
      </c>
    </row>
    <row r="8" spans="1:6" x14ac:dyDescent="0.25">
      <c r="C8" s="31" t="s">
        <v>123</v>
      </c>
      <c r="D8" t="s">
        <v>443</v>
      </c>
      <c r="E8" t="s">
        <v>724</v>
      </c>
    </row>
    <row r="9" spans="1:6" x14ac:dyDescent="0.25">
      <c r="C9" s="31" t="s">
        <v>124</v>
      </c>
      <c r="D9" t="s">
        <v>444</v>
      </c>
      <c r="E9" t="s">
        <v>725</v>
      </c>
    </row>
    <row r="10" spans="1:6" x14ac:dyDescent="0.25">
      <c r="C10" s="31" t="s">
        <v>125</v>
      </c>
      <c r="D10" t="s">
        <v>445</v>
      </c>
      <c r="E10" t="s">
        <v>726</v>
      </c>
    </row>
    <row r="11" spans="1:6" x14ac:dyDescent="0.25">
      <c r="C11" s="31" t="s">
        <v>126</v>
      </c>
      <c r="D11" t="s">
        <v>446</v>
      </c>
      <c r="E11" t="s">
        <v>727</v>
      </c>
    </row>
    <row r="12" spans="1:6" x14ac:dyDescent="0.25">
      <c r="C12" s="31" t="s">
        <v>127</v>
      </c>
      <c r="D12" t="s">
        <v>447</v>
      </c>
      <c r="E12" t="s">
        <v>728</v>
      </c>
    </row>
    <row r="13" spans="1:6" x14ac:dyDescent="0.25">
      <c r="C13" s="31" t="s">
        <v>128</v>
      </c>
      <c r="D13" t="s">
        <v>448</v>
      </c>
      <c r="E13" t="s">
        <v>729</v>
      </c>
    </row>
    <row r="14" spans="1:6" x14ac:dyDescent="0.25">
      <c r="C14" s="31" t="s">
        <v>129</v>
      </c>
      <c r="D14" t="s">
        <v>449</v>
      </c>
      <c r="E14" t="s">
        <v>730</v>
      </c>
    </row>
    <row r="15" spans="1:6" x14ac:dyDescent="0.25">
      <c r="C15" s="31" t="s">
        <v>130</v>
      </c>
      <c r="D15" t="s">
        <v>450</v>
      </c>
      <c r="E15" t="s">
        <v>731</v>
      </c>
    </row>
    <row r="16" spans="1:6" x14ac:dyDescent="0.25">
      <c r="C16" s="31" t="s">
        <v>255</v>
      </c>
      <c r="D16" t="s">
        <v>451</v>
      </c>
      <c r="E16" t="s">
        <v>732</v>
      </c>
    </row>
    <row r="17" spans="3:5" x14ac:dyDescent="0.25">
      <c r="C17" s="31" t="s">
        <v>317</v>
      </c>
      <c r="D17" t="s">
        <v>452</v>
      </c>
      <c r="E17" t="s">
        <v>733</v>
      </c>
    </row>
    <row r="18" spans="3:5" x14ac:dyDescent="0.25">
      <c r="C18" s="31" t="s">
        <v>318</v>
      </c>
      <c r="D18" t="s">
        <v>453</v>
      </c>
      <c r="E18" t="s">
        <v>734</v>
      </c>
    </row>
    <row r="19" spans="3:5" x14ac:dyDescent="0.25">
      <c r="C19" s="31" t="s">
        <v>312</v>
      </c>
      <c r="D19" t="s">
        <v>454</v>
      </c>
      <c r="E19" t="s">
        <v>735</v>
      </c>
    </row>
    <row r="20" spans="3:5" x14ac:dyDescent="0.25">
      <c r="C20" s="31" t="s">
        <v>338</v>
      </c>
      <c r="D20" t="s">
        <v>455</v>
      </c>
      <c r="E20" t="s">
        <v>736</v>
      </c>
    </row>
    <row r="21" spans="3:5" x14ac:dyDescent="0.25">
      <c r="C21" s="31" t="s">
        <v>339</v>
      </c>
      <c r="D21" t="s">
        <v>456</v>
      </c>
      <c r="E21" t="s">
        <v>737</v>
      </c>
    </row>
    <row r="22" spans="3:5" x14ac:dyDescent="0.25">
      <c r="C22" s="31" t="s">
        <v>340</v>
      </c>
      <c r="D22" t="s">
        <v>457</v>
      </c>
      <c r="E22" t="s">
        <v>738</v>
      </c>
    </row>
    <row r="23" spans="3:5" x14ac:dyDescent="0.25">
      <c r="C23" s="31" t="s">
        <v>341</v>
      </c>
      <c r="D23" t="s">
        <v>458</v>
      </c>
      <c r="E23" t="s">
        <v>739</v>
      </c>
    </row>
    <row r="24" spans="3:5" x14ac:dyDescent="0.25">
      <c r="C24" s="31" t="s">
        <v>342</v>
      </c>
      <c r="D24" t="s">
        <v>459</v>
      </c>
      <c r="E24" t="s">
        <v>740</v>
      </c>
    </row>
    <row r="25" spans="3:5" x14ac:dyDescent="0.25">
      <c r="C25" s="31" t="s">
        <v>343</v>
      </c>
      <c r="D25" t="s">
        <v>460</v>
      </c>
      <c r="E25" t="s">
        <v>741</v>
      </c>
    </row>
    <row r="26" spans="3:5" x14ac:dyDescent="0.25">
      <c r="C26" s="31" t="s">
        <v>344</v>
      </c>
      <c r="D26" t="s">
        <v>461</v>
      </c>
      <c r="E26" t="s">
        <v>739</v>
      </c>
    </row>
    <row r="27" spans="3:5" x14ac:dyDescent="0.25">
      <c r="C27" s="31" t="s">
        <v>345</v>
      </c>
      <c r="D27" t="s">
        <v>462</v>
      </c>
      <c r="E27" t="s">
        <v>742</v>
      </c>
    </row>
    <row r="28" spans="3:5" x14ac:dyDescent="0.25">
      <c r="C28" s="31" t="s">
        <v>346</v>
      </c>
      <c r="D28" t="s">
        <v>463</v>
      </c>
      <c r="E28" t="s">
        <v>743</v>
      </c>
    </row>
    <row r="29" spans="3:5" x14ac:dyDescent="0.25">
      <c r="C29" s="31" t="s">
        <v>347</v>
      </c>
      <c r="D29" t="s">
        <v>464</v>
      </c>
      <c r="E29" t="s">
        <v>744</v>
      </c>
    </row>
    <row r="30" spans="3:5" x14ac:dyDescent="0.25">
      <c r="C30" s="31" t="s">
        <v>348</v>
      </c>
      <c r="D30" t="s">
        <v>465</v>
      </c>
      <c r="E30" t="s">
        <v>745</v>
      </c>
    </row>
    <row r="31" spans="3:5" x14ac:dyDescent="0.25">
      <c r="C31" s="31" t="s">
        <v>349</v>
      </c>
      <c r="D31" t="s">
        <v>466</v>
      </c>
      <c r="E31" s="25" t="s">
        <v>746</v>
      </c>
    </row>
    <row r="32" spans="3:5" x14ac:dyDescent="0.25">
      <c r="C32" s="31" t="s">
        <v>350</v>
      </c>
      <c r="D32" t="s">
        <v>467</v>
      </c>
      <c r="E32" s="25" t="s">
        <v>747</v>
      </c>
    </row>
    <row r="33" spans="3:5" x14ac:dyDescent="0.25">
      <c r="C33" s="31" t="s">
        <v>351</v>
      </c>
      <c r="D33" t="s">
        <v>468</v>
      </c>
      <c r="E33" s="25" t="s">
        <v>748</v>
      </c>
    </row>
    <row r="34" spans="3:5" x14ac:dyDescent="0.25">
      <c r="C34" s="31" t="s">
        <v>352</v>
      </c>
      <c r="D34" t="s">
        <v>469</v>
      </c>
      <c r="E34" s="26" t="s">
        <v>749</v>
      </c>
    </row>
    <row r="35" spans="3:5" x14ac:dyDescent="0.25">
      <c r="C35" s="31" t="s">
        <v>353</v>
      </c>
      <c r="D35" t="s">
        <v>470</v>
      </c>
      <c r="E35" s="27" t="s">
        <v>750</v>
      </c>
    </row>
    <row r="36" spans="3:5" x14ac:dyDescent="0.25">
      <c r="C36" s="31" t="s">
        <v>354</v>
      </c>
      <c r="D36" t="s">
        <v>471</v>
      </c>
      <c r="E36" s="26" t="s">
        <v>751</v>
      </c>
    </row>
    <row r="37" spans="3:5" x14ac:dyDescent="0.25">
      <c r="C37" s="31" t="s">
        <v>355</v>
      </c>
      <c r="D37" t="s">
        <v>472</v>
      </c>
      <c r="E37" s="26" t="s">
        <v>752</v>
      </c>
    </row>
    <row r="38" spans="3:5" x14ac:dyDescent="0.25">
      <c r="C38" s="31" t="s">
        <v>356</v>
      </c>
      <c r="D38" t="s">
        <v>473</v>
      </c>
      <c r="E38" s="26" t="s">
        <v>753</v>
      </c>
    </row>
    <row r="39" spans="3:5" x14ac:dyDescent="0.25">
      <c r="C39" s="31" t="s">
        <v>357</v>
      </c>
      <c r="D39" t="s">
        <v>474</v>
      </c>
      <c r="E39" s="28" t="s">
        <v>754</v>
      </c>
    </row>
    <row r="40" spans="3:5" x14ac:dyDescent="0.25">
      <c r="C40" s="31" t="s">
        <v>358</v>
      </c>
      <c r="D40" t="s">
        <v>475</v>
      </c>
      <c r="E40" s="28" t="s">
        <v>755</v>
      </c>
    </row>
    <row r="41" spans="3:5" x14ac:dyDescent="0.25">
      <c r="C41" s="31" t="s">
        <v>359</v>
      </c>
      <c r="D41" t="s">
        <v>476</v>
      </c>
      <c r="E41" s="28" t="s">
        <v>758</v>
      </c>
    </row>
    <row r="42" spans="3:5" x14ac:dyDescent="0.25">
      <c r="C42" s="31" t="s">
        <v>360</v>
      </c>
      <c r="D42" t="s">
        <v>477</v>
      </c>
      <c r="E42" s="29" t="s">
        <v>756</v>
      </c>
    </row>
    <row r="43" spans="3:5" x14ac:dyDescent="0.25">
      <c r="C43" s="31" t="s">
        <v>361</v>
      </c>
      <c r="D43" t="s">
        <v>478</v>
      </c>
      <c r="E43" s="30" t="s">
        <v>757</v>
      </c>
    </row>
    <row r="44" spans="3:5" x14ac:dyDescent="0.25">
      <c r="C44" s="31" t="s">
        <v>362</v>
      </c>
      <c r="D44" t="s">
        <v>479</v>
      </c>
      <c r="E44" t="s">
        <v>759</v>
      </c>
    </row>
    <row r="45" spans="3:5" x14ac:dyDescent="0.25">
      <c r="C45" s="31" t="s">
        <v>363</v>
      </c>
      <c r="D45" t="s">
        <v>480</v>
      </c>
      <c r="E45" t="s">
        <v>760</v>
      </c>
    </row>
    <row r="46" spans="3:5" x14ac:dyDescent="0.25">
      <c r="C46" s="31" t="s">
        <v>364</v>
      </c>
      <c r="D46" t="s">
        <v>481</v>
      </c>
      <c r="E46" t="s">
        <v>761</v>
      </c>
    </row>
    <row r="47" spans="3:5" x14ac:dyDescent="0.25">
      <c r="C47" s="31" t="s">
        <v>365</v>
      </c>
      <c r="D47" t="s">
        <v>482</v>
      </c>
      <c r="E47" t="s">
        <v>762</v>
      </c>
    </row>
    <row r="48" spans="3:5" x14ac:dyDescent="0.25">
      <c r="C48" s="31" t="s">
        <v>366</v>
      </c>
      <c r="D48" t="s">
        <v>483</v>
      </c>
      <c r="E48" t="s">
        <v>763</v>
      </c>
    </row>
    <row r="49" spans="3:4" x14ac:dyDescent="0.25">
      <c r="C49" s="31" t="s">
        <v>367</v>
      </c>
      <c r="D49" t="s">
        <v>484</v>
      </c>
    </row>
    <row r="50" spans="3:4" x14ac:dyDescent="0.25">
      <c r="C50" s="31" t="s">
        <v>368</v>
      </c>
      <c r="D50" t="s">
        <v>485</v>
      </c>
    </row>
    <row r="51" spans="3:4" x14ac:dyDescent="0.25">
      <c r="C51" s="31" t="s">
        <v>369</v>
      </c>
      <c r="D51" t="s">
        <v>486</v>
      </c>
    </row>
    <row r="52" spans="3:4" x14ac:dyDescent="0.25">
      <c r="C52" s="31" t="s">
        <v>370</v>
      </c>
      <c r="D52" t="s">
        <v>487</v>
      </c>
    </row>
    <row r="53" spans="3:4" x14ac:dyDescent="0.25">
      <c r="C53" s="31" t="s">
        <v>371</v>
      </c>
      <c r="D53" t="s">
        <v>488</v>
      </c>
    </row>
    <row r="54" spans="3:4" x14ac:dyDescent="0.25">
      <c r="C54" s="31" t="s">
        <v>372</v>
      </c>
      <c r="D54" t="s">
        <v>489</v>
      </c>
    </row>
    <row r="55" spans="3:4" x14ac:dyDescent="0.25">
      <c r="C55" s="31" t="s">
        <v>373</v>
      </c>
      <c r="D55" t="s">
        <v>490</v>
      </c>
    </row>
    <row r="56" spans="3:4" x14ac:dyDescent="0.25">
      <c r="C56" s="31" t="s">
        <v>374</v>
      </c>
      <c r="D56" t="s">
        <v>491</v>
      </c>
    </row>
    <row r="57" spans="3:4" x14ac:dyDescent="0.25">
      <c r="C57" s="31" t="s">
        <v>375</v>
      </c>
      <c r="D57" t="s">
        <v>492</v>
      </c>
    </row>
    <row r="58" spans="3:4" x14ac:dyDescent="0.25">
      <c r="C58" s="31" t="s">
        <v>376</v>
      </c>
      <c r="D58" t="s">
        <v>493</v>
      </c>
    </row>
    <row r="59" spans="3:4" x14ac:dyDescent="0.25">
      <c r="C59" s="31" t="s">
        <v>377</v>
      </c>
      <c r="D59" t="s">
        <v>494</v>
      </c>
    </row>
    <row r="60" spans="3:4" x14ac:dyDescent="0.25">
      <c r="C60" s="31" t="s">
        <v>378</v>
      </c>
      <c r="D60" t="s">
        <v>495</v>
      </c>
    </row>
    <row r="61" spans="3:4" x14ac:dyDescent="0.25">
      <c r="C61" s="31" t="s">
        <v>379</v>
      </c>
      <c r="D61" t="s">
        <v>496</v>
      </c>
    </row>
    <row r="62" spans="3:4" x14ac:dyDescent="0.25">
      <c r="C62" s="31" t="s">
        <v>380</v>
      </c>
      <c r="D62" t="s">
        <v>497</v>
      </c>
    </row>
    <row r="63" spans="3:4" x14ac:dyDescent="0.25">
      <c r="C63" s="31" t="s">
        <v>381</v>
      </c>
      <c r="D63" t="s">
        <v>498</v>
      </c>
    </row>
    <row r="64" spans="3:4" x14ac:dyDescent="0.25">
      <c r="C64" s="31" t="s">
        <v>382</v>
      </c>
      <c r="D64" t="s">
        <v>499</v>
      </c>
    </row>
    <row r="65" spans="3:4" x14ac:dyDescent="0.25">
      <c r="C65" s="31" t="s">
        <v>383</v>
      </c>
      <c r="D65" t="s">
        <v>500</v>
      </c>
    </row>
    <row r="66" spans="3:4" x14ac:dyDescent="0.25">
      <c r="C66" s="31" t="s">
        <v>384</v>
      </c>
      <c r="D66" t="s">
        <v>501</v>
      </c>
    </row>
    <row r="67" spans="3:4" x14ac:dyDescent="0.25">
      <c r="C67" s="31" t="s">
        <v>385</v>
      </c>
      <c r="D67" t="s">
        <v>502</v>
      </c>
    </row>
    <row r="68" spans="3:4" x14ac:dyDescent="0.25">
      <c r="C68" s="31" t="s">
        <v>386</v>
      </c>
      <c r="D68" t="s">
        <v>503</v>
      </c>
    </row>
    <row r="69" spans="3:4" x14ac:dyDescent="0.25">
      <c r="C69" s="31" t="s">
        <v>387</v>
      </c>
      <c r="D69" t="s">
        <v>504</v>
      </c>
    </row>
    <row r="70" spans="3:4" x14ac:dyDescent="0.25">
      <c r="C70" s="31" t="s">
        <v>388</v>
      </c>
      <c r="D70" t="s">
        <v>505</v>
      </c>
    </row>
    <row r="71" spans="3:4" x14ac:dyDescent="0.25">
      <c r="C71" s="31" t="s">
        <v>389</v>
      </c>
      <c r="D71" t="s">
        <v>506</v>
      </c>
    </row>
    <row r="72" spans="3:4" x14ac:dyDescent="0.25">
      <c r="C72" s="31" t="s">
        <v>390</v>
      </c>
      <c r="D72" t="s">
        <v>507</v>
      </c>
    </row>
    <row r="73" spans="3:4" x14ac:dyDescent="0.25">
      <c r="C73" s="31" t="s">
        <v>391</v>
      </c>
      <c r="D73" t="s">
        <v>508</v>
      </c>
    </row>
    <row r="74" spans="3:4" x14ac:dyDescent="0.25">
      <c r="C74" s="31" t="s">
        <v>392</v>
      </c>
      <c r="D74" t="s">
        <v>509</v>
      </c>
    </row>
    <row r="75" spans="3:4" x14ac:dyDescent="0.25">
      <c r="C75" s="31" t="s">
        <v>393</v>
      </c>
      <c r="D75" t="s">
        <v>510</v>
      </c>
    </row>
    <row r="76" spans="3:4" x14ac:dyDescent="0.25">
      <c r="C76" s="31" t="s">
        <v>394</v>
      </c>
      <c r="D76" t="s">
        <v>511</v>
      </c>
    </row>
    <row r="77" spans="3:4" x14ac:dyDescent="0.25">
      <c r="C77" s="31" t="s">
        <v>395</v>
      </c>
      <c r="D77" t="s">
        <v>512</v>
      </c>
    </row>
    <row r="78" spans="3:4" x14ac:dyDescent="0.25">
      <c r="C78" s="31" t="s">
        <v>396</v>
      </c>
      <c r="D78" t="s">
        <v>513</v>
      </c>
    </row>
    <row r="79" spans="3:4" x14ac:dyDescent="0.25">
      <c r="C79" s="31" t="s">
        <v>397</v>
      </c>
      <c r="D79" t="s">
        <v>514</v>
      </c>
    </row>
    <row r="80" spans="3:4" x14ac:dyDescent="0.25">
      <c r="C80" s="31" t="s">
        <v>398</v>
      </c>
      <c r="D80" t="s">
        <v>515</v>
      </c>
    </row>
    <row r="81" spans="3:4" x14ac:dyDescent="0.25">
      <c r="C81" s="31" t="s">
        <v>399</v>
      </c>
      <c r="D81" t="s">
        <v>516</v>
      </c>
    </row>
    <row r="82" spans="3:4" x14ac:dyDescent="0.25">
      <c r="C82" s="31" t="s">
        <v>400</v>
      </c>
      <c r="D82" t="s">
        <v>517</v>
      </c>
    </row>
    <row r="83" spans="3:4" x14ac:dyDescent="0.25">
      <c r="C83" s="31" t="s">
        <v>401</v>
      </c>
      <c r="D83" t="s">
        <v>518</v>
      </c>
    </row>
    <row r="84" spans="3:4" x14ac:dyDescent="0.25">
      <c r="C84" s="31" t="s">
        <v>402</v>
      </c>
      <c r="D84" t="s">
        <v>519</v>
      </c>
    </row>
    <row r="85" spans="3:4" x14ac:dyDescent="0.25">
      <c r="C85" s="31" t="s">
        <v>403</v>
      </c>
      <c r="D85" t="s">
        <v>520</v>
      </c>
    </row>
    <row r="86" spans="3:4" x14ac:dyDescent="0.25">
      <c r="C86" s="31" t="s">
        <v>404</v>
      </c>
      <c r="D86" t="s">
        <v>521</v>
      </c>
    </row>
    <row r="87" spans="3:4" x14ac:dyDescent="0.25">
      <c r="C87" s="31" t="s">
        <v>405</v>
      </c>
      <c r="D87" t="s">
        <v>522</v>
      </c>
    </row>
    <row r="88" spans="3:4" x14ac:dyDescent="0.25">
      <c r="C88" s="31" t="s">
        <v>406</v>
      </c>
      <c r="D88" t="s">
        <v>523</v>
      </c>
    </row>
    <row r="89" spans="3:4" x14ac:dyDescent="0.25">
      <c r="C89" s="31" t="s">
        <v>407</v>
      </c>
      <c r="D89" t="s">
        <v>524</v>
      </c>
    </row>
    <row r="90" spans="3:4" x14ac:dyDescent="0.25">
      <c r="C90" s="31" t="s">
        <v>408</v>
      </c>
      <c r="D90" t="s">
        <v>525</v>
      </c>
    </row>
    <row r="91" spans="3:4" x14ac:dyDescent="0.25">
      <c r="C91" s="31" t="s">
        <v>409</v>
      </c>
      <c r="D91" t="s">
        <v>526</v>
      </c>
    </row>
    <row r="92" spans="3:4" x14ac:dyDescent="0.25">
      <c r="C92" s="31" t="s">
        <v>410</v>
      </c>
      <c r="D92" t="s">
        <v>527</v>
      </c>
    </row>
    <row r="93" spans="3:4" x14ac:dyDescent="0.25">
      <c r="C93" s="31" t="s">
        <v>411</v>
      </c>
      <c r="D93" t="s">
        <v>528</v>
      </c>
    </row>
    <row r="94" spans="3:4" x14ac:dyDescent="0.25">
      <c r="C94" s="31" t="s">
        <v>412</v>
      </c>
      <c r="D94" t="s">
        <v>529</v>
      </c>
    </row>
    <row r="95" spans="3:4" x14ac:dyDescent="0.25">
      <c r="C95" s="31" t="s">
        <v>413</v>
      </c>
      <c r="D95" t="s">
        <v>530</v>
      </c>
    </row>
    <row r="96" spans="3:4" x14ac:dyDescent="0.25">
      <c r="C96" s="31" t="s">
        <v>414</v>
      </c>
      <c r="D96" t="s">
        <v>531</v>
      </c>
    </row>
    <row r="97" spans="3:4" x14ac:dyDescent="0.25">
      <c r="C97" s="31" t="s">
        <v>415</v>
      </c>
      <c r="D97" t="s">
        <v>532</v>
      </c>
    </row>
    <row r="98" spans="3:4" x14ac:dyDescent="0.25">
      <c r="C98" s="31" t="s">
        <v>416</v>
      </c>
      <c r="D98" t="s">
        <v>533</v>
      </c>
    </row>
    <row r="99" spans="3:4" x14ac:dyDescent="0.25">
      <c r="C99" s="31" t="s">
        <v>417</v>
      </c>
      <c r="D99" t="s">
        <v>534</v>
      </c>
    </row>
    <row r="100" spans="3:4" x14ac:dyDescent="0.25">
      <c r="C100" s="31" t="s">
        <v>418</v>
      </c>
      <c r="D100" t="s">
        <v>535</v>
      </c>
    </row>
    <row r="101" spans="3:4" x14ac:dyDescent="0.25">
      <c r="C101" s="31" t="s">
        <v>419</v>
      </c>
      <c r="D101" t="s">
        <v>536</v>
      </c>
    </row>
    <row r="102" spans="3:4" x14ac:dyDescent="0.25">
      <c r="C102" s="31" t="s">
        <v>420</v>
      </c>
      <c r="D102" t="s">
        <v>537</v>
      </c>
    </row>
    <row r="103" spans="3:4" x14ac:dyDescent="0.25">
      <c r="C103" s="31" t="s">
        <v>421</v>
      </c>
      <c r="D103" t="s">
        <v>538</v>
      </c>
    </row>
    <row r="104" spans="3:4" x14ac:dyDescent="0.25">
      <c r="C104" s="31" t="s">
        <v>422</v>
      </c>
      <c r="D104" t="s">
        <v>539</v>
      </c>
    </row>
    <row r="105" spans="3:4" x14ac:dyDescent="0.25">
      <c r="C105" s="31" t="s">
        <v>423</v>
      </c>
      <c r="D105" t="s">
        <v>540</v>
      </c>
    </row>
    <row r="106" spans="3:4" x14ac:dyDescent="0.25">
      <c r="C106" s="31" t="s">
        <v>424</v>
      </c>
      <c r="D106" t="s">
        <v>541</v>
      </c>
    </row>
    <row r="107" spans="3:4" x14ac:dyDescent="0.25">
      <c r="C107" s="31" t="s">
        <v>425</v>
      </c>
      <c r="D107" t="s">
        <v>542</v>
      </c>
    </row>
    <row r="108" spans="3:4" x14ac:dyDescent="0.25">
      <c r="C108" s="31" t="s">
        <v>426</v>
      </c>
      <c r="D108" t="s">
        <v>543</v>
      </c>
    </row>
    <row r="109" spans="3:4" x14ac:dyDescent="0.25">
      <c r="C109" s="31" t="s">
        <v>427</v>
      </c>
      <c r="D109" t="s">
        <v>544</v>
      </c>
    </row>
    <row r="110" spans="3:4" x14ac:dyDescent="0.25">
      <c r="C110" s="31" t="s">
        <v>428</v>
      </c>
      <c r="D110" t="s">
        <v>545</v>
      </c>
    </row>
    <row r="111" spans="3:4" x14ac:dyDescent="0.25">
      <c r="C111" s="31" t="s">
        <v>429</v>
      </c>
      <c r="D111" t="s">
        <v>546</v>
      </c>
    </row>
    <row r="112" spans="3:4" x14ac:dyDescent="0.25">
      <c r="C112" s="31" t="s">
        <v>430</v>
      </c>
      <c r="D112" t="s">
        <v>547</v>
      </c>
    </row>
    <row r="113" spans="3:4" x14ac:dyDescent="0.25">
      <c r="C113" s="31" t="s">
        <v>431</v>
      </c>
      <c r="D113" t="s">
        <v>548</v>
      </c>
    </row>
    <row r="114" spans="3:4" x14ac:dyDescent="0.25">
      <c r="C114" s="31" t="s">
        <v>432</v>
      </c>
      <c r="D114" t="s">
        <v>549</v>
      </c>
    </row>
    <row r="115" spans="3:4" x14ac:dyDescent="0.25">
      <c r="C115" s="32" t="s">
        <v>94</v>
      </c>
      <c r="D115" t="s">
        <v>550</v>
      </c>
    </row>
    <row r="116" spans="3:4" x14ac:dyDescent="0.25">
      <c r="C116" s="32" t="s">
        <v>95</v>
      </c>
      <c r="D116" t="s">
        <v>551</v>
      </c>
    </row>
    <row r="117" spans="3:4" x14ac:dyDescent="0.25">
      <c r="C117" s="32" t="s">
        <v>103</v>
      </c>
      <c r="D117" t="s">
        <v>552</v>
      </c>
    </row>
    <row r="118" spans="3:4" x14ac:dyDescent="0.25">
      <c r="C118" s="32" t="s">
        <v>104</v>
      </c>
      <c r="D118" t="s">
        <v>553</v>
      </c>
    </row>
    <row r="119" spans="3:4" x14ac:dyDescent="0.25">
      <c r="C119" s="32" t="s">
        <v>105</v>
      </c>
      <c r="D119" t="s">
        <v>554</v>
      </c>
    </row>
    <row r="120" spans="3:4" x14ac:dyDescent="0.25">
      <c r="C120" s="32" t="s">
        <v>106</v>
      </c>
      <c r="D120" t="s">
        <v>555</v>
      </c>
    </row>
    <row r="121" spans="3:4" x14ac:dyDescent="0.25">
      <c r="C121" s="32" t="s">
        <v>107</v>
      </c>
      <c r="D121" t="s">
        <v>556</v>
      </c>
    </row>
    <row r="122" spans="3:4" x14ac:dyDescent="0.25">
      <c r="C122" s="32" t="s">
        <v>108</v>
      </c>
      <c r="D122" t="s">
        <v>557</v>
      </c>
    </row>
    <row r="123" spans="3:4" x14ac:dyDescent="0.25">
      <c r="C123" s="32" t="s">
        <v>109</v>
      </c>
      <c r="D123" t="s">
        <v>558</v>
      </c>
    </row>
    <row r="124" spans="3:4" x14ac:dyDescent="0.25">
      <c r="C124" s="32" t="s">
        <v>110</v>
      </c>
      <c r="D124" t="s">
        <v>559</v>
      </c>
    </row>
    <row r="125" spans="3:4" x14ac:dyDescent="0.25">
      <c r="C125" s="32" t="s">
        <v>111</v>
      </c>
      <c r="D125" t="s">
        <v>560</v>
      </c>
    </row>
    <row r="126" spans="3:4" x14ac:dyDescent="0.25">
      <c r="C126" s="32" t="s">
        <v>112</v>
      </c>
      <c r="D126" t="s">
        <v>561</v>
      </c>
    </row>
    <row r="127" spans="3:4" x14ac:dyDescent="0.25">
      <c r="C127" s="32" t="s">
        <v>113</v>
      </c>
      <c r="D127" t="s">
        <v>562</v>
      </c>
    </row>
    <row r="128" spans="3:4" x14ac:dyDescent="0.25">
      <c r="C128" s="32" t="s">
        <v>114</v>
      </c>
      <c r="D128" t="s">
        <v>563</v>
      </c>
    </row>
    <row r="129" spans="3:4" x14ac:dyDescent="0.25">
      <c r="C129" s="32" t="s">
        <v>162</v>
      </c>
      <c r="D129" t="s">
        <v>564</v>
      </c>
    </row>
    <row r="130" spans="3:4" x14ac:dyDescent="0.25">
      <c r="C130" s="32" t="s">
        <v>163</v>
      </c>
      <c r="D130" t="s">
        <v>565</v>
      </c>
    </row>
    <row r="131" spans="3:4" x14ac:dyDescent="0.25">
      <c r="C131" s="32" t="s">
        <v>164</v>
      </c>
      <c r="D131" t="s">
        <v>566</v>
      </c>
    </row>
    <row r="132" spans="3:4" x14ac:dyDescent="0.25">
      <c r="C132" s="32" t="s">
        <v>165</v>
      </c>
      <c r="D132" t="s">
        <v>567</v>
      </c>
    </row>
    <row r="133" spans="3:4" x14ac:dyDescent="0.25">
      <c r="C133" s="32" t="s">
        <v>166</v>
      </c>
      <c r="D133" t="s">
        <v>568</v>
      </c>
    </row>
    <row r="134" spans="3:4" x14ac:dyDescent="0.25">
      <c r="C134" s="32" t="s">
        <v>167</v>
      </c>
      <c r="D134" t="s">
        <v>569</v>
      </c>
    </row>
    <row r="135" spans="3:4" x14ac:dyDescent="0.25">
      <c r="C135" s="32" t="s">
        <v>168</v>
      </c>
      <c r="D135" t="s">
        <v>570</v>
      </c>
    </row>
    <row r="136" spans="3:4" x14ac:dyDescent="0.25">
      <c r="C136" s="32" t="s">
        <v>169</v>
      </c>
      <c r="D136" t="s">
        <v>571</v>
      </c>
    </row>
    <row r="137" spans="3:4" x14ac:dyDescent="0.25">
      <c r="C137" s="32" t="s">
        <v>170</v>
      </c>
      <c r="D137" t="s">
        <v>572</v>
      </c>
    </row>
    <row r="138" spans="3:4" x14ac:dyDescent="0.25">
      <c r="C138" s="32" t="s">
        <v>171</v>
      </c>
      <c r="D138" t="s">
        <v>573</v>
      </c>
    </row>
    <row r="139" spans="3:4" x14ac:dyDescent="0.25">
      <c r="C139" s="32" t="s">
        <v>172</v>
      </c>
      <c r="D139" t="s">
        <v>574</v>
      </c>
    </row>
    <row r="140" spans="3:4" x14ac:dyDescent="0.25">
      <c r="C140" s="32" t="s">
        <v>173</v>
      </c>
      <c r="D140" t="s">
        <v>575</v>
      </c>
    </row>
    <row r="141" spans="3:4" x14ac:dyDescent="0.25">
      <c r="C141" s="32" t="s">
        <v>174</v>
      </c>
      <c r="D141" t="s">
        <v>576</v>
      </c>
    </row>
    <row r="142" spans="3:4" x14ac:dyDescent="0.25">
      <c r="C142" s="32" t="s">
        <v>175</v>
      </c>
      <c r="D142" t="s">
        <v>577</v>
      </c>
    </row>
    <row r="143" spans="3:4" x14ac:dyDescent="0.25">
      <c r="C143" s="32" t="s">
        <v>176</v>
      </c>
      <c r="D143" t="s">
        <v>578</v>
      </c>
    </row>
    <row r="144" spans="3:4" x14ac:dyDescent="0.25">
      <c r="C144" s="32" t="s">
        <v>177</v>
      </c>
      <c r="D144" t="s">
        <v>579</v>
      </c>
    </row>
    <row r="145" spans="3:4" x14ac:dyDescent="0.25">
      <c r="C145" s="32" t="s">
        <v>178</v>
      </c>
      <c r="D145" t="s">
        <v>580</v>
      </c>
    </row>
    <row r="146" spans="3:4" x14ac:dyDescent="0.25">
      <c r="C146" s="32" t="s">
        <v>179</v>
      </c>
      <c r="D146" t="s">
        <v>581</v>
      </c>
    </row>
    <row r="147" spans="3:4" x14ac:dyDescent="0.25">
      <c r="C147" s="32" t="s">
        <v>180</v>
      </c>
      <c r="D147" t="s">
        <v>582</v>
      </c>
    </row>
    <row r="148" spans="3:4" x14ac:dyDescent="0.25">
      <c r="C148" s="32" t="s">
        <v>181</v>
      </c>
      <c r="D148" t="s">
        <v>583</v>
      </c>
    </row>
    <row r="149" spans="3:4" x14ac:dyDescent="0.25">
      <c r="C149" s="32" t="s">
        <v>182</v>
      </c>
      <c r="D149" t="s">
        <v>584</v>
      </c>
    </row>
    <row r="150" spans="3:4" x14ac:dyDescent="0.25">
      <c r="C150" s="32" t="s">
        <v>183</v>
      </c>
      <c r="D150" t="s">
        <v>585</v>
      </c>
    </row>
    <row r="151" spans="3:4" x14ac:dyDescent="0.25">
      <c r="C151" s="32" t="s">
        <v>184</v>
      </c>
      <c r="D151" t="s">
        <v>586</v>
      </c>
    </row>
    <row r="152" spans="3:4" x14ac:dyDescent="0.25">
      <c r="C152" s="32" t="s">
        <v>185</v>
      </c>
      <c r="D152" t="s">
        <v>587</v>
      </c>
    </row>
    <row r="153" spans="3:4" x14ac:dyDescent="0.25">
      <c r="C153" s="32" t="s">
        <v>186</v>
      </c>
      <c r="D153" t="s">
        <v>588</v>
      </c>
    </row>
    <row r="154" spans="3:4" x14ac:dyDescent="0.25">
      <c r="C154" s="32" t="s">
        <v>187</v>
      </c>
      <c r="D154" t="s">
        <v>589</v>
      </c>
    </row>
    <row r="155" spans="3:4" x14ac:dyDescent="0.25">
      <c r="C155" s="32" t="s">
        <v>188</v>
      </c>
      <c r="D155" t="s">
        <v>590</v>
      </c>
    </row>
    <row r="156" spans="3:4" x14ac:dyDescent="0.25">
      <c r="C156" s="32" t="s">
        <v>189</v>
      </c>
      <c r="D156" t="s">
        <v>591</v>
      </c>
    </row>
    <row r="157" spans="3:4" x14ac:dyDescent="0.25">
      <c r="C157" s="32" t="s">
        <v>190</v>
      </c>
      <c r="D157" t="s">
        <v>592</v>
      </c>
    </row>
    <row r="158" spans="3:4" x14ac:dyDescent="0.25">
      <c r="C158" s="32" t="s">
        <v>191</v>
      </c>
      <c r="D158" t="s">
        <v>593</v>
      </c>
    </row>
    <row r="159" spans="3:4" x14ac:dyDescent="0.25">
      <c r="C159" s="32" t="s">
        <v>192</v>
      </c>
      <c r="D159" t="s">
        <v>594</v>
      </c>
    </row>
    <row r="160" spans="3:4" x14ac:dyDescent="0.25">
      <c r="C160" s="32" t="s">
        <v>193</v>
      </c>
      <c r="D160" t="s">
        <v>595</v>
      </c>
    </row>
    <row r="161" spans="3:4" x14ac:dyDescent="0.25">
      <c r="C161" s="32" t="s">
        <v>194</v>
      </c>
      <c r="D161" t="s">
        <v>596</v>
      </c>
    </row>
    <row r="162" spans="3:4" x14ac:dyDescent="0.25">
      <c r="C162" s="32" t="s">
        <v>195</v>
      </c>
      <c r="D162" t="s">
        <v>597</v>
      </c>
    </row>
    <row r="163" spans="3:4" x14ac:dyDescent="0.25">
      <c r="C163" s="32" t="s">
        <v>196</v>
      </c>
      <c r="D163" t="s">
        <v>598</v>
      </c>
    </row>
    <row r="164" spans="3:4" x14ac:dyDescent="0.25">
      <c r="C164" s="32" t="s">
        <v>197</v>
      </c>
      <c r="D164" t="s">
        <v>599</v>
      </c>
    </row>
    <row r="165" spans="3:4" x14ac:dyDescent="0.25">
      <c r="C165" s="32" t="s">
        <v>198</v>
      </c>
      <c r="D165" t="s">
        <v>600</v>
      </c>
    </row>
    <row r="166" spans="3:4" x14ac:dyDescent="0.25">
      <c r="C166" s="32" t="s">
        <v>208</v>
      </c>
      <c r="D166" t="s">
        <v>601</v>
      </c>
    </row>
    <row r="167" spans="3:4" x14ac:dyDescent="0.25">
      <c r="C167" s="32" t="s">
        <v>224</v>
      </c>
      <c r="D167" t="s">
        <v>602</v>
      </c>
    </row>
    <row r="168" spans="3:4" x14ac:dyDescent="0.25">
      <c r="C168" s="32" t="s">
        <v>225</v>
      </c>
      <c r="D168" t="s">
        <v>603</v>
      </c>
    </row>
    <row r="169" spans="3:4" x14ac:dyDescent="0.25">
      <c r="C169" s="32" t="s">
        <v>226</v>
      </c>
      <c r="D169" t="s">
        <v>604</v>
      </c>
    </row>
    <row r="170" spans="3:4" x14ac:dyDescent="0.25">
      <c r="C170" s="32" t="s">
        <v>227</v>
      </c>
      <c r="D170" t="s">
        <v>605</v>
      </c>
    </row>
    <row r="171" spans="3:4" x14ac:dyDescent="0.25">
      <c r="C171" s="32" t="s">
        <v>228</v>
      </c>
      <c r="D171" t="s">
        <v>606</v>
      </c>
    </row>
    <row r="172" spans="3:4" x14ac:dyDescent="0.25">
      <c r="C172" s="32" t="s">
        <v>229</v>
      </c>
      <c r="D172" t="s">
        <v>607</v>
      </c>
    </row>
    <row r="173" spans="3:4" x14ac:dyDescent="0.25">
      <c r="C173" s="32" t="s">
        <v>230</v>
      </c>
      <c r="D173" t="s">
        <v>608</v>
      </c>
    </row>
    <row r="174" spans="3:4" x14ac:dyDescent="0.25">
      <c r="C174" s="32" t="s">
        <v>231</v>
      </c>
      <c r="D174" t="s">
        <v>609</v>
      </c>
    </row>
    <row r="175" spans="3:4" x14ac:dyDescent="0.25">
      <c r="C175" s="32" t="s">
        <v>232</v>
      </c>
      <c r="D175" t="s">
        <v>610</v>
      </c>
    </row>
    <row r="176" spans="3:4" x14ac:dyDescent="0.25">
      <c r="C176" s="32" t="s">
        <v>233</v>
      </c>
      <c r="D176" t="s">
        <v>611</v>
      </c>
    </row>
    <row r="177" spans="3:4" x14ac:dyDescent="0.25">
      <c r="C177" s="32" t="s">
        <v>234</v>
      </c>
      <c r="D177" t="s">
        <v>612</v>
      </c>
    </row>
    <row r="178" spans="3:4" x14ac:dyDescent="0.25">
      <c r="C178" s="32" t="s">
        <v>243</v>
      </c>
      <c r="D178" t="s">
        <v>613</v>
      </c>
    </row>
    <row r="179" spans="3:4" x14ac:dyDescent="0.25">
      <c r="C179" s="32" t="s">
        <v>244</v>
      </c>
      <c r="D179" t="s">
        <v>614</v>
      </c>
    </row>
    <row r="180" spans="3:4" x14ac:dyDescent="0.25">
      <c r="C180" s="32" t="s">
        <v>250</v>
      </c>
      <c r="D180" t="s">
        <v>615</v>
      </c>
    </row>
    <row r="181" spans="3:4" x14ac:dyDescent="0.25">
      <c r="C181" s="32" t="s">
        <v>251</v>
      </c>
      <c r="D181" t="s">
        <v>616</v>
      </c>
    </row>
    <row r="182" spans="3:4" x14ac:dyDescent="0.25">
      <c r="C182" s="32" t="s">
        <v>253</v>
      </c>
      <c r="D182" t="s">
        <v>617</v>
      </c>
    </row>
    <row r="183" spans="3:4" x14ac:dyDescent="0.25">
      <c r="C183" s="32" t="s">
        <v>256</v>
      </c>
      <c r="D183" t="s">
        <v>618</v>
      </c>
    </row>
    <row r="184" spans="3:4" x14ac:dyDescent="0.25">
      <c r="C184" s="32" t="s">
        <v>260</v>
      </c>
      <c r="D184" t="s">
        <v>619</v>
      </c>
    </row>
    <row r="185" spans="3:4" x14ac:dyDescent="0.25">
      <c r="C185" s="32" t="s">
        <v>261</v>
      </c>
      <c r="D185" t="s">
        <v>620</v>
      </c>
    </row>
    <row r="186" spans="3:4" x14ac:dyDescent="0.25">
      <c r="C186" s="32" t="s">
        <v>262</v>
      </c>
      <c r="D186" t="s">
        <v>621</v>
      </c>
    </row>
    <row r="187" spans="3:4" x14ac:dyDescent="0.25">
      <c r="C187" s="32" t="s">
        <v>263</v>
      </c>
      <c r="D187" t="s">
        <v>622</v>
      </c>
    </row>
    <row r="188" spans="3:4" x14ac:dyDescent="0.25">
      <c r="C188" s="32" t="s">
        <v>264</v>
      </c>
      <c r="D188" t="s">
        <v>623</v>
      </c>
    </row>
    <row r="189" spans="3:4" x14ac:dyDescent="0.25">
      <c r="C189" s="32" t="s">
        <v>265</v>
      </c>
      <c r="D189" t="s">
        <v>624</v>
      </c>
    </row>
    <row r="190" spans="3:4" x14ac:dyDescent="0.25">
      <c r="C190" s="32" t="s">
        <v>266</v>
      </c>
      <c r="D190" t="s">
        <v>625</v>
      </c>
    </row>
    <row r="191" spans="3:4" x14ac:dyDescent="0.25">
      <c r="C191" s="32" t="s">
        <v>267</v>
      </c>
      <c r="D191" t="s">
        <v>626</v>
      </c>
    </row>
    <row r="192" spans="3:4" x14ac:dyDescent="0.25">
      <c r="C192" s="32" t="s">
        <v>268</v>
      </c>
      <c r="D192" t="s">
        <v>627</v>
      </c>
    </row>
    <row r="193" spans="3:4" x14ac:dyDescent="0.25">
      <c r="C193" s="32" t="s">
        <v>269</v>
      </c>
      <c r="D193" t="s">
        <v>628</v>
      </c>
    </row>
    <row r="194" spans="3:4" x14ac:dyDescent="0.25">
      <c r="C194" s="32" t="s">
        <v>270</v>
      </c>
      <c r="D194" t="s">
        <v>629</v>
      </c>
    </row>
    <row r="195" spans="3:4" x14ac:dyDescent="0.25">
      <c r="C195" s="32" t="s">
        <v>271</v>
      </c>
      <c r="D195" t="s">
        <v>630</v>
      </c>
    </row>
    <row r="196" spans="3:4" x14ac:dyDescent="0.25">
      <c r="C196" s="32" t="s">
        <v>275</v>
      </c>
      <c r="D196" t="s">
        <v>631</v>
      </c>
    </row>
    <row r="197" spans="3:4" x14ac:dyDescent="0.25">
      <c r="C197" s="32" t="s">
        <v>277</v>
      </c>
      <c r="D197" t="s">
        <v>632</v>
      </c>
    </row>
    <row r="198" spans="3:4" x14ac:dyDescent="0.25">
      <c r="C198" s="32" t="s">
        <v>280</v>
      </c>
      <c r="D198" t="s">
        <v>633</v>
      </c>
    </row>
    <row r="199" spans="3:4" x14ac:dyDescent="0.25">
      <c r="C199" s="32" t="s">
        <v>281</v>
      </c>
      <c r="D199" t="s">
        <v>634</v>
      </c>
    </row>
    <row r="200" spans="3:4" x14ac:dyDescent="0.25">
      <c r="C200" s="32" t="s">
        <v>282</v>
      </c>
      <c r="D200" t="s">
        <v>635</v>
      </c>
    </row>
    <row r="201" spans="3:4" x14ac:dyDescent="0.25">
      <c r="C201" s="32" t="s">
        <v>283</v>
      </c>
      <c r="D201" t="s">
        <v>636</v>
      </c>
    </row>
    <row r="202" spans="3:4" x14ac:dyDescent="0.25">
      <c r="C202" s="32" t="s">
        <v>284</v>
      </c>
      <c r="D202" t="s">
        <v>637</v>
      </c>
    </row>
    <row r="203" spans="3:4" x14ac:dyDescent="0.25">
      <c r="C203" s="32" t="s">
        <v>285</v>
      </c>
      <c r="D203" t="s">
        <v>638</v>
      </c>
    </row>
    <row r="204" spans="3:4" x14ac:dyDescent="0.25">
      <c r="C204" s="32" t="s">
        <v>286</v>
      </c>
      <c r="D204" t="s">
        <v>639</v>
      </c>
    </row>
    <row r="205" spans="3:4" x14ac:dyDescent="0.25">
      <c r="C205" s="32" t="s">
        <v>291</v>
      </c>
      <c r="D205" t="s">
        <v>640</v>
      </c>
    </row>
    <row r="206" spans="3:4" x14ac:dyDescent="0.25">
      <c r="C206" s="32" t="s">
        <v>292</v>
      </c>
      <c r="D206" t="s">
        <v>641</v>
      </c>
    </row>
    <row r="207" spans="3:4" x14ac:dyDescent="0.25">
      <c r="C207" s="32" t="s">
        <v>293</v>
      </c>
      <c r="D207" t="s">
        <v>642</v>
      </c>
    </row>
    <row r="208" spans="3:4" x14ac:dyDescent="0.25">
      <c r="C208" s="32" t="s">
        <v>294</v>
      </c>
      <c r="D208" t="s">
        <v>643</v>
      </c>
    </row>
    <row r="209" spans="3:4" x14ac:dyDescent="0.25">
      <c r="C209" s="32" t="s">
        <v>295</v>
      </c>
      <c r="D209" t="s">
        <v>644</v>
      </c>
    </row>
    <row r="210" spans="3:4" x14ac:dyDescent="0.25">
      <c r="C210" s="32" t="s">
        <v>296</v>
      </c>
      <c r="D210" t="s">
        <v>645</v>
      </c>
    </row>
    <row r="211" spans="3:4" x14ac:dyDescent="0.25">
      <c r="C211" s="32" t="s">
        <v>297</v>
      </c>
      <c r="D211" t="s">
        <v>646</v>
      </c>
    </row>
    <row r="212" spans="3:4" x14ac:dyDescent="0.25">
      <c r="C212" s="32" t="s">
        <v>298</v>
      </c>
      <c r="D212" t="s">
        <v>647</v>
      </c>
    </row>
    <row r="213" spans="3:4" x14ac:dyDescent="0.25">
      <c r="C213" s="32" t="s">
        <v>299</v>
      </c>
      <c r="D213" t="s">
        <v>648</v>
      </c>
    </row>
    <row r="214" spans="3:4" x14ac:dyDescent="0.25">
      <c r="C214" s="32" t="s">
        <v>300</v>
      </c>
      <c r="D214" t="s">
        <v>649</v>
      </c>
    </row>
    <row r="215" spans="3:4" x14ac:dyDescent="0.25">
      <c r="C215" s="32" t="s">
        <v>301</v>
      </c>
      <c r="D215" t="s">
        <v>650</v>
      </c>
    </row>
    <row r="216" spans="3:4" x14ac:dyDescent="0.25">
      <c r="C216" s="32" t="s">
        <v>302</v>
      </c>
      <c r="D216" t="s">
        <v>651</v>
      </c>
    </row>
    <row r="217" spans="3:4" x14ac:dyDescent="0.25">
      <c r="C217" s="32" t="s">
        <v>311</v>
      </c>
      <c r="D217" t="s">
        <v>652</v>
      </c>
    </row>
    <row r="218" spans="3:4" x14ac:dyDescent="0.25">
      <c r="C218" s="32" t="s">
        <v>313</v>
      </c>
      <c r="D218" t="s">
        <v>653</v>
      </c>
    </row>
    <row r="219" spans="3:4" x14ac:dyDescent="0.25">
      <c r="C219" s="32" t="s">
        <v>314</v>
      </c>
      <c r="D219" t="s">
        <v>654</v>
      </c>
    </row>
    <row r="220" spans="3:4" x14ac:dyDescent="0.25">
      <c r="C220" s="32" t="s">
        <v>315</v>
      </c>
      <c r="D220" t="s">
        <v>655</v>
      </c>
    </row>
    <row r="221" spans="3:4" x14ac:dyDescent="0.25">
      <c r="C221" s="32" t="s">
        <v>319</v>
      </c>
      <c r="D221" t="s">
        <v>656</v>
      </c>
    </row>
    <row r="222" spans="3:4" x14ac:dyDescent="0.25">
      <c r="C222" s="32" t="s">
        <v>320</v>
      </c>
      <c r="D222" t="s">
        <v>657</v>
      </c>
    </row>
    <row r="223" spans="3:4" x14ac:dyDescent="0.25">
      <c r="C223" s="32" t="s">
        <v>321</v>
      </c>
      <c r="D223" t="s">
        <v>658</v>
      </c>
    </row>
    <row r="224" spans="3:4" x14ac:dyDescent="0.25">
      <c r="C224" s="32" t="s">
        <v>322</v>
      </c>
      <c r="D224" t="s">
        <v>659</v>
      </c>
    </row>
    <row r="225" spans="3:4" x14ac:dyDescent="0.25">
      <c r="C225" s="32" t="s">
        <v>323</v>
      </c>
      <c r="D225" t="s">
        <v>660</v>
      </c>
    </row>
    <row r="226" spans="3:4" x14ac:dyDescent="0.25">
      <c r="C226" s="32" t="s">
        <v>324</v>
      </c>
      <c r="D226" t="s">
        <v>661</v>
      </c>
    </row>
    <row r="227" spans="3:4" x14ac:dyDescent="0.25">
      <c r="C227" s="32" t="s">
        <v>325</v>
      </c>
      <c r="D227" t="s">
        <v>662</v>
      </c>
    </row>
    <row r="228" spans="3:4" x14ac:dyDescent="0.25">
      <c r="C228" s="32" t="s">
        <v>326</v>
      </c>
      <c r="D228" t="s">
        <v>663</v>
      </c>
    </row>
    <row r="229" spans="3:4" x14ac:dyDescent="0.25">
      <c r="C229" s="32" t="s">
        <v>327</v>
      </c>
      <c r="D229" t="s">
        <v>664</v>
      </c>
    </row>
    <row r="230" spans="3:4" x14ac:dyDescent="0.25">
      <c r="C230" s="32" t="s">
        <v>328</v>
      </c>
      <c r="D230" t="s">
        <v>665</v>
      </c>
    </row>
    <row r="231" spans="3:4" x14ac:dyDescent="0.25">
      <c r="C231" s="32" t="s">
        <v>329</v>
      </c>
      <c r="D231" t="s">
        <v>666</v>
      </c>
    </row>
    <row r="232" spans="3:4" x14ac:dyDescent="0.25">
      <c r="C232" s="32" t="s">
        <v>330</v>
      </c>
      <c r="D232" t="s">
        <v>667</v>
      </c>
    </row>
    <row r="233" spans="3:4" x14ac:dyDescent="0.25">
      <c r="C233" s="32" t="s">
        <v>331</v>
      </c>
      <c r="D233" t="s">
        <v>668</v>
      </c>
    </row>
    <row r="234" spans="3:4" x14ac:dyDescent="0.25">
      <c r="C234" s="32" t="s">
        <v>332</v>
      </c>
      <c r="D234" t="s">
        <v>669</v>
      </c>
    </row>
    <row r="235" spans="3:4" x14ac:dyDescent="0.25">
      <c r="C235" s="32" t="s">
        <v>333</v>
      </c>
      <c r="D235" t="s">
        <v>670</v>
      </c>
    </row>
    <row r="236" spans="3:4" x14ac:dyDescent="0.25">
      <c r="C236" s="32" t="s">
        <v>334</v>
      </c>
      <c r="D236" t="s">
        <v>671</v>
      </c>
    </row>
    <row r="237" spans="3:4" x14ac:dyDescent="0.25">
      <c r="C237" s="32" t="s">
        <v>335</v>
      </c>
      <c r="D237" t="s">
        <v>672</v>
      </c>
    </row>
    <row r="238" spans="3:4" x14ac:dyDescent="0.25">
      <c r="C238" s="32" t="s">
        <v>336</v>
      </c>
      <c r="D238" t="s">
        <v>673</v>
      </c>
    </row>
    <row r="239" spans="3:4" x14ac:dyDescent="0.25">
      <c r="C239" s="32" t="s">
        <v>337</v>
      </c>
      <c r="D239" t="s">
        <v>674</v>
      </c>
    </row>
    <row r="240" spans="3:4" x14ac:dyDescent="0.25">
      <c r="C240" s="33" t="s">
        <v>96</v>
      </c>
      <c r="D240" t="s">
        <v>675</v>
      </c>
    </row>
    <row r="241" spans="3:4" x14ac:dyDescent="0.25">
      <c r="C241" s="33" t="s">
        <v>97</v>
      </c>
      <c r="D241" t="s">
        <v>676</v>
      </c>
    </row>
    <row r="242" spans="3:4" x14ac:dyDescent="0.25">
      <c r="C242" s="33" t="s">
        <v>98</v>
      </c>
      <c r="D242" t="s">
        <v>677</v>
      </c>
    </row>
    <row r="243" spans="3:4" x14ac:dyDescent="0.25">
      <c r="C243" s="33" t="s">
        <v>99</v>
      </c>
      <c r="D243" t="s">
        <v>678</v>
      </c>
    </row>
    <row r="244" spans="3:4" x14ac:dyDescent="0.25">
      <c r="C244" s="33" t="s">
        <v>100</v>
      </c>
      <c r="D244" t="s">
        <v>679</v>
      </c>
    </row>
    <row r="245" spans="3:4" x14ac:dyDescent="0.25">
      <c r="C245" s="33" t="s">
        <v>101</v>
      </c>
      <c r="D245" t="s">
        <v>680</v>
      </c>
    </row>
    <row r="246" spans="3:4" x14ac:dyDescent="0.25">
      <c r="C246" s="33" t="s">
        <v>102</v>
      </c>
      <c r="D246" t="s">
        <v>681</v>
      </c>
    </row>
    <row r="247" spans="3:4" x14ac:dyDescent="0.25">
      <c r="C247" s="33" t="s">
        <v>115</v>
      </c>
      <c r="D247" t="s">
        <v>682</v>
      </c>
    </row>
    <row r="248" spans="3:4" x14ac:dyDescent="0.25">
      <c r="C248" s="33" t="s">
        <v>116</v>
      </c>
      <c r="D248" t="s">
        <v>683</v>
      </c>
    </row>
    <row r="249" spans="3:4" x14ac:dyDescent="0.25">
      <c r="C249" s="33" t="s">
        <v>162</v>
      </c>
      <c r="D249" t="s">
        <v>684</v>
      </c>
    </row>
    <row r="250" spans="3:4" x14ac:dyDescent="0.25">
      <c r="C250" s="33" t="s">
        <v>163</v>
      </c>
      <c r="D250" t="s">
        <v>685</v>
      </c>
    </row>
    <row r="251" spans="3:4" x14ac:dyDescent="0.25">
      <c r="C251" s="33" t="s">
        <v>209</v>
      </c>
      <c r="D251" t="s">
        <v>686</v>
      </c>
    </row>
    <row r="252" spans="3:4" x14ac:dyDescent="0.25">
      <c r="C252" s="33" t="s">
        <v>210</v>
      </c>
      <c r="D252" t="s">
        <v>687</v>
      </c>
    </row>
    <row r="253" spans="3:4" x14ac:dyDescent="0.25">
      <c r="C253" s="33" t="s">
        <v>211</v>
      </c>
      <c r="D253" t="s">
        <v>688</v>
      </c>
    </row>
    <row r="254" spans="3:4" x14ac:dyDescent="0.25">
      <c r="C254" s="33" t="s">
        <v>212</v>
      </c>
      <c r="D254" t="s">
        <v>689</v>
      </c>
    </row>
    <row r="255" spans="3:4" x14ac:dyDescent="0.25">
      <c r="C255" s="33" t="s">
        <v>213</v>
      </c>
      <c r="D255" t="s">
        <v>690</v>
      </c>
    </row>
    <row r="256" spans="3:4" x14ac:dyDescent="0.25">
      <c r="C256" s="33" t="s">
        <v>214</v>
      </c>
      <c r="D256" t="s">
        <v>691</v>
      </c>
    </row>
    <row r="257" spans="3:4" x14ac:dyDescent="0.25">
      <c r="C257" s="33" t="s">
        <v>215</v>
      </c>
      <c r="D257" t="s">
        <v>692</v>
      </c>
    </row>
    <row r="258" spans="3:4" x14ac:dyDescent="0.25">
      <c r="C258" s="33" t="s">
        <v>216</v>
      </c>
      <c r="D258" t="s">
        <v>693</v>
      </c>
    </row>
    <row r="259" spans="3:4" x14ac:dyDescent="0.25">
      <c r="C259" s="33" t="s">
        <v>217</v>
      </c>
      <c r="D259" t="s">
        <v>694</v>
      </c>
    </row>
    <row r="260" spans="3:4" x14ac:dyDescent="0.25">
      <c r="C260" s="33" t="s">
        <v>218</v>
      </c>
      <c r="D260" t="s">
        <v>695</v>
      </c>
    </row>
    <row r="261" spans="3:4" x14ac:dyDescent="0.25">
      <c r="C261" s="33" t="s">
        <v>219</v>
      </c>
      <c r="D261" t="s">
        <v>696</v>
      </c>
    </row>
    <row r="262" spans="3:4" x14ac:dyDescent="0.25">
      <c r="C262" s="33" t="s">
        <v>220</v>
      </c>
      <c r="D262" t="s">
        <v>697</v>
      </c>
    </row>
    <row r="263" spans="3:4" x14ac:dyDescent="0.25">
      <c r="C263" s="33" t="s">
        <v>221</v>
      </c>
      <c r="D263" t="s">
        <v>698</v>
      </c>
    </row>
    <row r="264" spans="3:4" x14ac:dyDescent="0.25">
      <c r="C264" s="33" t="s">
        <v>222</v>
      </c>
      <c r="D264" t="s">
        <v>699</v>
      </c>
    </row>
    <row r="265" spans="3:4" x14ac:dyDescent="0.25">
      <c r="C265" s="33" t="s">
        <v>223</v>
      </c>
      <c r="D265" t="s">
        <v>700</v>
      </c>
    </row>
    <row r="266" spans="3:4" x14ac:dyDescent="0.25">
      <c r="C266" s="33" t="s">
        <v>235</v>
      </c>
      <c r="D266" t="s">
        <v>701</v>
      </c>
    </row>
    <row r="267" spans="3:4" x14ac:dyDescent="0.25">
      <c r="C267" s="33" t="s">
        <v>236</v>
      </c>
      <c r="D267" t="s">
        <v>702</v>
      </c>
    </row>
    <row r="268" spans="3:4" x14ac:dyDescent="0.25">
      <c r="C268" s="33" t="s">
        <v>237</v>
      </c>
      <c r="D268" t="s">
        <v>703</v>
      </c>
    </row>
    <row r="269" spans="3:4" x14ac:dyDescent="0.25">
      <c r="C269" s="33" t="s">
        <v>238</v>
      </c>
      <c r="D269" t="s">
        <v>704</v>
      </c>
    </row>
    <row r="270" spans="3:4" x14ac:dyDescent="0.25">
      <c r="C270" s="33" t="s">
        <v>239</v>
      </c>
      <c r="D270" t="s">
        <v>705</v>
      </c>
    </row>
    <row r="271" spans="3:4" x14ac:dyDescent="0.25">
      <c r="C271" s="33" t="s">
        <v>240</v>
      </c>
      <c r="D271" t="s">
        <v>706</v>
      </c>
    </row>
    <row r="272" spans="3:4" x14ac:dyDescent="0.25">
      <c r="C272" s="33" t="s">
        <v>241</v>
      </c>
      <c r="D272" t="s">
        <v>707</v>
      </c>
    </row>
    <row r="273" spans="3:4" x14ac:dyDescent="0.25">
      <c r="C273" s="33" t="s">
        <v>242</v>
      </c>
      <c r="D273" t="s">
        <v>708</v>
      </c>
    </row>
    <row r="274" spans="3:4" x14ac:dyDescent="0.25">
      <c r="C274" s="33" t="s">
        <v>243</v>
      </c>
      <c r="D274" t="s">
        <v>709</v>
      </c>
    </row>
    <row r="275" spans="3:4" x14ac:dyDescent="0.25">
      <c r="C275" s="33" t="s">
        <v>245</v>
      </c>
      <c r="D275" t="s">
        <v>710</v>
      </c>
    </row>
    <row r="276" spans="3:4" x14ac:dyDescent="0.25">
      <c r="C276" s="33" t="s">
        <v>246</v>
      </c>
      <c r="D276" t="s">
        <v>711</v>
      </c>
    </row>
    <row r="277" spans="3:4" x14ac:dyDescent="0.25">
      <c r="C277" s="33" t="s">
        <v>247</v>
      </c>
      <c r="D277" t="s">
        <v>712</v>
      </c>
    </row>
    <row r="278" spans="3:4" x14ac:dyDescent="0.25">
      <c r="C278" s="33" t="s">
        <v>248</v>
      </c>
      <c r="D278" t="s">
        <v>713</v>
      </c>
    </row>
    <row r="279" spans="3:4" x14ac:dyDescent="0.25">
      <c r="C279" s="33" t="s">
        <v>251</v>
      </c>
      <c r="D279" t="s">
        <v>714</v>
      </c>
    </row>
    <row r="280" spans="3:4" x14ac:dyDescent="0.25">
      <c r="C280" s="33" t="s">
        <v>252</v>
      </c>
      <c r="D280" t="s">
        <v>715</v>
      </c>
    </row>
    <row r="281" spans="3:4" x14ac:dyDescent="0.25">
      <c r="C281" s="33" t="s">
        <v>257</v>
      </c>
      <c r="D281" t="s">
        <v>716</v>
      </c>
    </row>
    <row r="282" spans="3:4" x14ac:dyDescent="0.25">
      <c r="C282" s="33" t="s">
        <v>258</v>
      </c>
    </row>
    <row r="283" spans="3:4" x14ac:dyDescent="0.25">
      <c r="C283" s="33" t="s">
        <v>259</v>
      </c>
    </row>
    <row r="284" spans="3:4" x14ac:dyDescent="0.25">
      <c r="C284" s="33" t="s">
        <v>272</v>
      </c>
    </row>
    <row r="285" spans="3:4" x14ac:dyDescent="0.25">
      <c r="C285" s="33" t="s">
        <v>273</v>
      </c>
    </row>
    <row r="286" spans="3:4" x14ac:dyDescent="0.25">
      <c r="C286" s="33" t="s">
        <v>274</v>
      </c>
    </row>
    <row r="287" spans="3:4" x14ac:dyDescent="0.25">
      <c r="C287" s="33" t="s">
        <v>276</v>
      </c>
    </row>
    <row r="288" spans="3:4" x14ac:dyDescent="0.25">
      <c r="C288" s="33" t="s">
        <v>278</v>
      </c>
    </row>
    <row r="289" spans="3:3" x14ac:dyDescent="0.25">
      <c r="C289" s="33" t="s">
        <v>279</v>
      </c>
    </row>
    <row r="290" spans="3:3" x14ac:dyDescent="0.25">
      <c r="C290" s="33" t="s">
        <v>316</v>
      </c>
    </row>
    <row r="291" spans="3:3" x14ac:dyDescent="0.25">
      <c r="C291" s="33" t="s">
        <v>287</v>
      </c>
    </row>
    <row r="292" spans="3:3" x14ac:dyDescent="0.25">
      <c r="C292" s="33" t="s">
        <v>288</v>
      </c>
    </row>
    <row r="293" spans="3:3" x14ac:dyDescent="0.25">
      <c r="C293" s="33" t="s">
        <v>289</v>
      </c>
    </row>
    <row r="294" spans="3:3" x14ac:dyDescent="0.25">
      <c r="C294" s="33" t="s">
        <v>290</v>
      </c>
    </row>
    <row r="295" spans="3:3" x14ac:dyDescent="0.25">
      <c r="C295" s="33" t="s">
        <v>433</v>
      </c>
    </row>
    <row r="296" spans="3:3" x14ac:dyDescent="0.25">
      <c r="C296" s="33" t="s">
        <v>434</v>
      </c>
    </row>
    <row r="297" spans="3:3" x14ac:dyDescent="0.25">
      <c r="C297" s="33" t="s">
        <v>435</v>
      </c>
    </row>
    <row r="298" spans="3:3" x14ac:dyDescent="0.25">
      <c r="C298" s="34" t="s">
        <v>131</v>
      </c>
    </row>
    <row r="299" spans="3:3" x14ac:dyDescent="0.25">
      <c r="C299" s="34" t="s">
        <v>132</v>
      </c>
    </row>
    <row r="300" spans="3:3" x14ac:dyDescent="0.25">
      <c r="C300" s="34" t="s">
        <v>133</v>
      </c>
    </row>
    <row r="301" spans="3:3" x14ac:dyDescent="0.25">
      <c r="C301" s="34" t="s">
        <v>134</v>
      </c>
    </row>
    <row r="302" spans="3:3" x14ac:dyDescent="0.25">
      <c r="C302" s="34" t="s">
        <v>135</v>
      </c>
    </row>
    <row r="303" spans="3:3" x14ac:dyDescent="0.25">
      <c r="C303" s="34" t="s">
        <v>136</v>
      </c>
    </row>
    <row r="304" spans="3:3" x14ac:dyDescent="0.25">
      <c r="C304" s="34" t="s">
        <v>137</v>
      </c>
    </row>
    <row r="305" spans="3:3" x14ac:dyDescent="0.25">
      <c r="C305" s="34" t="s">
        <v>138</v>
      </c>
    </row>
    <row r="306" spans="3:3" x14ac:dyDescent="0.25">
      <c r="C306" s="34" t="s">
        <v>139</v>
      </c>
    </row>
    <row r="307" spans="3:3" x14ac:dyDescent="0.25">
      <c r="C307" s="34" t="s">
        <v>140</v>
      </c>
    </row>
    <row r="308" spans="3:3" x14ac:dyDescent="0.25">
      <c r="C308" s="34" t="s">
        <v>141</v>
      </c>
    </row>
    <row r="309" spans="3:3" x14ac:dyDescent="0.25">
      <c r="C309" s="34" t="s">
        <v>142</v>
      </c>
    </row>
    <row r="310" spans="3:3" x14ac:dyDescent="0.25">
      <c r="C310" s="34" t="s">
        <v>143</v>
      </c>
    </row>
    <row r="311" spans="3:3" x14ac:dyDescent="0.25">
      <c r="C311" s="34" t="s">
        <v>144</v>
      </c>
    </row>
    <row r="312" spans="3:3" x14ac:dyDescent="0.25">
      <c r="C312" s="34" t="s">
        <v>145</v>
      </c>
    </row>
    <row r="313" spans="3:3" x14ac:dyDescent="0.25">
      <c r="C313" s="34" t="s">
        <v>146</v>
      </c>
    </row>
    <row r="314" spans="3:3" x14ac:dyDescent="0.25">
      <c r="C314" s="34" t="s">
        <v>147</v>
      </c>
    </row>
    <row r="315" spans="3:3" x14ac:dyDescent="0.25">
      <c r="C315" s="34" t="s">
        <v>148</v>
      </c>
    </row>
    <row r="316" spans="3:3" x14ac:dyDescent="0.25">
      <c r="C316" s="34" t="s">
        <v>149</v>
      </c>
    </row>
    <row r="317" spans="3:3" x14ac:dyDescent="0.25">
      <c r="C317" s="34" t="s">
        <v>150</v>
      </c>
    </row>
    <row r="318" spans="3:3" x14ac:dyDescent="0.25">
      <c r="C318" s="34" t="s">
        <v>151</v>
      </c>
    </row>
    <row r="319" spans="3:3" x14ac:dyDescent="0.25">
      <c r="C319" s="34" t="s">
        <v>152</v>
      </c>
    </row>
    <row r="320" spans="3:3" x14ac:dyDescent="0.25">
      <c r="C320" s="34" t="s">
        <v>153</v>
      </c>
    </row>
    <row r="321" spans="3:3" x14ac:dyDescent="0.25">
      <c r="C321" s="34" t="s">
        <v>154</v>
      </c>
    </row>
    <row r="322" spans="3:3" x14ac:dyDescent="0.25">
      <c r="C322" s="34" t="s">
        <v>155</v>
      </c>
    </row>
    <row r="323" spans="3:3" x14ac:dyDescent="0.25">
      <c r="C323" s="34" t="s">
        <v>156</v>
      </c>
    </row>
    <row r="324" spans="3:3" x14ac:dyDescent="0.25">
      <c r="C324" s="34" t="s">
        <v>157</v>
      </c>
    </row>
    <row r="325" spans="3:3" x14ac:dyDescent="0.25">
      <c r="C325" s="34" t="s">
        <v>158</v>
      </c>
    </row>
    <row r="326" spans="3:3" x14ac:dyDescent="0.25">
      <c r="C326" s="34" t="s">
        <v>159</v>
      </c>
    </row>
    <row r="327" spans="3:3" x14ac:dyDescent="0.25">
      <c r="C327" s="34" t="s">
        <v>160</v>
      </c>
    </row>
    <row r="328" spans="3:3" x14ac:dyDescent="0.25">
      <c r="C328" s="34" t="s">
        <v>161</v>
      </c>
    </row>
    <row r="329" spans="3:3" x14ac:dyDescent="0.25">
      <c r="C329" s="34" t="s">
        <v>199</v>
      </c>
    </row>
    <row r="330" spans="3:3" x14ac:dyDescent="0.25">
      <c r="C330" s="34" t="s">
        <v>200</v>
      </c>
    </row>
    <row r="331" spans="3:3" x14ac:dyDescent="0.25">
      <c r="C331" s="34" t="s">
        <v>201</v>
      </c>
    </row>
    <row r="332" spans="3:3" x14ac:dyDescent="0.25">
      <c r="C332" s="34" t="s">
        <v>202</v>
      </c>
    </row>
    <row r="333" spans="3:3" x14ac:dyDescent="0.25">
      <c r="C333" s="34" t="s">
        <v>203</v>
      </c>
    </row>
    <row r="334" spans="3:3" x14ac:dyDescent="0.25">
      <c r="C334" s="34" t="s">
        <v>204</v>
      </c>
    </row>
    <row r="335" spans="3:3" x14ac:dyDescent="0.25">
      <c r="C335" s="34" t="s">
        <v>205</v>
      </c>
    </row>
    <row r="336" spans="3:3" x14ac:dyDescent="0.25">
      <c r="C336" s="34" t="s">
        <v>206</v>
      </c>
    </row>
    <row r="337" spans="3:3" x14ac:dyDescent="0.25">
      <c r="C337" s="34" t="s">
        <v>207</v>
      </c>
    </row>
    <row r="338" spans="3:3" x14ac:dyDescent="0.25">
      <c r="C338" s="34" t="s">
        <v>303</v>
      </c>
    </row>
    <row r="339" spans="3:3" x14ac:dyDescent="0.25">
      <c r="C339" s="34" t="s">
        <v>304</v>
      </c>
    </row>
    <row r="340" spans="3:3" x14ac:dyDescent="0.25">
      <c r="C340" s="34" t="s">
        <v>305</v>
      </c>
    </row>
    <row r="341" spans="3:3" x14ac:dyDescent="0.25">
      <c r="C341" s="34" t="s">
        <v>306</v>
      </c>
    </row>
    <row r="342" spans="3:3" x14ac:dyDescent="0.25">
      <c r="C342" s="34" t="s">
        <v>307</v>
      </c>
    </row>
    <row r="343" spans="3:3" x14ac:dyDescent="0.25">
      <c r="C343" s="34" t="s">
        <v>308</v>
      </c>
    </row>
    <row r="344" spans="3:3" x14ac:dyDescent="0.25">
      <c r="C344" s="34" t="s">
        <v>309</v>
      </c>
    </row>
    <row r="345" spans="3:3" x14ac:dyDescent="0.25">
      <c r="C345" s="34" t="s">
        <v>310</v>
      </c>
    </row>
    <row r="346" spans="3:3" x14ac:dyDescent="0.25">
      <c r="C346" s="34" t="s">
        <v>254</v>
      </c>
    </row>
    <row r="347" spans="3:3" x14ac:dyDescent="0.25">
      <c r="C347" s="34" t="s">
        <v>249</v>
      </c>
    </row>
    <row r="348" spans="3:3" x14ac:dyDescent="0.25">
      <c r="C348" s="35"/>
    </row>
    <row r="349" spans="3:3" x14ac:dyDescent="0.25">
      <c r="C349" s="23"/>
    </row>
    <row r="350" spans="3:3" x14ac:dyDescent="0.25">
      <c r="C350" s="23"/>
    </row>
    <row r="351" spans="3:3" x14ac:dyDescent="0.25">
      <c r="C351" s="23"/>
    </row>
    <row r="352" spans="3:3" x14ac:dyDescent="0.25">
      <c r="C352" s="23"/>
    </row>
    <row r="353" spans="3:3" x14ac:dyDescent="0.25">
      <c r="C353" s="23"/>
    </row>
    <row r="354" spans="3:3" x14ac:dyDescent="0.25">
      <c r="C354" s="23"/>
    </row>
    <row r="355" spans="3:3" x14ac:dyDescent="0.25">
      <c r="C355" s="23"/>
    </row>
    <row r="356" spans="3:3" x14ac:dyDescent="0.25">
      <c r="C356" s="23"/>
    </row>
    <row r="357" spans="3:3" x14ac:dyDescent="0.25">
      <c r="C357" s="23"/>
    </row>
    <row r="358" spans="3:3" x14ac:dyDescent="0.25">
      <c r="C358" s="23"/>
    </row>
    <row r="359" spans="3:3" x14ac:dyDescent="0.25">
      <c r="C359" s="23"/>
    </row>
    <row r="360" spans="3:3" x14ac:dyDescent="0.25">
      <c r="C360" s="23"/>
    </row>
    <row r="361" spans="3:3" x14ac:dyDescent="0.25">
      <c r="C361" s="23"/>
    </row>
    <row r="362" spans="3:3" x14ac:dyDescent="0.25">
      <c r="C362" s="23"/>
    </row>
    <row r="363" spans="3:3" x14ac:dyDescent="0.25">
      <c r="C363" s="23"/>
    </row>
    <row r="364" spans="3:3" x14ac:dyDescent="0.25">
      <c r="C364" s="23"/>
    </row>
    <row r="365" spans="3:3" x14ac:dyDescent="0.25">
      <c r="C365" s="23"/>
    </row>
    <row r="366" spans="3:3" x14ac:dyDescent="0.25">
      <c r="C366" s="23"/>
    </row>
    <row r="367" spans="3:3" x14ac:dyDescent="0.25">
      <c r="C367" s="23"/>
    </row>
    <row r="368" spans="3:3" x14ac:dyDescent="0.25">
      <c r="C368" s="23"/>
    </row>
    <row r="369" spans="3:3" x14ac:dyDescent="0.25">
      <c r="C369" s="23"/>
    </row>
    <row r="370" spans="3:3" x14ac:dyDescent="0.25">
      <c r="C370" s="23"/>
    </row>
    <row r="371" spans="3:3" x14ac:dyDescent="0.25">
      <c r="C371" s="23"/>
    </row>
    <row r="372" spans="3:3" x14ac:dyDescent="0.25">
      <c r="C372" s="23"/>
    </row>
    <row r="373" spans="3:3" x14ac:dyDescent="0.25">
      <c r="C373" s="23"/>
    </row>
    <row r="374" spans="3:3" x14ac:dyDescent="0.25">
      <c r="C374" s="23"/>
    </row>
    <row r="375" spans="3:3" x14ac:dyDescent="0.25">
      <c r="C375" s="23"/>
    </row>
    <row r="376" spans="3:3" x14ac:dyDescent="0.25">
      <c r="C376" s="23"/>
    </row>
    <row r="377" spans="3:3" x14ac:dyDescent="0.25">
      <c r="C377" s="23"/>
    </row>
    <row r="378" spans="3:3" x14ac:dyDescent="0.25">
      <c r="C378" s="23"/>
    </row>
    <row r="379" spans="3:3" x14ac:dyDescent="0.25">
      <c r="C379" s="23"/>
    </row>
    <row r="380" spans="3:3" x14ac:dyDescent="0.25">
      <c r="C380" s="23"/>
    </row>
    <row r="381" spans="3:3" x14ac:dyDescent="0.25">
      <c r="C381" s="23"/>
    </row>
    <row r="382" spans="3:3" x14ac:dyDescent="0.25">
      <c r="C382" s="23"/>
    </row>
    <row r="383" spans="3:3" x14ac:dyDescent="0.25">
      <c r="C383" s="23"/>
    </row>
    <row r="384" spans="3:3" x14ac:dyDescent="0.25">
      <c r="C384" s="23"/>
    </row>
    <row r="385" spans="3:3" x14ac:dyDescent="0.25">
      <c r="C385" s="23"/>
    </row>
    <row r="386" spans="3:3" x14ac:dyDescent="0.25">
      <c r="C386" s="23"/>
    </row>
    <row r="387" spans="3:3" x14ac:dyDescent="0.25">
      <c r="C387" s="23"/>
    </row>
    <row r="388" spans="3:3" x14ac:dyDescent="0.25">
      <c r="C388" s="23"/>
    </row>
    <row r="389" spans="3:3" x14ac:dyDescent="0.25">
      <c r="C389" s="23"/>
    </row>
    <row r="390" spans="3:3" x14ac:dyDescent="0.25">
      <c r="C390" s="23"/>
    </row>
    <row r="391" spans="3:3" x14ac:dyDescent="0.25">
      <c r="C391" s="23"/>
    </row>
    <row r="392" spans="3:3" x14ac:dyDescent="0.25">
      <c r="C392" s="23"/>
    </row>
    <row r="393" spans="3:3" x14ac:dyDescent="0.25">
      <c r="C393" s="23"/>
    </row>
    <row r="394" spans="3:3" x14ac:dyDescent="0.25">
      <c r="C394" s="23"/>
    </row>
    <row r="395" spans="3:3" x14ac:dyDescent="0.25">
      <c r="C395" s="23"/>
    </row>
    <row r="396" spans="3:3" x14ac:dyDescent="0.25">
      <c r="C396" s="23"/>
    </row>
    <row r="397" spans="3:3" x14ac:dyDescent="0.25">
      <c r="C397" s="23"/>
    </row>
    <row r="398" spans="3:3" x14ac:dyDescent="0.25">
      <c r="C398" s="23"/>
    </row>
    <row r="399" spans="3:3" x14ac:dyDescent="0.25">
      <c r="C399" s="23"/>
    </row>
    <row r="400" spans="3:3" x14ac:dyDescent="0.25">
      <c r="C400" s="23"/>
    </row>
    <row r="401" spans="3:3" x14ac:dyDescent="0.25">
      <c r="C401" s="23"/>
    </row>
    <row r="402" spans="3:3" x14ac:dyDescent="0.25">
      <c r="C402" s="23"/>
    </row>
    <row r="403" spans="3:3" x14ac:dyDescent="0.25">
      <c r="C403" s="23"/>
    </row>
    <row r="404" spans="3:3" x14ac:dyDescent="0.25">
      <c r="C404" s="23"/>
    </row>
    <row r="405" spans="3:3" x14ac:dyDescent="0.25">
      <c r="C405" s="23"/>
    </row>
    <row r="406" spans="3:3" x14ac:dyDescent="0.25">
      <c r="C406" s="23"/>
    </row>
    <row r="407" spans="3:3" x14ac:dyDescent="0.25">
      <c r="C407" s="23"/>
    </row>
    <row r="408" spans="3:3" x14ac:dyDescent="0.25">
      <c r="C408" s="23"/>
    </row>
    <row r="409" spans="3:3" x14ac:dyDescent="0.25">
      <c r="C409" s="23"/>
    </row>
    <row r="410" spans="3:3" x14ac:dyDescent="0.25">
      <c r="C410" s="23"/>
    </row>
    <row r="411" spans="3:3" x14ac:dyDescent="0.25">
      <c r="C411" s="23"/>
    </row>
    <row r="412" spans="3:3" x14ac:dyDescent="0.25">
      <c r="C412" s="23"/>
    </row>
    <row r="413" spans="3:3" x14ac:dyDescent="0.25">
      <c r="C413" s="23"/>
    </row>
    <row r="414" spans="3:3" x14ac:dyDescent="0.25">
      <c r="C414" s="23"/>
    </row>
    <row r="415" spans="3:3" x14ac:dyDescent="0.25">
      <c r="C415" s="23"/>
    </row>
    <row r="416" spans="3:3" x14ac:dyDescent="0.25">
      <c r="C416" s="23"/>
    </row>
    <row r="417" spans="3:3" x14ac:dyDescent="0.25">
      <c r="C417" s="23"/>
    </row>
    <row r="418" spans="3:3" x14ac:dyDescent="0.25">
      <c r="C418" s="23"/>
    </row>
    <row r="419" spans="3:3" x14ac:dyDescent="0.25">
      <c r="C419" s="23"/>
    </row>
    <row r="420" spans="3:3" x14ac:dyDescent="0.25">
      <c r="C420" s="23"/>
    </row>
    <row r="421" spans="3:3" x14ac:dyDescent="0.25">
      <c r="C421" s="23"/>
    </row>
    <row r="422" spans="3:3" x14ac:dyDescent="0.25">
      <c r="C422" s="23"/>
    </row>
    <row r="423" spans="3:3" x14ac:dyDescent="0.25">
      <c r="C423" s="23"/>
    </row>
    <row r="424" spans="3:3" x14ac:dyDescent="0.25">
      <c r="C424" s="23"/>
    </row>
    <row r="425" spans="3:3" x14ac:dyDescent="0.25">
      <c r="C425" s="23"/>
    </row>
    <row r="426" spans="3:3" x14ac:dyDescent="0.25">
      <c r="C426" s="23"/>
    </row>
    <row r="427" spans="3:3" x14ac:dyDescent="0.25">
      <c r="C427" s="23"/>
    </row>
    <row r="428" spans="3:3" x14ac:dyDescent="0.25">
      <c r="C428" s="23"/>
    </row>
    <row r="429" spans="3:3" x14ac:dyDescent="0.25">
      <c r="C429" s="23"/>
    </row>
    <row r="430" spans="3:3" x14ac:dyDescent="0.25">
      <c r="C430" s="23"/>
    </row>
    <row r="431" spans="3:3" x14ac:dyDescent="0.25">
      <c r="C431" s="23"/>
    </row>
    <row r="432" spans="3:3" x14ac:dyDescent="0.25">
      <c r="C432" s="23"/>
    </row>
    <row r="433" spans="3:3" x14ac:dyDescent="0.25">
      <c r="C433" s="23"/>
    </row>
    <row r="434" spans="3:3" x14ac:dyDescent="0.25">
      <c r="C434" s="23"/>
    </row>
    <row r="435" spans="3:3" x14ac:dyDescent="0.25">
      <c r="C435" s="23"/>
    </row>
    <row r="436" spans="3:3" x14ac:dyDescent="0.25">
      <c r="C436" s="23"/>
    </row>
    <row r="437" spans="3:3" x14ac:dyDescent="0.25">
      <c r="C437" s="23"/>
    </row>
    <row r="438" spans="3:3" x14ac:dyDescent="0.25">
      <c r="C438" s="23"/>
    </row>
    <row r="439" spans="3:3" x14ac:dyDescent="0.25">
      <c r="C439" s="23"/>
    </row>
    <row r="440" spans="3:3" x14ac:dyDescent="0.25">
      <c r="C440" s="23"/>
    </row>
    <row r="441" spans="3:3" x14ac:dyDescent="0.25">
      <c r="C441" s="23"/>
    </row>
    <row r="442" spans="3:3" x14ac:dyDescent="0.25">
      <c r="C442" s="23"/>
    </row>
    <row r="443" spans="3:3" x14ac:dyDescent="0.25">
      <c r="C443" s="23"/>
    </row>
    <row r="444" spans="3:3" x14ac:dyDescent="0.25">
      <c r="C444" s="23"/>
    </row>
    <row r="445" spans="3:3" x14ac:dyDescent="0.25">
      <c r="C445" s="23"/>
    </row>
    <row r="446" spans="3:3" x14ac:dyDescent="0.25">
      <c r="C446" s="23"/>
    </row>
    <row r="447" spans="3:3" x14ac:dyDescent="0.25">
      <c r="C447" s="23"/>
    </row>
    <row r="448" spans="3:3" x14ac:dyDescent="0.25">
      <c r="C448" s="23"/>
    </row>
    <row r="449" spans="3:3" x14ac:dyDescent="0.25">
      <c r="C449" s="23"/>
    </row>
    <row r="450" spans="3:3" x14ac:dyDescent="0.25">
      <c r="C450" s="23"/>
    </row>
    <row r="451" spans="3:3" x14ac:dyDescent="0.25">
      <c r="C451" s="23"/>
    </row>
    <row r="452" spans="3:3" x14ac:dyDescent="0.25">
      <c r="C452" s="23"/>
    </row>
    <row r="453" spans="3:3" x14ac:dyDescent="0.25">
      <c r="C453" s="23"/>
    </row>
    <row r="454" spans="3:3" x14ac:dyDescent="0.25">
      <c r="C454" s="23"/>
    </row>
    <row r="455" spans="3:3" x14ac:dyDescent="0.25">
      <c r="C455" s="23"/>
    </row>
    <row r="456" spans="3:3" x14ac:dyDescent="0.25">
      <c r="C456" s="23"/>
    </row>
    <row r="457" spans="3:3" x14ac:dyDescent="0.25">
      <c r="C457" s="23"/>
    </row>
    <row r="458" spans="3:3" x14ac:dyDescent="0.25">
      <c r="C458" s="23"/>
    </row>
    <row r="459" spans="3:3" x14ac:dyDescent="0.25">
      <c r="C459" s="23"/>
    </row>
    <row r="460" spans="3:3" x14ac:dyDescent="0.25">
      <c r="C460" s="23"/>
    </row>
    <row r="461" spans="3:3" x14ac:dyDescent="0.25">
      <c r="C461" s="23"/>
    </row>
    <row r="462" spans="3:3" x14ac:dyDescent="0.25">
      <c r="C462" s="23"/>
    </row>
    <row r="463" spans="3:3" x14ac:dyDescent="0.25">
      <c r="C463" s="23"/>
    </row>
    <row r="464" spans="3:3" x14ac:dyDescent="0.25">
      <c r="C464" s="23"/>
    </row>
    <row r="465" spans="3:3" x14ac:dyDescent="0.25">
      <c r="C465" s="23"/>
    </row>
    <row r="466" spans="3:3" x14ac:dyDescent="0.25">
      <c r="C466" s="23"/>
    </row>
    <row r="467" spans="3:3" x14ac:dyDescent="0.25">
      <c r="C467" s="23"/>
    </row>
    <row r="468" spans="3:3" x14ac:dyDescent="0.25">
      <c r="C468" s="23"/>
    </row>
    <row r="469" spans="3:3" x14ac:dyDescent="0.25">
      <c r="C469" s="23"/>
    </row>
    <row r="470" spans="3:3" x14ac:dyDescent="0.25">
      <c r="C470" s="23"/>
    </row>
    <row r="471" spans="3:3" x14ac:dyDescent="0.25">
      <c r="C471" s="23"/>
    </row>
    <row r="472" spans="3:3" x14ac:dyDescent="0.25">
      <c r="C472" s="23"/>
    </row>
    <row r="473" spans="3:3" x14ac:dyDescent="0.25">
      <c r="C473" s="23"/>
    </row>
    <row r="474" spans="3:3" x14ac:dyDescent="0.25">
      <c r="C474" s="23"/>
    </row>
    <row r="475" spans="3:3" x14ac:dyDescent="0.25">
      <c r="C475" s="23"/>
    </row>
    <row r="476" spans="3:3" x14ac:dyDescent="0.25">
      <c r="C476" s="23"/>
    </row>
    <row r="477" spans="3:3" x14ac:dyDescent="0.25">
      <c r="C477" s="23"/>
    </row>
    <row r="478" spans="3:3" x14ac:dyDescent="0.25">
      <c r="C478" s="23"/>
    </row>
    <row r="479" spans="3:3" x14ac:dyDescent="0.25">
      <c r="C479" s="23"/>
    </row>
    <row r="480" spans="3:3" x14ac:dyDescent="0.25">
      <c r="C480" s="23"/>
    </row>
    <row r="481" spans="3:3" x14ac:dyDescent="0.25">
      <c r="C481" s="23"/>
    </row>
    <row r="482" spans="3:3" x14ac:dyDescent="0.25">
      <c r="C482" s="23"/>
    </row>
    <row r="483" spans="3:3" x14ac:dyDescent="0.25">
      <c r="C483" s="23"/>
    </row>
    <row r="484" spans="3:3" x14ac:dyDescent="0.25">
      <c r="C484" s="23"/>
    </row>
    <row r="485" spans="3:3" x14ac:dyDescent="0.25">
      <c r="C485" s="23"/>
    </row>
    <row r="486" spans="3:3" x14ac:dyDescent="0.25">
      <c r="C486" s="23"/>
    </row>
    <row r="487" spans="3:3" x14ac:dyDescent="0.25">
      <c r="C487" s="23"/>
    </row>
    <row r="488" spans="3:3" x14ac:dyDescent="0.25">
      <c r="C488" s="23"/>
    </row>
    <row r="489" spans="3:3" x14ac:dyDescent="0.25">
      <c r="C489" s="23"/>
    </row>
    <row r="490" spans="3:3" x14ac:dyDescent="0.25">
      <c r="C490" s="23"/>
    </row>
    <row r="491" spans="3:3" x14ac:dyDescent="0.25">
      <c r="C491" s="23"/>
    </row>
    <row r="492" spans="3:3" x14ac:dyDescent="0.25">
      <c r="C492" s="23"/>
    </row>
    <row r="493" spans="3:3" x14ac:dyDescent="0.25">
      <c r="C493" s="23"/>
    </row>
    <row r="494" spans="3:3" x14ac:dyDescent="0.25">
      <c r="C494" s="23"/>
    </row>
    <row r="495" spans="3:3" x14ac:dyDescent="0.25">
      <c r="C495" s="23"/>
    </row>
    <row r="496" spans="3:3" x14ac:dyDescent="0.25">
      <c r="C496" s="23"/>
    </row>
    <row r="497" spans="3:3" x14ac:dyDescent="0.25">
      <c r="C497" s="23"/>
    </row>
    <row r="498" spans="3:3" x14ac:dyDescent="0.25">
      <c r="C498" s="23"/>
    </row>
    <row r="499" spans="3:3" x14ac:dyDescent="0.25">
      <c r="C499" s="23"/>
    </row>
    <row r="500" spans="3:3" x14ac:dyDescent="0.25">
      <c r="C500" s="23"/>
    </row>
    <row r="501" spans="3:3" x14ac:dyDescent="0.25">
      <c r="C501" s="23"/>
    </row>
    <row r="502" spans="3:3" x14ac:dyDescent="0.25">
      <c r="C502" s="23"/>
    </row>
    <row r="503" spans="3:3" x14ac:dyDescent="0.25">
      <c r="C503" s="23"/>
    </row>
    <row r="504" spans="3:3" x14ac:dyDescent="0.25">
      <c r="C504" s="23"/>
    </row>
    <row r="505" spans="3:3" x14ac:dyDescent="0.25">
      <c r="C505" s="23"/>
    </row>
    <row r="506" spans="3:3" x14ac:dyDescent="0.25">
      <c r="C506" s="23"/>
    </row>
    <row r="507" spans="3:3" x14ac:dyDescent="0.25">
      <c r="C507" s="23"/>
    </row>
    <row r="508" spans="3:3" x14ac:dyDescent="0.25">
      <c r="C508" s="23"/>
    </row>
    <row r="509" spans="3:3" x14ac:dyDescent="0.25">
      <c r="C509" s="23"/>
    </row>
    <row r="510" spans="3:3" x14ac:dyDescent="0.25">
      <c r="C510" s="23"/>
    </row>
    <row r="511" spans="3:3" x14ac:dyDescent="0.25">
      <c r="C511" s="23"/>
    </row>
    <row r="512" spans="3:3" x14ac:dyDescent="0.25">
      <c r="C512" s="23"/>
    </row>
    <row r="513" spans="3:3" x14ac:dyDescent="0.25">
      <c r="C513" s="23"/>
    </row>
    <row r="514" spans="3:3" x14ac:dyDescent="0.25">
      <c r="C514" s="23"/>
    </row>
    <row r="515" spans="3:3" x14ac:dyDescent="0.25">
      <c r="C515" s="23"/>
    </row>
    <row r="516" spans="3:3" x14ac:dyDescent="0.25">
      <c r="C516" s="23"/>
    </row>
    <row r="517" spans="3:3" x14ac:dyDescent="0.25">
      <c r="C517" s="23"/>
    </row>
    <row r="518" spans="3:3" x14ac:dyDescent="0.25">
      <c r="C518" s="23"/>
    </row>
    <row r="519" spans="3:3" x14ac:dyDescent="0.25">
      <c r="C519" s="23"/>
    </row>
    <row r="520" spans="3:3" x14ac:dyDescent="0.25">
      <c r="C520" s="23"/>
    </row>
    <row r="521" spans="3:3" x14ac:dyDescent="0.25">
      <c r="C521" s="23"/>
    </row>
    <row r="522" spans="3:3" x14ac:dyDescent="0.25">
      <c r="C522" s="23"/>
    </row>
    <row r="523" spans="3:3" x14ac:dyDescent="0.25">
      <c r="C523" s="23"/>
    </row>
    <row r="524" spans="3:3" x14ac:dyDescent="0.25">
      <c r="C524" s="23"/>
    </row>
    <row r="525" spans="3:3" x14ac:dyDescent="0.25">
      <c r="C525" s="23"/>
    </row>
    <row r="526" spans="3:3" x14ac:dyDescent="0.25">
      <c r="C526" s="23"/>
    </row>
    <row r="527" spans="3:3" x14ac:dyDescent="0.25">
      <c r="C527" s="23"/>
    </row>
    <row r="528" spans="3:3" x14ac:dyDescent="0.25">
      <c r="C528" s="23"/>
    </row>
    <row r="529" spans="3:3" x14ac:dyDescent="0.25">
      <c r="C529" s="23"/>
    </row>
    <row r="530" spans="3:3" x14ac:dyDescent="0.25">
      <c r="C530" s="23"/>
    </row>
    <row r="531" spans="3:3" x14ac:dyDescent="0.25">
      <c r="C531" s="23"/>
    </row>
    <row r="532" spans="3:3" x14ac:dyDescent="0.25">
      <c r="C532" s="23"/>
    </row>
    <row r="533" spans="3:3" x14ac:dyDescent="0.25">
      <c r="C533" s="23"/>
    </row>
    <row r="534" spans="3:3" x14ac:dyDescent="0.25">
      <c r="C534" s="23"/>
    </row>
    <row r="535" spans="3:3" x14ac:dyDescent="0.25">
      <c r="C535" s="23"/>
    </row>
    <row r="536" spans="3:3" x14ac:dyDescent="0.25">
      <c r="C536" s="23"/>
    </row>
    <row r="537" spans="3:3" x14ac:dyDescent="0.25">
      <c r="C537" s="23"/>
    </row>
    <row r="538" spans="3:3" x14ac:dyDescent="0.25">
      <c r="C538" s="23"/>
    </row>
    <row r="539" spans="3:3" x14ac:dyDescent="0.25">
      <c r="C539" s="23"/>
    </row>
    <row r="540" spans="3:3" x14ac:dyDescent="0.25">
      <c r="C540" s="23"/>
    </row>
    <row r="541" spans="3:3" x14ac:dyDescent="0.25">
      <c r="C541" s="23"/>
    </row>
    <row r="542" spans="3:3" x14ac:dyDescent="0.25">
      <c r="C542" s="23"/>
    </row>
    <row r="543" spans="3:3" x14ac:dyDescent="0.25">
      <c r="C543" s="23"/>
    </row>
    <row r="544" spans="3:3" x14ac:dyDescent="0.25">
      <c r="C544" s="23"/>
    </row>
    <row r="545" spans="3:3" x14ac:dyDescent="0.25">
      <c r="C545" s="23"/>
    </row>
    <row r="546" spans="3:3" x14ac:dyDescent="0.25">
      <c r="C546" s="23"/>
    </row>
    <row r="547" spans="3:3" x14ac:dyDescent="0.25">
      <c r="C547" s="23"/>
    </row>
    <row r="548" spans="3:3" x14ac:dyDescent="0.25">
      <c r="C548" s="23"/>
    </row>
    <row r="549" spans="3:3" x14ac:dyDescent="0.25">
      <c r="C549" s="23"/>
    </row>
    <row r="550" spans="3:3" x14ac:dyDescent="0.25">
      <c r="C550" s="23"/>
    </row>
    <row r="551" spans="3:3" x14ac:dyDescent="0.25">
      <c r="C551" s="23"/>
    </row>
    <row r="552" spans="3:3" x14ac:dyDescent="0.25">
      <c r="C552" s="23"/>
    </row>
    <row r="553" spans="3:3" x14ac:dyDescent="0.25">
      <c r="C553" s="23"/>
    </row>
    <row r="554" spans="3:3" x14ac:dyDescent="0.25">
      <c r="C554" s="23"/>
    </row>
    <row r="555" spans="3:3" x14ac:dyDescent="0.25">
      <c r="C555" s="23"/>
    </row>
    <row r="556" spans="3:3" x14ac:dyDescent="0.25">
      <c r="C556" s="23"/>
    </row>
    <row r="557" spans="3:3" x14ac:dyDescent="0.25">
      <c r="C557" s="23"/>
    </row>
    <row r="558" spans="3:3" x14ac:dyDescent="0.25">
      <c r="C558" s="23"/>
    </row>
    <row r="559" spans="3:3" x14ac:dyDescent="0.25">
      <c r="C559" s="23"/>
    </row>
    <row r="560" spans="3:3" x14ac:dyDescent="0.25">
      <c r="C560" s="23"/>
    </row>
    <row r="561" spans="3:3" x14ac:dyDescent="0.25">
      <c r="C561" s="23"/>
    </row>
    <row r="562" spans="3:3" x14ac:dyDescent="0.25">
      <c r="C562" s="23"/>
    </row>
    <row r="563" spans="3:3" x14ac:dyDescent="0.25">
      <c r="C563" s="23"/>
    </row>
    <row r="564" spans="3:3" x14ac:dyDescent="0.25">
      <c r="C564" s="23"/>
    </row>
    <row r="565" spans="3:3" x14ac:dyDescent="0.25">
      <c r="C565" s="23"/>
    </row>
    <row r="566" spans="3:3" x14ac:dyDescent="0.25">
      <c r="C566" s="23"/>
    </row>
    <row r="567" spans="3:3" x14ac:dyDescent="0.25">
      <c r="C567" s="23"/>
    </row>
    <row r="568" spans="3:3" x14ac:dyDescent="0.25">
      <c r="C568" s="23"/>
    </row>
    <row r="569" spans="3:3" x14ac:dyDescent="0.25">
      <c r="C569" s="23"/>
    </row>
    <row r="570" spans="3:3" x14ac:dyDescent="0.25">
      <c r="C570" s="23"/>
    </row>
    <row r="571" spans="3:3" x14ac:dyDescent="0.25">
      <c r="C571" s="23"/>
    </row>
    <row r="572" spans="3:3" x14ac:dyDescent="0.25">
      <c r="C572" s="23"/>
    </row>
    <row r="573" spans="3:3" x14ac:dyDescent="0.25">
      <c r="C573" s="23"/>
    </row>
    <row r="574" spans="3:3" x14ac:dyDescent="0.25">
      <c r="C574" s="23"/>
    </row>
    <row r="575" spans="3:3" x14ac:dyDescent="0.25">
      <c r="C575" s="23"/>
    </row>
    <row r="576" spans="3:3" x14ac:dyDescent="0.25">
      <c r="C576" s="23"/>
    </row>
    <row r="577" spans="3:3" x14ac:dyDescent="0.25">
      <c r="C577" s="23"/>
    </row>
    <row r="578" spans="3:3" x14ac:dyDescent="0.25">
      <c r="C578" s="23"/>
    </row>
    <row r="579" spans="3:3" x14ac:dyDescent="0.25">
      <c r="C579" s="23"/>
    </row>
    <row r="580" spans="3:3" x14ac:dyDescent="0.25">
      <c r="C580" s="23"/>
    </row>
    <row r="581" spans="3:3" x14ac:dyDescent="0.25">
      <c r="C581" s="23"/>
    </row>
    <row r="582" spans="3:3" x14ac:dyDescent="0.25">
      <c r="C582" s="23"/>
    </row>
    <row r="583" spans="3:3" x14ac:dyDescent="0.25">
      <c r="C583" s="23"/>
    </row>
    <row r="584" spans="3:3" x14ac:dyDescent="0.25">
      <c r="C584" s="23"/>
    </row>
    <row r="585" spans="3:3" x14ac:dyDescent="0.25">
      <c r="C585" s="23"/>
    </row>
    <row r="586" spans="3:3" x14ac:dyDescent="0.25">
      <c r="C586" s="23"/>
    </row>
    <row r="587" spans="3:3" x14ac:dyDescent="0.25">
      <c r="C587" s="23"/>
    </row>
    <row r="588" spans="3:3" x14ac:dyDescent="0.25">
      <c r="C588" s="23"/>
    </row>
    <row r="589" spans="3:3" x14ac:dyDescent="0.25">
      <c r="C589" s="23"/>
    </row>
    <row r="590" spans="3:3" x14ac:dyDescent="0.25">
      <c r="C590" s="23"/>
    </row>
    <row r="591" spans="3:3" x14ac:dyDescent="0.25">
      <c r="C591" s="23"/>
    </row>
    <row r="592" spans="3:3" x14ac:dyDescent="0.25">
      <c r="C592" s="23"/>
    </row>
    <row r="593" spans="3:3" x14ac:dyDescent="0.25">
      <c r="C593" s="23"/>
    </row>
    <row r="594" spans="3:3" x14ac:dyDescent="0.25">
      <c r="C594" s="23"/>
    </row>
    <row r="595" spans="3:3" x14ac:dyDescent="0.25">
      <c r="C595" s="23"/>
    </row>
    <row r="596" spans="3:3" x14ac:dyDescent="0.25">
      <c r="C596" s="23"/>
    </row>
    <row r="597" spans="3:3" x14ac:dyDescent="0.25">
      <c r="C597" s="23"/>
    </row>
    <row r="598" spans="3:3" x14ac:dyDescent="0.25">
      <c r="C598" s="23"/>
    </row>
    <row r="599" spans="3:3" x14ac:dyDescent="0.25">
      <c r="C599" s="23"/>
    </row>
    <row r="600" spans="3:3" x14ac:dyDescent="0.25">
      <c r="C600" s="23"/>
    </row>
    <row r="601" spans="3:3" x14ac:dyDescent="0.25">
      <c r="C601" s="23"/>
    </row>
    <row r="602" spans="3:3" x14ac:dyDescent="0.25">
      <c r="C602" s="23"/>
    </row>
    <row r="603" spans="3:3" x14ac:dyDescent="0.25">
      <c r="C603" s="23"/>
    </row>
    <row r="604" spans="3:3" x14ac:dyDescent="0.25">
      <c r="C604" s="23"/>
    </row>
    <row r="605" spans="3:3" x14ac:dyDescent="0.25">
      <c r="C605" s="23"/>
    </row>
    <row r="606" spans="3:3" x14ac:dyDescent="0.25">
      <c r="C606" s="23"/>
    </row>
    <row r="607" spans="3:3" x14ac:dyDescent="0.25">
      <c r="C607" s="23"/>
    </row>
    <row r="608" spans="3:3" x14ac:dyDescent="0.25">
      <c r="C608" s="23"/>
    </row>
    <row r="609" spans="3:3" x14ac:dyDescent="0.25">
      <c r="C609" s="23"/>
    </row>
    <row r="610" spans="3:3" x14ac:dyDescent="0.25">
      <c r="C610" s="23"/>
    </row>
    <row r="611" spans="3:3" x14ac:dyDescent="0.25">
      <c r="C611" s="23"/>
    </row>
    <row r="612" spans="3:3" x14ac:dyDescent="0.25">
      <c r="C612" s="23"/>
    </row>
    <row r="613" spans="3:3" x14ac:dyDescent="0.25">
      <c r="C613" s="23"/>
    </row>
    <row r="614" spans="3:3" x14ac:dyDescent="0.25">
      <c r="C614" s="23"/>
    </row>
    <row r="615" spans="3:3" x14ac:dyDescent="0.25">
      <c r="C615" s="23"/>
    </row>
    <row r="616" spans="3:3" x14ac:dyDescent="0.25">
      <c r="C616" s="23"/>
    </row>
    <row r="617" spans="3:3" x14ac:dyDescent="0.25">
      <c r="C617" s="23"/>
    </row>
    <row r="618" spans="3:3" x14ac:dyDescent="0.25">
      <c r="C618" s="23"/>
    </row>
    <row r="619" spans="3:3" x14ac:dyDescent="0.25">
      <c r="C619" s="23"/>
    </row>
    <row r="620" spans="3:3" x14ac:dyDescent="0.25">
      <c r="C620" s="23"/>
    </row>
    <row r="621" spans="3:3" x14ac:dyDescent="0.25">
      <c r="C621" s="23"/>
    </row>
    <row r="622" spans="3:3" x14ac:dyDescent="0.25">
      <c r="C622" s="23"/>
    </row>
    <row r="623" spans="3:3" x14ac:dyDescent="0.25">
      <c r="C623" s="23"/>
    </row>
    <row r="624" spans="3:3" x14ac:dyDescent="0.25">
      <c r="C624" s="23"/>
    </row>
    <row r="625" spans="3:3" x14ac:dyDescent="0.25">
      <c r="C625" s="23"/>
    </row>
    <row r="626" spans="3:3" x14ac:dyDescent="0.25">
      <c r="C626" s="23"/>
    </row>
    <row r="627" spans="3:3" x14ac:dyDescent="0.25">
      <c r="C627" s="23"/>
    </row>
    <row r="628" spans="3:3" x14ac:dyDescent="0.25">
      <c r="C628" s="23"/>
    </row>
    <row r="629" spans="3:3" x14ac:dyDescent="0.25">
      <c r="C629" s="23"/>
    </row>
    <row r="630" spans="3:3" x14ac:dyDescent="0.25">
      <c r="C630" s="23"/>
    </row>
    <row r="631" spans="3:3" x14ac:dyDescent="0.25">
      <c r="C631" s="23"/>
    </row>
    <row r="632" spans="3:3" x14ac:dyDescent="0.25">
      <c r="C632" s="23"/>
    </row>
    <row r="633" spans="3:3" x14ac:dyDescent="0.25">
      <c r="C633" s="23"/>
    </row>
    <row r="634" spans="3:3" x14ac:dyDescent="0.25">
      <c r="C634" s="23"/>
    </row>
    <row r="635" spans="3:3" x14ac:dyDescent="0.25">
      <c r="C635" s="23"/>
    </row>
    <row r="636" spans="3:3" x14ac:dyDescent="0.25">
      <c r="C636" s="23"/>
    </row>
    <row r="637" spans="3:3" x14ac:dyDescent="0.25">
      <c r="C637" s="23"/>
    </row>
    <row r="638" spans="3:3" x14ac:dyDescent="0.25">
      <c r="C638" s="23"/>
    </row>
    <row r="639" spans="3:3" x14ac:dyDescent="0.25">
      <c r="C639" s="23"/>
    </row>
    <row r="640" spans="3:3" x14ac:dyDescent="0.25">
      <c r="C640" s="23"/>
    </row>
    <row r="641" spans="3:3" x14ac:dyDescent="0.25">
      <c r="C641" s="23"/>
    </row>
    <row r="642" spans="3:3" x14ac:dyDescent="0.25">
      <c r="C642" s="23"/>
    </row>
    <row r="643" spans="3:3" x14ac:dyDescent="0.25">
      <c r="C643" s="23"/>
    </row>
    <row r="644" spans="3:3" x14ac:dyDescent="0.25">
      <c r="C644" s="23"/>
    </row>
    <row r="645" spans="3:3" x14ac:dyDescent="0.25">
      <c r="C645" s="23"/>
    </row>
    <row r="646" spans="3:3" x14ac:dyDescent="0.25">
      <c r="C646" s="23"/>
    </row>
    <row r="647" spans="3:3" x14ac:dyDescent="0.25">
      <c r="C647" s="23"/>
    </row>
    <row r="648" spans="3:3" x14ac:dyDescent="0.25">
      <c r="C648" s="23"/>
    </row>
    <row r="649" spans="3:3" x14ac:dyDescent="0.25">
      <c r="C649" s="23"/>
    </row>
    <row r="650" spans="3:3" x14ac:dyDescent="0.25">
      <c r="C650" s="23"/>
    </row>
    <row r="651" spans="3:3" x14ac:dyDescent="0.25">
      <c r="C651" s="23"/>
    </row>
    <row r="652" spans="3:3" x14ac:dyDescent="0.25">
      <c r="C652" s="23"/>
    </row>
    <row r="653" spans="3:3" x14ac:dyDescent="0.25">
      <c r="C653" s="23"/>
    </row>
    <row r="654" spans="3:3" x14ac:dyDescent="0.25">
      <c r="C654" s="23"/>
    </row>
    <row r="655" spans="3:3" x14ac:dyDescent="0.25">
      <c r="C655" s="23"/>
    </row>
    <row r="656" spans="3:3" x14ac:dyDescent="0.25">
      <c r="C656" s="23"/>
    </row>
    <row r="657" spans="3:3" x14ac:dyDescent="0.25">
      <c r="C657" s="23"/>
    </row>
    <row r="658" spans="3:3" x14ac:dyDescent="0.25">
      <c r="C658" s="23"/>
    </row>
    <row r="659" spans="3:3" x14ac:dyDescent="0.25">
      <c r="C659" s="23"/>
    </row>
    <row r="660" spans="3:3" x14ac:dyDescent="0.25">
      <c r="C660" s="23"/>
    </row>
    <row r="661" spans="3:3" x14ac:dyDescent="0.25">
      <c r="C661" s="23"/>
    </row>
    <row r="662" spans="3:3" x14ac:dyDescent="0.25">
      <c r="C662" s="23"/>
    </row>
    <row r="663" spans="3:3" x14ac:dyDescent="0.25">
      <c r="C663" s="23"/>
    </row>
    <row r="664" spans="3:3" x14ac:dyDescent="0.25">
      <c r="C664" s="23"/>
    </row>
    <row r="665" spans="3:3" x14ac:dyDescent="0.25">
      <c r="C665" s="23"/>
    </row>
    <row r="666" spans="3:3" x14ac:dyDescent="0.25">
      <c r="C666" s="23"/>
    </row>
    <row r="667" spans="3:3" x14ac:dyDescent="0.25">
      <c r="C667" s="23"/>
    </row>
    <row r="668" spans="3:3" x14ac:dyDescent="0.25">
      <c r="C668" s="23"/>
    </row>
    <row r="669" spans="3:3" x14ac:dyDescent="0.25">
      <c r="C669" s="23"/>
    </row>
    <row r="670" spans="3:3" x14ac:dyDescent="0.25">
      <c r="C670" s="23"/>
    </row>
    <row r="671" spans="3:3" x14ac:dyDescent="0.25">
      <c r="C671" s="23"/>
    </row>
    <row r="672" spans="3:3" x14ac:dyDescent="0.25">
      <c r="C672" s="23"/>
    </row>
    <row r="673" spans="3:3" x14ac:dyDescent="0.25">
      <c r="C673" s="23"/>
    </row>
    <row r="674" spans="3:3" x14ac:dyDescent="0.25">
      <c r="C674" s="23"/>
    </row>
    <row r="675" spans="3:3" x14ac:dyDescent="0.25">
      <c r="C675" s="23"/>
    </row>
    <row r="676" spans="3:3" x14ac:dyDescent="0.25">
      <c r="C676" s="23"/>
    </row>
    <row r="677" spans="3:3" x14ac:dyDescent="0.25">
      <c r="C677" s="23"/>
    </row>
    <row r="678" spans="3:3" x14ac:dyDescent="0.25">
      <c r="C678" s="23"/>
    </row>
    <row r="679" spans="3:3" x14ac:dyDescent="0.25">
      <c r="C679" s="23"/>
    </row>
    <row r="680" spans="3:3" x14ac:dyDescent="0.25">
      <c r="C680" s="23"/>
    </row>
    <row r="681" spans="3:3" x14ac:dyDescent="0.25">
      <c r="C681" s="23"/>
    </row>
    <row r="682" spans="3:3" x14ac:dyDescent="0.25">
      <c r="C682" s="23"/>
    </row>
    <row r="683" spans="3:3" x14ac:dyDescent="0.25">
      <c r="C683" s="23"/>
    </row>
    <row r="684" spans="3:3" x14ac:dyDescent="0.25">
      <c r="C684" s="23"/>
    </row>
    <row r="685" spans="3:3" x14ac:dyDescent="0.25">
      <c r="C685" s="23"/>
    </row>
    <row r="686" spans="3:3" x14ac:dyDescent="0.25">
      <c r="C686" s="23"/>
    </row>
    <row r="687" spans="3:3" x14ac:dyDescent="0.25">
      <c r="C687" s="23"/>
    </row>
    <row r="688" spans="3:3" x14ac:dyDescent="0.25">
      <c r="C688" s="23"/>
    </row>
    <row r="689" spans="3:3" x14ac:dyDescent="0.25">
      <c r="C689" s="23"/>
    </row>
    <row r="690" spans="3:3" x14ac:dyDescent="0.25">
      <c r="C690" s="23"/>
    </row>
    <row r="691" spans="3:3" x14ac:dyDescent="0.25">
      <c r="C691" s="23"/>
    </row>
    <row r="692" spans="3:3" x14ac:dyDescent="0.25">
      <c r="C692" s="23"/>
    </row>
    <row r="693" spans="3:3" x14ac:dyDescent="0.25">
      <c r="C693" s="23"/>
    </row>
    <row r="694" spans="3:3" x14ac:dyDescent="0.25">
      <c r="C694" s="23"/>
    </row>
    <row r="695" spans="3:3" x14ac:dyDescent="0.25">
      <c r="C695" s="23"/>
    </row>
    <row r="696" spans="3:3" x14ac:dyDescent="0.25">
      <c r="C696" s="23"/>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risk</vt:lpstr>
      <vt:lpstr>attendance</vt:lpstr>
      <vt:lpstr>ISO 17025</vt:lpstr>
      <vt:lpstr>ISO 17065</vt:lpstr>
      <vt:lpstr>agenda</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dcterms:created xsi:type="dcterms:W3CDTF">2020-05-27T16:23:17Z</dcterms:created>
  <dcterms:modified xsi:type="dcterms:W3CDTF">2023-05-11T19:28:21Z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