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16668\Documents\12.5 - IQA\1 - IQA Audits\2023 IQA Audits\2023-41-IQA  RTP Lab IQA\"/>
    </mc:Choice>
  </mc:AlternateContent>
  <xr:revisionPtr revIDLastSave="0" documentId="13_ncr:1_{0913E858-0DD9-4DAA-8A9B-7A13744F7B30}" xr6:coauthVersionLast="47" xr6:coauthVersionMax="47" xr10:uidLastSave="{00000000-0000-0000-0000-000000000000}"/>
  <bookViews>
    <workbookView xWindow="-120" yWindow="-120" windowWidth="29040" windowHeight="15840" xr2:uid="{5426C36E-AAE0-45E3-9C4C-2C971D0504DB}"/>
  </bookViews>
  <sheets>
    <sheet name="Steven Thompson" sheetId="16" r:id="rId1"/>
    <sheet name="ISO 17065" sheetId="13" state="hidden" r:id="rId2"/>
    <sheet name="Definition " sheetId="11" r:id="rId3"/>
    <sheet name="Sheet1" sheetId="14" state="hidden" r:id="rId4"/>
  </sheets>
  <definedNames>
    <definedName name="_xlnm._FilterDatabase" localSheetId="1" hidden="1">'ISO 17065'!$A$2:$U$29</definedName>
    <definedName name="_xlnm._FilterDatabase" localSheetId="0" hidden="1">'Steven Thompson'!$Q$2:$Q$81</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tc={7113E009-EF6D-42DD-90E9-D69B06EF9D39}</author>
    <author>tc={05D70D25-240B-45E3-8EE1-478756CDD563}</author>
    <author>tc={990EDD30-EE78-43F2-BDF8-7DE44CC79640}</author>
  </authors>
  <commentList>
    <comment ref="Q28" authorId="0" shapeId="0" xr:uid="{7113E009-EF6D-42DD-90E9-D69B06EF9D3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05D70D25-240B-45E3-8EE1-478756CDD563}">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990EDD30-EE78-43F2-BDF8-7DE44CC7964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<sst xmlns="http://schemas.openxmlformats.org/spreadsheetml/2006/main" count="1204" uniqueCount="913">
  <si>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</si>
  <si>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</si>
  <si>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</si>
  <si>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</si>
  <si>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</si>
  <si>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</si>
  <si>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</si>
  <si>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</si>
  <si>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</si>
  <si>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</si>
  <si>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</si>
  <si>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</si>
  <si>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</si>
  <si>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</si>
  <si>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</si>
  <si>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</si>
  <si>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</si>
  <si>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</si>
  <si>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</si>
  <si>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</si>
  <si>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</si>
  <si>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</si>
  <si>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</si>
  <si>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</si>
  <si>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</si>
  <si>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</si>
  <si>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</si>
  <si>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</si>
  <si>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</si>
  <si>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</si>
  <si>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</si>
  <si>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</si>
  <si>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</si>
  <si>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</si>
  <si>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</si>
  <si>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</si>
  <si>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</si>
  <si>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</si>
  <si>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</si>
  <si>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</si>
  <si>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</si>
  <si>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</si>
  <si>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</si>
  <si>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</si>
  <si>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</si>
  <si>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</si>
  <si>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</si>
  <si>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</si>
  <si>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</si>
  <si>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</si>
  <si>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</si>
  <si>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</si>
  <si>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</si>
  <si>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</si>
  <si>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</si>
  <si>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</si>
  <si>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</si>
  <si>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</si>
  <si>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</si>
  <si>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</si>
  <si>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</si>
  <si>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</si>
  <si>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</si>
  <si>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</si>
  <si>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</si>
  <si>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</si>
  <si>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</si>
  <si>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</si>
  <si>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</si>
  <si>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</si>
  <si>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</si>
  <si>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</si>
  <si>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</si>
  <si>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</si>
  <si>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</si>
  <si>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</si>
  <si>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</si>
  <si>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</si>
  <si>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</si>
  <si>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</si>
  <si>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</si>
  <si>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</si>
  <si>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</si>
  <si>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</si>
  <si>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</si>
  <si>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</si>
  <si>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</si>
  <si>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</si>
  <si>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</si>
  <si>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</si>
  <si>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</si>
  <si>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</si>
  <si>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</si>
  <si>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</si>
  <si>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</si>
  <si>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</si>
  <si>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</si>
  <si>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</si>
  <si>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</si>
  <si>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</si>
  <si>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</si>
  <si>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</si>
  <si>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</si>
  <si>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</si>
  <si>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</si>
  <si>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</si>
  <si>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</si>
  <si>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</si>
  <si>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</si>
  <si>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</si>
  <si>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</si>
  <si>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</si>
  <si>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</si>
  <si>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</si>
  <si>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</si>
  <si>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</si>
  <si>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</si>
  <si>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</si>
  <si>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</si>
  <si>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</si>
  <si>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</si>
  <si>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</si>
  <si>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</si>
  <si>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</si>
  <si>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</si>
  <si>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</si>
  <si>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</si>
  <si>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</si>
  <si>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</si>
  <si>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</si>
  <si>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</si>
  <si>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</si>
  <si>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</si>
  <si>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</si>
  <si>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</si>
  <si>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</si>
  <si>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</si>
  <si>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</si>
  <si>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</si>
  <si>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</si>
  <si>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</si>
  <si>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</si>
  <si>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</si>
  <si>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</si>
  <si>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</si>
  <si>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</si>
  <si>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</si>
  <si>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</si>
  <si>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</si>
  <si>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</si>
  <si>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</si>
  <si>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</si>
  <si>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</si>
  <si>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</si>
  <si>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</si>
  <si>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</si>
  <si>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</si>
  <si>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</si>
  <si>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</si>
  <si>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</si>
  <si>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</si>
  <si>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</si>
  <si>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</si>
  <si>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</si>
  <si>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</si>
  <si>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</si>
  <si>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</si>
  <si>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</si>
  <si>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</si>
  <si>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</si>
  <si>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</si>
  <si>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</si>
  <si>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</si>
  <si>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</si>
  <si>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</si>
  <si>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</si>
  <si>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</si>
  <si>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</si>
  <si>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</si>
  <si>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</si>
  <si>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</si>
  <si>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</si>
  <si>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</si>
  <si>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</si>
  <si>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</si>
  <si>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</si>
  <si>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</si>
  <si>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</si>
  <si>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</si>
  <si>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</si>
  <si>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</si>
  <si>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</si>
  <si>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</si>
  <si>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</si>
  <si>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</si>
  <si>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</si>
  <si>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</si>
  <si>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</si>
  <si>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</si>
  <si>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</si>
  <si>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</si>
  <si>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</si>
  <si>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</si>
  <si>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</si>
  <si>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</si>
  <si>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</si>
  <si>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</si>
  <si>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</si>
  <si>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</si>
  <si>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</si>
  <si>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</si>
  <si>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</si>
  <si>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</si>
  <si>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</si>
  <si>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</si>
  <si>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</si>
  <si>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</si>
  <si>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</si>
  <si>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</si>
  <si>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</si>
  <si>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</si>
  <si>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</si>
  <si>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</si>
  <si>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</si>
  <si>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</si>
  <si>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</si>
  <si>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</si>
  <si>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</si>
  <si>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</si>
  <si>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</si>
  <si>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</si>
  <si>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</si>
  <si>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</si>
  <si>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</si>
  <si>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</si>
  <si>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</si>
  <si>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</si>
  <si>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</si>
  <si>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</si>
  <si>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</si>
  <si>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</si>
  <si>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</si>
  <si>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</si>
  <si>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</si>
  <si>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</si>
  <si>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</si>
  <si>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</si>
  <si>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</si>
  <si>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</si>
  <si>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</si>
  <si>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</si>
  <si>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</si>
  <si>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</si>
  <si>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</si>
  <si>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</si>
  <si>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</si>
  <si>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</si>
  <si>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</si>
  <si>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</si>
  <si>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</si>
  <si>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</si>
  <si>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</si>
  <si>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</si>
  <si>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</si>
  <si>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</si>
  <si>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</si>
  <si>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</si>
  <si>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</si>
  <si>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</si>
  <si>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</si>
  <si>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</si>
  <si>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</si>
  <si>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</si>
  <si>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</si>
  <si>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</si>
  <si>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</si>
  <si>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</si>
  <si>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</si>
  <si>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</si>
  <si>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</si>
  <si>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</si>
  <si>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</si>
  <si>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</si>
  <si>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</si>
  <si>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</si>
  <si>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</si>
  <si>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</si>
  <si>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</si>
  <si>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</si>
  <si>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</si>
  <si>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</si>
  <si>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</si>
  <si>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</si>
  <si>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</si>
  <si>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</si>
  <si>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</si>
  <si>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</si>
  <si>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</si>
  <si>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</si>
  <si>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</si>
  <si>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</si>
  <si>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</si>
  <si>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</si>
  <si>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</si>
  <si>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</si>
  <si>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</si>
  <si>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</si>
  <si>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</si>
  <si>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</si>
  <si>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</si>
  <si>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</si>
  <si>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</si>
  <si>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</si>
  <si>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</si>
  <si>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</si>
  <si>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</si>
  <si>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</si>
  <si>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</si>
  <si>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</si>
  <si>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</si>
  <si>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</si>
  <si>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</si>
  <si>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</si>
  <si>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</si>
  <si>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</si>
  <si>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</si>
  <si>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</si>
  <si>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</si>
  <si>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</si>
  <si>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</si>
  <si>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</si>
  <si>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</si>
  <si>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</si>
  <si>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</si>
  <si>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</si>
  <si>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</si>
  <si>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</si>
  <si>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</si>
  <si>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</si>
  <si>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</si>
  <si>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</si>
  <si>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</si>
  <si>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</si>
  <si>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</si>
  <si>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</si>
  <si>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</si>
  <si>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</si>
  <si>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</si>
  <si>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</si>
  <si>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</si>
  <si>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</si>
  <si>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</si>
  <si>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</si>
  <si>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</si>
  <si>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</si>
  <si>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</si>
  <si>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</si>
  <si>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</si>
  <si>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</si>
  <si>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</si>
  <si>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</si>
  <si>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</si>
  <si>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</si>
  <si>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</si>
  <si>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</si>
  <si>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</si>
  <si>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</si>
  <si>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</si>
  <si>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</si>
  <si>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</si>
  <si>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</si>
  <si>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</si>
  <si>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</si>
  <si>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</si>
  <si>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</si>
  <si>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</si>
  <si>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</si>
  <si>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</si>
  <si>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</si>
  <si>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</si>
  <si>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</si>
  <si>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</si>
  <si>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</si>
  <si>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</si>
  <si>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</si>
  <si>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</si>
  <si>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</si>
  <si>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</si>
  <si>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</si>
  <si>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</si>
  <si>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</si>
  <si>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</si>
  <si>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</si>
  <si>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</si>
  <si>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</si>
  <si>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</si>
  <si>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</si>
  <si>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</si>
  <si>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</si>
  <si>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</si>
  <si>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</si>
  <si>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</si>
  <si>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</si>
  <si>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</si>
  <si>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</si>
  <si>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</si>
  <si>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</si>
  <si>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</si>
  <si>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</si>
  <si>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</si>
  <si>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</si>
  <si>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</si>
  <si>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</si>
  <si>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</si>
  <si>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</si>
  <si>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</si>
  <si>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</si>
  <si>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</si>
  <si>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</si>
  <si>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</si>
  <si>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</si>
  <si>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</si>
  <si>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</si>
  <si>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</si>
  <si>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</si>
  <si>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</si>
  <si>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</si>
  <si>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</si>
  <si>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</si>
  <si>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</si>
  <si>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</si>
  <si>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</si>
  <si>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</si>
  <si>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</si>
  <si>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</si>
  <si>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</si>
  <si>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</si>
  <si>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</si>
  <si>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</si>
  <si>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</si>
  <si>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</si>
  <si>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</si>
  <si>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</si>
  <si>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</si>
  <si>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</si>
  <si>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</si>
  <si>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</si>
  <si>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</si>
  <si>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</si>
  <si>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</si>
  <si>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</si>
  <si>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</si>
  <si>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</si>
  <si>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</si>
  <si>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</si>
  <si>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</si>
  <si>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</si>
  <si>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</si>
  <si>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</si>
  <si>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</si>
  <si>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</si>
  <si>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</si>
  <si>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</si>
  <si>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</si>
  <si>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</si>
  <si>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</si>
  <si>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</si>
  <si>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</si>
  <si>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</si>
  <si>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</si>
  <si>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</si>
  <si>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</si>
  <si>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</si>
  <si>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</si>
  <si>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</si>
  <si>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</si>
  <si>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</si>
  <si>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</si>
  <si>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</si>
  <si>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</si>
  <si>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</si>
  <si>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</si>
  <si>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</si>
  <si>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</si>
  <si>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</si>
  <si>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</si>
  <si>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</si>
  <si>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</si>
  <si>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</si>
  <si>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</si>
  <si>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</si>
  <si>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</si>
  <si>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</si>
  <si>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</si>
  <si>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</si>
  <si>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</si>
  <si>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</si>
  <si>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</si>
  <si>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</si>
  <si>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</si>
  <si>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</si>
  <si>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</si>
  <si>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</si>
  <si>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</si>
  <si>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</si>
  <si>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</si>
  <si>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</si>
  <si>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</si>
  <si>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</si>
  <si>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</si>
  <si>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</si>
  <si>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</si>
  <si>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</si>
  <si>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</si>
  <si>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</si>
  <si>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</si>
  <si>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</si>
  <si>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</si>
  <si>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</si>
  <si>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</si>
  <si>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</si>
  <si>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</si>
  <si>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</si>
  <si>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</si>
  <si>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</si>
  <si>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</si>
  <si>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</si>
  <si>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</si>
  <si>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</si>
  <si>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</si>
  <si>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</si>
  <si>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</si>
  <si>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</si>
  <si>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</si>
  <si>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</si>
  <si>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</si>
  <si>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</si>
  <si>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</si>
  <si>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</si>
  <si>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</si>
  <si>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</si>
  <si>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</si>
  <si>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</si>
  <si>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</si>
  <si>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</si>
  <si>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</si>
  <si>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</si>
  <si>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</si>
  <si>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</si>
  <si>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</si>
  <si>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</si>
  <si>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</si>
  <si>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</si>
  <si>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</si>
  <si>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</si>
  <si>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</si>
  <si>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</si>
  <si>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</si>
  <si>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</si>
  <si>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</si>
  <si>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</si>
  <si>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</si>
  <si>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</si>
  <si>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</si>
  <si>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</si>
  <si>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</si>
  <si>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</si>
  <si>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</si>
  <si>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</si>
  <si>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</si>
  <si>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</si>
  <si>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</si>
  <si>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</si>
  <si>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</si>
  <si>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</si>
  <si>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</si>
  <si>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</si>
  <si>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</si>
  <si>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</si>
  <si>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</si>
  <si>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</si>
  <si>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</si>
  <si>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</si>
  <si>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</si>
  <si>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</si>
  <si>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</si>
  <si>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</si>
  <si>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</si>
  <si>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</si>
  <si>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</si>
  <si>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</si>
  <si>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</si>
  <si>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</si>
  <si>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</si>
  <si>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</si>
  <si>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</si>
  <si>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</si>
  <si>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</si>
  <si>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</si>
  <si>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</si>
  <si>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</si>
  <si>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</si>
  <si>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</si>
  <si>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</si>
  <si>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</si>
  <si>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</si>
  <si>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</si>
  <si>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</si>
  <si>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</si>
  <si>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</si>
  <si>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</si>
  <si>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</si>
  <si>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</si>
  <si>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</si>
  <si>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</si>
  <si>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</si>
  <si>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</si>
  <si>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</si>
  <si>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</si>
  <si>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</si>
  <si>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</si>
  <si>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</si>
  <si>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</si>
  <si>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</si>
  <si>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</si>
  <si>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</si>
  <si>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</si>
  <si>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</si>
  <si>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</si>
  <si>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</si>
  <si>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</si>
  <si>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</si>
  <si>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</si>
  <si>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</si>
  <si>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</si>
  <si>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</si>
  <si>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</si>
  <si>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</si>
  <si>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</si>
  <si>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</si>
  <si>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</si>
  <si>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</si>
  <si>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</si>
  <si>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</si>
  <si>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</si>
  <si>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</si>
  <si>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</si>
  <si>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</si>
  <si>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</si>
  <si>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</si>
  <si>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</si>
  <si>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</si>
  <si>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</si>
  <si>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</si>
  <si>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</si>
  <si>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</si>
  <si>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</si>
  <si>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</si>
  <si>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</si>
  <si>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</si>
  <si>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</si>
  <si>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</si>
  <si>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</si>
  <si>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</si>
  <si>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</si>
  <si>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</si>
  <si>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</si>
  <si>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</si>
  <si>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</si>
  <si>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</si>
  <si>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</si>
  <si>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</si>
  <si>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</si>
  <si>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</si>
  <si>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</si>
  <si>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</si>
  <si>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</si>
  <si>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</si>
  <si>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</si>
  <si>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</si>
  <si>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</si>
  <si>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</si>
  <si>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</si>
  <si>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</si>
  <si>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</si>
  <si>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</si>
  <si>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</si>
  <si>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</si>
  <si>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</si>
  <si>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</si>
  <si>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</si>
  <si>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</si>
  <si>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</si>
  <si>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</si>
  <si>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</si>
  <si>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</si>
  <si>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</si>
  <si>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</si>
  <si>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</si>
  <si>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</si>
  <si>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</si>
  <si>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</si>
  <si>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</si>
  <si>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</si>
  <si>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</si>
  <si>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</si>
  <si>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</si>
  <si>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</si>
  <si>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</si>
  <si>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</si>
  <si>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</si>
  <si>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</si>
  <si>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</si>
  <si>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</si>
  <si>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</si>
  <si>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</si>
  <si>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</si>
  <si>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</si>
  <si>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</si>
  <si>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</si>
  <si>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</si>
  <si>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</si>
  <si>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</si>
  <si>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</si>
  <si>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</si>
  <si>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</si>
  <si>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</si>
  <si>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</si>
  <si>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</si>
  <si>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</si>
  <si>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</si>
  <si>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</si>
  <si>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</si>
  <si>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</si>
  <si>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</si>
  <si>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</si>
  <si>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</si>
  <si>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</si>
  <si>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</si>
  <si>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</si>
  <si>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</si>
  <si>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</si>
  <si>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</si>
  <si>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</si>
  <si>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</si>
  <si>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</si>
  <si>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</si>
  <si>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</si>
  <si>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</si>
  <si>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</si>
  <si>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</si>
  <si>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</si>
  <si>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</si>
  <si>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</si>
  <si>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</si>
  <si>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</si>
  <si>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</si>
  <si>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</si>
  <si>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</si>
  <si>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</si>
  <si>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</si>
  <si>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</si>
  <si>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</si>
  <si>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</si>
  <si>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</si>
  <si>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</si>
  <si>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</si>
  <si>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</si>
  <si>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</si>
  <si>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</si>
  <si>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</si>
  <si>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</si>
  <si>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</si>
  <si>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</si>
  <si>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</si>
  <si>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</si>
  <si>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</si>
  <si>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</si>
  <si>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</si>
  <si>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</si>
  <si>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</si>
  <si>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</si>
  <si>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</si>
  <si>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</si>
  <si>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</si>
  <si>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</si>
  <si>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</si>
  <si>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</si>
  <si>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</si>
  <si>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</si>
  <si>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</si>
  <si>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</si>
  <si>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</si>
  <si>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</si>
  <si>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</si>
  <si>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</si>
  <si>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</si>
  <si>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</si>
  <si>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</si>
  <si>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</si>
  <si>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</si>
  <si>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</si>
  <si>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</si>
  <si>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</si>
  <si>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</si>
  <si>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</si>
  <si>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</si>
  <si>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</si>
  <si>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</si>
  <si>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</si>
  <si>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</si>
  <si>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</si>
  <si>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</si>
  <si>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</si>
  <si>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</si>
  <si>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</si>
  <si>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</si>
  <si>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</si>
  <si>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</si>
  <si>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</si>
  <si>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</si>
  <si>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</si>
  <si>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</si>
  <si>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</si>
  <si>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</si>
  <si>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</si>
  <si>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</si>
  <si>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</si>
  <si>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</si>
  <si>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</si>
  <si>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</si>
  <si>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</si>
  <si>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</si>
  <si>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</si>
  <si>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</si>
  <si>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</si>
  <si>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</si>
  <si>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</si>
  <si>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</si>
  <si>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</si>
  <si>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</si>
  <si>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</si>
  <si>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</si>
  <si>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ULID-009205, Issue #:  1.0
UL ENTERPRISE CONFORMITY ASSESSMENT BODY IMPARTIALITY POLICY</t>
  </si>
  <si>
    <t>ULID-000207 (DCS:00-HR-S0052), Issue #: 3.0
RECORD OF AGREEMENTS PERTAINING TO CONFIDENTIALITY, CONFLICT OF INTEREST, BUSINESS ETHICS, AND OTHER POLICIES, (EMPLOYEES)</t>
  </si>
  <si>
    <t>Policy-ULID-000489 (DCS:00-LC-P0028), Issue #:16.0
LABORATORY CALIBRATION POLICY
Policy-ULID-000491 (DCS:00-LC-P0031), Issue #: 23.0
LABORATORY EQUIPMENT POLICY</t>
  </si>
  <si>
    <t xml:space="preserve">ULID-000877 (DCS:00-OP-P0400), Issue #: 8.0
SAMPLE MANAGEMENT POLICY
ULID-001790 (DCS:01-LO-S0124), Issue #: 10.0
NORTHBROOK SAMPLE HANDLING PROCESS
ULID-001331 (DCS: 00-WS-S0854), Issue #:  2.0
LPG FOR THE COLLECTION AND PRESERVATION OF SAMPLES PREPARED ACCORDING TO ANSI/NSF STANDARDS 42, 53, 60, AND 61
ULID-001319 (DCS:00-WS-S0423), Issue #:  3.0
LPG FOR THE PREPARATION OF CONDITIONING AND EXTRACTION WATERS IN NSF/ANSI STANDARD 61 </t>
  </si>
  <si>
    <t>ULID-000680 (DCS:00-LO-S0405, Issue #: 13.0
TEST DATASHEET REQUIREMENTS
ULID-000686 (DCS:00-LO-S0829, Issue #:  10.1
TESTING RELATED TECHNICAL RECORDS</t>
  </si>
  <si>
    <t>ULID-000490 (DCS:00-LC-P0029), Issue #: 13.0
PROFICIENCY TESTING POLICY</t>
  </si>
  <si>
    <t>ULID-000688 (DCS:00-LO-S0857), Issue #:  7.0
LABORATORY CONTROL OF NONCONFORMING TESTING OR IN-HOUSE CALIBRATION WORK PROCEDURE
ULID-000856 (DCS:00-OP-F0404), Issue #: 9.0
TRACEBACK PROCESS &amp; FORM</t>
  </si>
  <si>
    <t>ULID-000493 (DCS:00-LC-P0046), Issue #:  10.0
LABORATORY COMPLAINT POLICY
ULID-004161, Issue #: 46.0
STANDARD OPERATION PROCEDURES-ULID-004161 (STANDARD OPERATING PROCEDURES FOR HANDLING CUSTOMER COMPLAINTS)</t>
  </si>
  <si>
    <t>ULID-001013 (DCS:00-QA-S0003), Issue #: 40.0
DOCUMENT MANAGEMENT SOP</t>
  </si>
  <si>
    <t>ULID-000435 (DCS:00-IT-P0829), Issue #: 9.0
HANDLING DATA BACKUP AND RETENTION POLICY
ULID-001010 (DCS:00-QA-P0026), Issue #: 5.0
GLOBAL RECORDS POLICY</t>
  </si>
  <si>
    <t>ULID-000690 (DCS:00-LO-S0864), Issue #: 1.0
LABORATORY RISKS AND OPPORTUNITIES</t>
  </si>
  <si>
    <t>ULID-000492 (DCS:00-LC-P0040), Issue #: 20.0
LABORATORY MANAGEMENT REVIEW POLICY
ULID-000484 (DCS:00-LC-F0033), Issue #:14.2
LABORATORY MANAGEMENT REVIEW REPORT FORM</t>
  </si>
  <si>
    <t>Canada Safety Scheme, IECEE CB Scheme, US Safety Scheme</t>
  </si>
  <si>
    <t>Auditor Name: Brian Mahoney</t>
  </si>
  <si>
    <t>ULID-000435 (DCS:00-IT-P0829), Issue 9.0 - Handling Data Backup and Retention Policy
ULID-000438 (DCS:00-IT-P0856), Issue 1.0 - DATA CENTER/ SERVER ROOM/ CLOSET (GLOBAL ACCESS POLICY)</t>
  </si>
  <si>
    <t>Reviewed organization chart</t>
  </si>
  <si>
    <t>Reviewed temperature and humidity</t>
  </si>
  <si>
    <t xml:space="preserve">
ULID-004141 (DCS:00-CE-P0851), Issue #:  10.0
UL INTERNAL LABORATORY QUALIFICATION FOR CONDUCTING EVALUATIONS USED IN PRODUCT CERTIFICATION 
ULID-009203, Issue #: 2.0
UL ENTERPRISE TESTING AND CALIBRATION LABORATORY COMPLIANCE POLICY (ISO/IEC 17025:2017) 'New'</t>
  </si>
  <si>
    <t>reviewed data sheets</t>
  </si>
  <si>
    <t>Aaron Reitz</t>
  </si>
  <si>
    <t>Last modified 1/12/22</t>
  </si>
  <si>
    <t>Discussed during audit</t>
  </si>
  <si>
    <t>Covered throughout the audit</t>
  </si>
  <si>
    <t>Audit Date Range: 09/13-16/2022</t>
  </si>
  <si>
    <t>Built Environment - Personal Protective Equipment, CMIT - Small Appliance, Retail &amp; Consumer Products - Hardlines and Softlines</t>
  </si>
  <si>
    <t>Geneva Bivins</t>
  </si>
  <si>
    <t>Scott Todesco, Jessica Carmichael, Cathrine Martin</t>
  </si>
  <si>
    <t>Management Review- Small appliances dated 8/26/22, PPE dated 6/22, PFD dated 9/12/22</t>
  </si>
  <si>
    <t>3 labs</t>
  </si>
  <si>
    <t>Small Appliances, PPE, PFD labs</t>
  </si>
  <si>
    <t>Ammeter #6807
Power meter #203638
0.5 joule Spring hammer #212411
Stop watch #179034
Washing machine (is verified) #35628</t>
  </si>
  <si>
    <t>David Clemmons</t>
  </si>
  <si>
    <t>Joe McGraw (30337)</t>
  </si>
  <si>
    <t>IEC 60730-1:2013+AMD1:2015+AMD2:2020 – Automatic electrical controls – Part 1: General requirements; Annex A – “Indelibility of markings”</t>
  </si>
  <si>
    <t>Sample Datasheet package provided by Operations Team</t>
  </si>
  <si>
    <t>William Keats Lee (38604)</t>
  </si>
  <si>
    <t>IEC 60335-1: 2010/A1:2013/A2:2016 – Clause 19.9 Running Overload – Motors</t>
  </si>
  <si>
    <t>Confirmed Technican Compentency in TCD and Reviewed L1 Training Records.  Confirmed Equipment Calibration status , Enviromental test conditions and access to Safety Datasheets.  Technican was able to show how to access IECEE CTL Decisions.</t>
  </si>
  <si>
    <t>Confirmed Technican Compentency in TCD and Reviewed L1 Training Records.  Confirmed Equipment Calibration status, Equipment verification status and Critical Consumables expirations dates and access to Safety Datasheets.  Technican was able to show how to access IECEE CTL Decisions.</t>
  </si>
  <si>
    <t>Reviewed trianing records -Joe McGraw, William Keats Lee,</t>
  </si>
  <si>
    <t>Audit # 2023-41-IQA RTP</t>
  </si>
  <si>
    <t>Hexane, Degertent</t>
  </si>
  <si>
    <t>OFI #1 - During the Witnessing of Testing in the 2nd Floor Lab Noise Room, it seemed that the Bay 4 temperature was higher than the general room area where the BAMs system enviormental sensor was located.  the lab may consider using a portable temperature measurement device directly in Bay 4 during abnormal testing.</t>
  </si>
  <si>
    <t>William Keats Lee  -38604 
Joseph McGraw – 30337
Hugh Johnson- 
Adam Cave (Emp# 22192)  
Lincoln Jefferson  (Emp# 49508) 4/14/2016
Jackson Daniel (Emp# 49503)  1/25/2016
Devin Mcarthur (Emp# 28904) 6/22/2022
Jon Dalmas (Emp# 43670) 1/21/2015
John Bainlardi (Emp# 01301) 4/21/2017
James Boyette (Emp# 30783) 8/20/2022
Kiefer Edwards  (Emp# 29010)  8/09/2022
Jonathon Dalmas- 43670</t>
  </si>
  <si>
    <t>ULID-009205, Issue #:  2.0
UL ENTERPRISE CONFORMITY ASSESSMENT BODY IMPARTIALITY POLICY</t>
  </si>
  <si>
    <t>ULID-000682 (DCS:00-LO-S0408), Issue #: 6.0
LABORATORY ACTIVITY VERIFICATION</t>
  </si>
  <si>
    <t>ULID-000687 (DCS:00-LO-S0855), Issue #: 19.0
LABORATORY PERSONNEL REQUIREMENTS
00-LO-F0861, Issue #:  3.0
ULID-000682 (DCS:00-LO-S0408), Issue #: 6.0
LABORATORY ACTIVITY VERIFICATION
COMPETENCE MONITORING FORM</t>
  </si>
  <si>
    <t>Policy-ULID-000487 (DCS:00-LC-P0025), Issue #: 15.1
LABORATORY FACILITIES AND ENVIRONMENTAL CONDITIONS POLICY</t>
  </si>
  <si>
    <t>Policy-ULID-000488 (DCS:00-LC-P0026), Issue #: 10.2
POLICY FOR THE USE OF CALIBRATION VENDORS</t>
  </si>
  <si>
    <t xml:space="preserve">ULID-000496 (DCS:00-LC-S0278), Issue #: 15.1
EVALUATION OF MEASUREMENT UNCERTAINTY </t>
  </si>
  <si>
    <t>ULID-000689(DCS: 00-LO-S0862), Issue #: 2.0
ENSURING THE VALIDITY OF RESULTS
ULID-007964 (DCS:80-LC-S0026), Issue #:  4.0
US LABORATORY INTERNAL TECHNICAL AUDITS
ULID-000490 (DCS:00-LC-P0029), Issue #: 14.0
PROFICIENCY TESTING POLICY</t>
  </si>
  <si>
    <t>ULID-001015 (DCS:00-QA-S0006), Issue #: 33.0
CORRECTIVE ACTION REQUEST PROCESS</t>
  </si>
  <si>
    <t>Jon Dalmas (43670)</t>
  </si>
  <si>
    <t>IEC 60335-1(Ed. 5.2), IEC 60335-2-23(Ed. 6.1), Drop Test</t>
  </si>
  <si>
    <t>4790858392-1.1</t>
  </si>
  <si>
    <t>John Baldardi (01301)</t>
  </si>
  <si>
    <t>Shannon Westpal (81320)</t>
  </si>
  <si>
    <t>NFPA 1971 - 2018  Flame Resistance Test 2.</t>
  </si>
  <si>
    <t>NFPA 1971 - 2018  Flame Resistance Test 4.</t>
  </si>
  <si>
    <t>James Boyette(30783)</t>
  </si>
  <si>
    <t xml:space="preserve">NFPA 2112 - 2023  Heat and Thermal Srinkage Resistance </t>
  </si>
  <si>
    <t>Kiefer Edwards (29010)</t>
  </si>
  <si>
    <t>NFPA 1971 - 2018  Thermal Protective Performance (TPP) Test</t>
  </si>
  <si>
    <t>UL 1202-9 and UL1123  -  In Water Performance Test</t>
  </si>
  <si>
    <t>Deja Jones(28831), Lucas Turner(28302)</t>
  </si>
  <si>
    <t>Robbie Phillips (19813)</t>
  </si>
  <si>
    <t>UL 1191 (ASTM D3787)  - Ball Burst Test</t>
  </si>
  <si>
    <t>Management Review- Small appliances dated 8/26/22, PPE dated 2/23, PFD dated 5/08/23</t>
  </si>
  <si>
    <t>To be audited in Global Audit Programs &amp; Corrective and Preventive Action audit, 2023-61-IQA</t>
  </si>
  <si>
    <t>2023-41-SDT1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</si>
</sst>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8">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9">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horizontal="center" vertical="center" wrapText="1"/>
    </xf>
    <xf numFmtId="0" fontId="0" fillId="0" borderId="1" xfId="0" applyFill="1" applyBorder="1" applyAlignment="1">
      <alignment horizontal="center" vertical="center" wrapText="1"/>
    </xf>
    <xf numFmtId="0" fontId="0" fillId="6" borderId="1" xfId="0" applyFill="1" applyBorder="1" applyAlignment="1">
      <alignment horizontal="center" vertical="center" wrapText="1"/>
    </xf>
    <xf numFmtId="0" fontId="7"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17" borderId="1" xfId="0" applyFill="1" applyBorder="1" applyAlignment="1">
      <alignment horizontal="center" vertical="center" wrapText="1"/>
    </xf>
    <xf numFmtId="0" fontId="7" fillId="17" borderId="1" xfId="0" applyFont="1" applyFill="1" applyBorder="1" applyAlignment="1">
      <alignment horizontal="center" vertical="center" wrapText="1"/>
    </xf>
    <xf numFmtId="0" fontId="0" fillId="17" borderId="1" xfId="0" applyFill="1" applyBorder="1" applyAlignment="1">
      <alignment wrapText="1"/>
    </xf>
  </cellXfs>
  <cellStyles count="1">
    <cellStyle name="Normal" xfId="0" builtinId="0"/>
  </cellStyles>
  <dxfs count="82">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5"/>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7113E009-EF6D-42DD-90E9-D69B06EF9D39}">
    <text>When looking test method,  need further discussion for additional form or pathnote</text>
  </threadedComment>
  <threadedComment ref="Q29" dT="2020-09-22T15:02:37.15" personId="{AC51E8DC-BF1C-40B5-8E58-84AE25CE4664}" id="{05D70D25-240B-45E3-8EE1-478756CDD563}">
    <text>When looking test method,  need further discussion for additional form or pathnote</text>
  </threadedComment>
  <threadedComment ref="Q30" dT="2020-09-22T15:02:37.15" personId="{AC51E8DC-BF1C-40B5-8E58-84AE25CE4664}" id="{990EDD30-EE78-43F2-BDF8-7DE44CC79640}">
    <text>When looking test method,  need further discussion for additional form or pathnote</text>
  </threadedComment>
</ThreadedComments>
</file>

<file path=xl/threadedComments/threadedComment2.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6E7C2-0E13-48CC-9112-31A8D344C546}">
  <sheetPr codeName="Sheet6"/>
  <dimension ref="A1:R48"/>
  <sheetViews>
    <sheetView tabSelected="1" zoomScale="90" zoomScaleNormal="90" workbookViewId="0">
      <pane xSplit="1" ySplit="2" topLeftCell="G3" activePane="bottomRight" state="frozen"/>
      <selection pane="topRight" activeCell="B1" sqref="B1"/>
      <selection pane="bottomLeft" activeCell="A2" sqref="A2"/>
      <selection pane="bottomRight" activeCell="J41" sqref="J41"/>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883</v>
      </c>
      <c r="B1" s="43" t="s">
        <v>856</v>
      </c>
      <c r="D1" s="44" t="s">
        <v>866</v>
      </c>
      <c r="E1" s="43"/>
      <c r="F1" s="45"/>
      <c r="G1" s="45"/>
      <c r="H1" s="45"/>
      <c r="I1" s="45"/>
      <c r="J1" s="45"/>
      <c r="K1" s="45"/>
      <c r="L1" s="45"/>
      <c r="M1" s="45"/>
      <c r="N1" s="45"/>
      <c r="O1" s="45"/>
      <c r="P1" s="46"/>
      <c r="Q1" s="45"/>
      <c r="R1" s="47"/>
    </row>
    <row r="2" spans="1:18" s="3" customFormat="1" ht="85.5"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75" x14ac:dyDescent="0.25">
      <c r="A3" s="2" t="s">
        <v>29</v>
      </c>
      <c r="B3" s="50" t="s">
        <v>826</v>
      </c>
      <c r="C3" s="50" t="s">
        <v>478</v>
      </c>
      <c r="D3" s="50" t="s">
        <v>855</v>
      </c>
      <c r="E3" s="50" t="s">
        <v>867</v>
      </c>
      <c r="F3" s="50" t="s">
        <v>869</v>
      </c>
      <c r="G3" s="56" t="s">
        <v>887</v>
      </c>
      <c r="H3" s="55" t="s">
        <v>870</v>
      </c>
      <c r="I3" s="52"/>
      <c r="J3" s="50"/>
      <c r="K3" s="51" t="s">
        <v>148</v>
      </c>
      <c r="L3" s="50"/>
      <c r="M3" s="9"/>
      <c r="N3" s="9"/>
      <c r="O3" s="9"/>
      <c r="P3" s="8" t="s">
        <v>101</v>
      </c>
      <c r="Q3" s="11" t="s">
        <v>35</v>
      </c>
      <c r="R3" s="11" t="s">
        <v>132</v>
      </c>
    </row>
    <row r="4" spans="1:18" s="3" customFormat="1" ht="270" x14ac:dyDescent="0.25">
      <c r="A4" s="2" t="s">
        <v>30</v>
      </c>
      <c r="B4" s="50" t="s">
        <v>826</v>
      </c>
      <c r="C4" s="50" t="s">
        <v>478</v>
      </c>
      <c r="D4" s="50" t="s">
        <v>855</v>
      </c>
      <c r="E4" s="50" t="s">
        <v>867</v>
      </c>
      <c r="F4" s="50" t="s">
        <v>868</v>
      </c>
      <c r="G4" s="57" t="s">
        <v>844</v>
      </c>
      <c r="H4" s="56" t="s">
        <v>886</v>
      </c>
      <c r="I4" s="52"/>
      <c r="J4" s="50"/>
      <c r="K4" s="51" t="s">
        <v>148</v>
      </c>
      <c r="L4" s="50"/>
      <c r="M4" s="9"/>
      <c r="N4" s="9"/>
      <c r="O4" s="9"/>
      <c r="P4" s="8" t="s">
        <v>62</v>
      </c>
      <c r="Q4" s="11" t="s">
        <v>36</v>
      </c>
      <c r="R4" s="11"/>
    </row>
    <row r="5" spans="1:18" s="3" customFormat="1" ht="75" x14ac:dyDescent="0.25">
      <c r="A5" s="2" t="s">
        <v>28</v>
      </c>
      <c r="B5" s="50" t="s">
        <v>826</v>
      </c>
      <c r="C5" s="50" t="s">
        <v>478</v>
      </c>
      <c r="D5" s="50" t="s">
        <v>855</v>
      </c>
      <c r="E5" s="50" t="s">
        <v>867</v>
      </c>
      <c r="F5" s="50" t="s">
        <v>869</v>
      </c>
      <c r="G5" s="56" t="s">
        <v>888</v>
      </c>
      <c r="H5" s="50" t="s">
        <v>858</v>
      </c>
      <c r="I5" s="52"/>
      <c r="J5" s="50"/>
      <c r="K5" s="51" t="s">
        <v>148</v>
      </c>
      <c r="L5" s="50"/>
      <c r="M5" s="9"/>
      <c r="N5" s="9"/>
      <c r="O5" s="9"/>
      <c r="P5" s="8" t="s">
        <v>101</v>
      </c>
      <c r="Q5" s="8" t="s">
        <v>37</v>
      </c>
      <c r="R5" s="11"/>
    </row>
    <row r="6" spans="1:18" s="3" customFormat="1" ht="90" x14ac:dyDescent="0.25">
      <c r="A6" s="2" t="s">
        <v>2</v>
      </c>
      <c r="B6" s="50" t="s">
        <v>826</v>
      </c>
      <c r="C6" s="50" t="s">
        <v>478</v>
      </c>
      <c r="D6" s="50" t="s">
        <v>855</v>
      </c>
      <c r="E6" s="50" t="s">
        <v>867</v>
      </c>
      <c r="F6" s="50" t="s">
        <v>869</v>
      </c>
      <c r="G6" s="57" t="s">
        <v>889</v>
      </c>
      <c r="H6" s="50" t="s">
        <v>882</v>
      </c>
      <c r="I6" s="50">
        <v>4</v>
      </c>
      <c r="J6" s="50"/>
      <c r="K6" s="51" t="s">
        <v>148</v>
      </c>
      <c r="L6" s="50"/>
      <c r="M6" s="9"/>
      <c r="N6" s="9"/>
      <c r="O6" s="9"/>
      <c r="P6" s="8" t="s">
        <v>101</v>
      </c>
      <c r="Q6" s="8" t="s">
        <v>32</v>
      </c>
      <c r="R6" s="11" t="s">
        <v>131</v>
      </c>
    </row>
    <row r="7" spans="1:18" s="3" customFormat="1" ht="75" x14ac:dyDescent="0.25">
      <c r="A7" s="2" t="s">
        <v>1</v>
      </c>
      <c r="B7" s="50" t="s">
        <v>826</v>
      </c>
      <c r="C7" s="50" t="s">
        <v>478</v>
      </c>
      <c r="D7" s="50" t="s">
        <v>855</v>
      </c>
      <c r="E7" s="50" t="s">
        <v>867</v>
      </c>
      <c r="F7" s="50" t="s">
        <v>869</v>
      </c>
      <c r="G7" s="56" t="s">
        <v>890</v>
      </c>
      <c r="H7" s="50" t="s">
        <v>859</v>
      </c>
      <c r="I7" s="50" t="s">
        <v>871</v>
      </c>
      <c r="J7" s="50" t="s">
        <v>872</v>
      </c>
      <c r="K7" s="51" t="s">
        <v>148</v>
      </c>
      <c r="L7" s="50"/>
      <c r="M7" s="9"/>
      <c r="N7" s="9"/>
      <c r="O7" s="9"/>
      <c r="P7" s="8" t="s">
        <v>101</v>
      </c>
      <c r="Q7" s="11" t="s">
        <v>33</v>
      </c>
      <c r="R7" s="11"/>
    </row>
    <row r="8" spans="1:18" s="3" customFormat="1" ht="90" x14ac:dyDescent="0.25">
      <c r="A8" s="2" t="s">
        <v>5</v>
      </c>
      <c r="B8" s="50" t="s">
        <v>826</v>
      </c>
      <c r="C8" s="50" t="s">
        <v>478</v>
      </c>
      <c r="D8" s="50" t="s">
        <v>855</v>
      </c>
      <c r="E8" s="50" t="s">
        <v>867</v>
      </c>
      <c r="F8" s="50" t="s">
        <v>869</v>
      </c>
      <c r="G8" s="53" t="s">
        <v>845</v>
      </c>
      <c r="H8" s="55" t="s">
        <v>873</v>
      </c>
      <c r="I8" s="50">
        <v>5</v>
      </c>
      <c r="J8" s="50"/>
      <c r="K8" s="51" t="s">
        <v>148</v>
      </c>
      <c r="L8" s="50"/>
      <c r="M8" s="9"/>
      <c r="N8" s="9"/>
      <c r="O8" s="9"/>
      <c r="P8" s="8" t="s">
        <v>101</v>
      </c>
      <c r="Q8" s="8" t="s">
        <v>43</v>
      </c>
      <c r="R8" s="11" t="s">
        <v>140</v>
      </c>
    </row>
    <row r="9" spans="1:18" s="3" customFormat="1" ht="75" x14ac:dyDescent="0.25">
      <c r="A9" s="2" t="s">
        <v>17</v>
      </c>
      <c r="B9" s="50" t="s">
        <v>826</v>
      </c>
      <c r="C9" s="50" t="s">
        <v>478</v>
      </c>
      <c r="D9" s="50" t="s">
        <v>855</v>
      </c>
      <c r="E9" s="50" t="s">
        <v>867</v>
      </c>
      <c r="F9" s="50" t="s">
        <v>869</v>
      </c>
      <c r="G9" s="56" t="s">
        <v>891</v>
      </c>
      <c r="H9" s="55" t="s">
        <v>884</v>
      </c>
      <c r="I9" s="50">
        <v>2</v>
      </c>
      <c r="J9" s="50"/>
      <c r="K9" s="51" t="s">
        <v>148</v>
      </c>
      <c r="L9" s="50"/>
      <c r="M9" s="9"/>
      <c r="N9" s="9"/>
      <c r="O9" s="9"/>
      <c r="P9" s="8" t="s">
        <v>101</v>
      </c>
      <c r="Q9" s="8" t="s">
        <v>34</v>
      </c>
      <c r="R9" s="11"/>
    </row>
    <row r="10" spans="1:18" s="3" customFormat="1" ht="75" x14ac:dyDescent="0.25">
      <c r="A10" s="2" t="s">
        <v>16</v>
      </c>
      <c r="B10" s="50" t="s">
        <v>826</v>
      </c>
      <c r="C10" s="50" t="s">
        <v>458</v>
      </c>
      <c r="D10" s="50" t="s">
        <v>855</v>
      </c>
      <c r="E10" s="50" t="s">
        <v>867</v>
      </c>
      <c r="F10" s="50"/>
      <c r="G10" s="50"/>
      <c r="H10" s="50"/>
      <c r="I10" s="52"/>
      <c r="J10" s="50"/>
      <c r="K10" s="51" t="s">
        <v>840</v>
      </c>
      <c r="L10" s="50"/>
      <c r="M10" s="9"/>
      <c r="N10" s="9"/>
      <c r="O10" s="9"/>
      <c r="P10" s="8" t="s">
        <v>101</v>
      </c>
      <c r="Q10" s="8" t="s">
        <v>38</v>
      </c>
      <c r="R10" s="11">
        <v>4.5</v>
      </c>
    </row>
    <row r="11" spans="1:18" s="3" customFormat="1" ht="135" x14ac:dyDescent="0.25">
      <c r="A11" s="2" t="s">
        <v>4</v>
      </c>
      <c r="B11" s="50" t="s">
        <v>826</v>
      </c>
      <c r="C11" s="50" t="s">
        <v>478</v>
      </c>
      <c r="D11" s="50" t="s">
        <v>855</v>
      </c>
      <c r="E11" s="50" t="s">
        <v>867</v>
      </c>
      <c r="F11" s="50" t="s">
        <v>869</v>
      </c>
      <c r="G11" s="50" t="s">
        <v>860</v>
      </c>
      <c r="H11" s="55" t="s">
        <v>861</v>
      </c>
      <c r="I11" s="50">
        <v>6</v>
      </c>
      <c r="J11" s="50"/>
      <c r="K11" s="51" t="s">
        <v>148</v>
      </c>
      <c r="L11" s="50"/>
      <c r="M11" s="9"/>
      <c r="N11" s="9"/>
      <c r="O11" s="9"/>
      <c r="P11" s="7" t="s">
        <v>62</v>
      </c>
      <c r="Q11" s="7" t="s">
        <v>39</v>
      </c>
      <c r="R11" s="11"/>
    </row>
    <row r="12" spans="1:18" s="3" customFormat="1" ht="180" x14ac:dyDescent="0.25">
      <c r="A12" s="2" t="s">
        <v>7</v>
      </c>
      <c r="B12" s="50" t="s">
        <v>826</v>
      </c>
      <c r="C12" s="50" t="s">
        <v>478</v>
      </c>
      <c r="D12" s="50" t="s">
        <v>855</v>
      </c>
      <c r="E12" s="50" t="s">
        <v>867</v>
      </c>
      <c r="F12" s="50" t="s">
        <v>869</v>
      </c>
      <c r="G12" s="50" t="s">
        <v>846</v>
      </c>
      <c r="H12" s="55" t="s">
        <v>873</v>
      </c>
      <c r="I12" s="50">
        <v>5</v>
      </c>
      <c r="J12" s="50"/>
      <c r="K12" s="51" t="s">
        <v>148</v>
      </c>
      <c r="L12" s="50"/>
      <c r="M12" s="9"/>
      <c r="N12" s="9"/>
      <c r="O12" s="9"/>
      <c r="P12" s="8" t="s">
        <v>101</v>
      </c>
      <c r="Q12" s="12" t="s">
        <v>40</v>
      </c>
      <c r="R12" s="11"/>
    </row>
    <row r="13" spans="1:18" s="3" customFormat="1" ht="75" x14ac:dyDescent="0.25">
      <c r="A13" s="2" t="s">
        <v>19</v>
      </c>
      <c r="B13" s="50" t="s">
        <v>826</v>
      </c>
      <c r="C13" s="50" t="s">
        <v>478</v>
      </c>
      <c r="D13" s="50" t="s">
        <v>855</v>
      </c>
      <c r="E13" s="50" t="s">
        <v>867</v>
      </c>
      <c r="F13" s="50" t="s">
        <v>869</v>
      </c>
      <c r="G13" s="50" t="s">
        <v>847</v>
      </c>
      <c r="H13" s="50" t="s">
        <v>861</v>
      </c>
      <c r="I13" s="50">
        <v>6</v>
      </c>
      <c r="J13" s="50"/>
      <c r="K13" s="51" t="s">
        <v>148</v>
      </c>
      <c r="L13" s="50"/>
      <c r="M13" s="9"/>
      <c r="N13" s="9"/>
      <c r="O13" s="9"/>
      <c r="P13" s="8" t="s">
        <v>101</v>
      </c>
      <c r="Q13" s="8" t="s">
        <v>50</v>
      </c>
      <c r="R13" s="11" t="s">
        <v>135</v>
      </c>
    </row>
    <row r="14" spans="1:18" s="3" customFormat="1" ht="75" x14ac:dyDescent="0.25">
      <c r="A14" s="2" t="s">
        <v>9</v>
      </c>
      <c r="B14" s="50" t="s">
        <v>826</v>
      </c>
      <c r="C14" s="50" t="s">
        <v>478</v>
      </c>
      <c r="D14" s="50" t="s">
        <v>855</v>
      </c>
      <c r="E14" s="50" t="s">
        <v>867</v>
      </c>
      <c r="F14" s="56" t="s">
        <v>862</v>
      </c>
      <c r="G14" s="56" t="s">
        <v>892</v>
      </c>
      <c r="H14" s="55" t="s">
        <v>863</v>
      </c>
      <c r="I14" s="52"/>
      <c r="J14" s="50"/>
      <c r="K14" s="51" t="s">
        <v>148</v>
      </c>
      <c r="L14" s="50"/>
      <c r="M14" s="9"/>
      <c r="N14" s="9"/>
      <c r="O14" s="9"/>
      <c r="P14" s="8" t="s">
        <v>101</v>
      </c>
      <c r="Q14" s="8" t="s">
        <v>42</v>
      </c>
      <c r="R14" s="11"/>
    </row>
    <row r="15" spans="1:18" s="3" customFormat="1" ht="90" x14ac:dyDescent="0.25">
      <c r="A15" s="2" t="s">
        <v>10</v>
      </c>
      <c r="B15" s="50" t="s">
        <v>826</v>
      </c>
      <c r="C15" s="50" t="s">
        <v>478</v>
      </c>
      <c r="D15" s="50" t="s">
        <v>855</v>
      </c>
      <c r="E15" s="50" t="s">
        <v>867</v>
      </c>
      <c r="F15" s="56" t="s">
        <v>869</v>
      </c>
      <c r="G15" s="56" t="s">
        <v>893</v>
      </c>
      <c r="H15" s="55" t="s">
        <v>870</v>
      </c>
      <c r="I15" s="52"/>
      <c r="J15" s="50"/>
      <c r="K15" s="51" t="s">
        <v>148</v>
      </c>
      <c r="L15" s="50"/>
      <c r="M15" s="9"/>
      <c r="N15" s="9"/>
      <c r="O15" s="9"/>
      <c r="P15" s="8" t="s">
        <v>101</v>
      </c>
      <c r="Q15" s="8" t="s">
        <v>41</v>
      </c>
      <c r="R15" s="11"/>
    </row>
    <row r="16" spans="1:18" s="3" customFormat="1" ht="75" x14ac:dyDescent="0.25">
      <c r="A16" s="2" t="s">
        <v>11</v>
      </c>
      <c r="B16" s="50" t="s">
        <v>826</v>
      </c>
      <c r="C16" s="50" t="s">
        <v>478</v>
      </c>
      <c r="D16" s="50" t="s">
        <v>855</v>
      </c>
      <c r="E16" s="50" t="s">
        <v>867</v>
      </c>
      <c r="F16" s="50" t="s">
        <v>869</v>
      </c>
      <c r="G16" s="50" t="s">
        <v>848</v>
      </c>
      <c r="H16" s="50" t="s">
        <v>870</v>
      </c>
      <c r="I16" s="52"/>
      <c r="J16" s="50"/>
      <c r="K16" s="51" t="s">
        <v>148</v>
      </c>
      <c r="L16" s="50"/>
      <c r="M16" s="9"/>
      <c r="N16" s="9"/>
      <c r="O16" s="9"/>
      <c r="P16" s="8" t="s">
        <v>101</v>
      </c>
      <c r="Q16" s="8" t="s">
        <v>44</v>
      </c>
      <c r="R16" s="11"/>
    </row>
    <row r="17" spans="1:18" s="3" customFormat="1" ht="90" x14ac:dyDescent="0.25">
      <c r="A17" s="2" t="s">
        <v>12</v>
      </c>
      <c r="B17" s="50" t="s">
        <v>826</v>
      </c>
      <c r="C17" s="50" t="s">
        <v>478</v>
      </c>
      <c r="D17" s="50" t="s">
        <v>855</v>
      </c>
      <c r="E17" s="50" t="s">
        <v>867</v>
      </c>
      <c r="F17" s="50" t="s">
        <v>869</v>
      </c>
      <c r="G17" s="50" t="s">
        <v>849</v>
      </c>
      <c r="H17" s="50" t="s">
        <v>864</v>
      </c>
      <c r="I17" s="52"/>
      <c r="J17" s="50"/>
      <c r="K17" s="51" t="s">
        <v>148</v>
      </c>
      <c r="L17" s="50"/>
      <c r="M17" s="9"/>
      <c r="N17" s="9"/>
      <c r="O17" s="9"/>
      <c r="P17" s="8" t="s">
        <v>101</v>
      </c>
      <c r="Q17" s="8" t="s">
        <v>45</v>
      </c>
      <c r="R17" s="11" t="s">
        <v>138</v>
      </c>
    </row>
    <row r="18" spans="1:18" s="3" customFormat="1" ht="75" x14ac:dyDescent="0.25">
      <c r="A18" s="2" t="s">
        <v>13</v>
      </c>
      <c r="B18" s="50" t="s">
        <v>826</v>
      </c>
      <c r="C18" s="50" t="s">
        <v>478</v>
      </c>
      <c r="D18" s="50" t="s">
        <v>855</v>
      </c>
      <c r="E18" s="50" t="s">
        <v>867</v>
      </c>
      <c r="F18" s="56" t="s">
        <v>874</v>
      </c>
      <c r="G18" s="50" t="s">
        <v>857</v>
      </c>
      <c r="H18" s="55" t="s">
        <v>864</v>
      </c>
      <c r="I18" s="52"/>
      <c r="J18" s="50"/>
      <c r="K18" s="51" t="s">
        <v>148</v>
      </c>
      <c r="L18" s="50"/>
      <c r="M18" s="9"/>
      <c r="N18" s="9"/>
      <c r="O18" s="9"/>
      <c r="P18" s="8" t="s">
        <v>101</v>
      </c>
      <c r="Q18" s="8" t="s">
        <v>51</v>
      </c>
      <c r="R18" s="11"/>
    </row>
    <row r="19" spans="1:18" s="3" customFormat="1" ht="90" x14ac:dyDescent="0.25">
      <c r="A19" s="2" t="s">
        <v>21</v>
      </c>
      <c r="B19" s="50" t="s">
        <v>826</v>
      </c>
      <c r="C19" s="50" t="s">
        <v>478</v>
      </c>
      <c r="D19" s="50" t="s">
        <v>855</v>
      </c>
      <c r="E19" s="50" t="s">
        <v>867</v>
      </c>
      <c r="F19" s="50" t="s">
        <v>869</v>
      </c>
      <c r="G19" s="50" t="s">
        <v>850</v>
      </c>
      <c r="H19" s="50" t="s">
        <v>870</v>
      </c>
      <c r="I19" s="52"/>
      <c r="J19" s="50"/>
      <c r="K19" s="51" t="s">
        <v>148</v>
      </c>
      <c r="L19" s="50"/>
      <c r="M19" s="9"/>
      <c r="N19" s="9"/>
      <c r="O19" s="9"/>
      <c r="P19" s="7" t="s">
        <v>62</v>
      </c>
      <c r="Q19" s="7" t="s">
        <v>52</v>
      </c>
      <c r="R19" s="11"/>
    </row>
    <row r="20" spans="1:18" s="3" customFormat="1" ht="75" x14ac:dyDescent="0.25">
      <c r="A20" s="2" t="s">
        <v>6</v>
      </c>
      <c r="B20" s="50" t="s">
        <v>826</v>
      </c>
      <c r="C20" s="50" t="s">
        <v>478</v>
      </c>
      <c r="D20" s="50" t="s">
        <v>855</v>
      </c>
      <c r="E20" s="50" t="s">
        <v>867</v>
      </c>
      <c r="F20" s="50"/>
      <c r="G20" s="50"/>
      <c r="H20" s="50"/>
      <c r="I20" s="52"/>
      <c r="J20" s="50"/>
      <c r="K20" s="51" t="s">
        <v>840</v>
      </c>
      <c r="L20" s="50"/>
      <c r="M20" s="9"/>
      <c r="N20" s="9"/>
      <c r="O20" s="9"/>
      <c r="P20" s="8" t="s">
        <v>101</v>
      </c>
      <c r="Q20" s="8" t="s">
        <v>46</v>
      </c>
      <c r="R20" s="11"/>
    </row>
    <row r="21" spans="1:18" s="3" customFormat="1" ht="75" x14ac:dyDescent="0.25">
      <c r="A21" s="2" t="s">
        <v>3</v>
      </c>
      <c r="B21" s="50" t="s">
        <v>826</v>
      </c>
      <c r="C21" s="50" t="s">
        <v>478</v>
      </c>
      <c r="D21" s="50" t="s">
        <v>855</v>
      </c>
      <c r="E21" s="50" t="s">
        <v>867</v>
      </c>
      <c r="F21" s="50" t="s">
        <v>869</v>
      </c>
      <c r="G21" s="50" t="s">
        <v>843</v>
      </c>
      <c r="H21" s="50" t="s">
        <v>865</v>
      </c>
      <c r="I21" s="52"/>
      <c r="J21" s="50"/>
      <c r="K21" s="51" t="s">
        <v>148</v>
      </c>
      <c r="L21" s="50"/>
      <c r="M21" s="9"/>
      <c r="N21" s="9"/>
      <c r="O21" s="9"/>
      <c r="P21" s="8" t="s">
        <v>101</v>
      </c>
      <c r="Q21" s="8" t="s">
        <v>53</v>
      </c>
      <c r="R21" s="11" t="s">
        <v>133</v>
      </c>
    </row>
    <row r="22" spans="1:18" s="3" customFormat="1" ht="75" x14ac:dyDescent="0.25">
      <c r="A22" s="2" t="s">
        <v>18</v>
      </c>
      <c r="B22" s="50" t="s">
        <v>826</v>
      </c>
      <c r="C22" s="50" t="s">
        <v>478</v>
      </c>
      <c r="D22" s="50" t="s">
        <v>855</v>
      </c>
      <c r="E22" s="50" t="s">
        <v>867</v>
      </c>
      <c r="F22" s="50" t="s">
        <v>869</v>
      </c>
      <c r="G22" s="50" t="s">
        <v>851</v>
      </c>
      <c r="H22" s="50" t="s">
        <v>865</v>
      </c>
      <c r="I22" s="52"/>
      <c r="J22" s="50"/>
      <c r="K22" s="51" t="s">
        <v>148</v>
      </c>
      <c r="L22" s="50"/>
      <c r="M22" s="9"/>
      <c r="N22" s="9"/>
      <c r="O22" s="9"/>
      <c r="P22" s="8" t="s">
        <v>62</v>
      </c>
      <c r="Q22" s="8" t="s">
        <v>47</v>
      </c>
      <c r="R22" s="11" t="s">
        <v>139</v>
      </c>
    </row>
    <row r="23" spans="1:18" s="3" customFormat="1" ht="75" x14ac:dyDescent="0.25">
      <c r="A23" s="2" t="s">
        <v>8</v>
      </c>
      <c r="B23" s="50" t="s">
        <v>826</v>
      </c>
      <c r="C23" s="50" t="s">
        <v>478</v>
      </c>
      <c r="D23" s="50" t="s">
        <v>855</v>
      </c>
      <c r="E23" s="50" t="s">
        <v>867</v>
      </c>
      <c r="F23" s="56" t="s">
        <v>874</v>
      </c>
      <c r="G23" s="50" t="s">
        <v>852</v>
      </c>
      <c r="H23" s="50" t="s">
        <v>865</v>
      </c>
      <c r="I23" s="52"/>
      <c r="J23" s="50"/>
      <c r="K23" s="51" t="s">
        <v>148</v>
      </c>
      <c r="L23" s="50"/>
      <c r="M23" s="9"/>
      <c r="N23" s="9"/>
      <c r="O23" s="9"/>
      <c r="P23" s="8" t="s">
        <v>62</v>
      </c>
      <c r="Q23" s="8" t="s">
        <v>31</v>
      </c>
      <c r="R23" s="11"/>
    </row>
    <row r="24" spans="1:18" s="3" customFormat="1" ht="75" x14ac:dyDescent="0.25">
      <c r="A24" s="2" t="s">
        <v>14</v>
      </c>
      <c r="B24" s="50" t="s">
        <v>826</v>
      </c>
      <c r="C24" s="50" t="s">
        <v>478</v>
      </c>
      <c r="D24" s="50" t="s">
        <v>855</v>
      </c>
      <c r="E24" s="50" t="s">
        <v>867</v>
      </c>
      <c r="F24" s="56" t="s">
        <v>869</v>
      </c>
      <c r="G24" s="56" t="s">
        <v>894</v>
      </c>
      <c r="H24" s="56" t="s">
        <v>910</v>
      </c>
      <c r="I24" s="52"/>
      <c r="J24" s="50"/>
      <c r="K24" s="51" t="s">
        <v>148</v>
      </c>
      <c r="L24" s="50"/>
      <c r="M24" s="9"/>
      <c r="N24" s="9"/>
      <c r="O24" s="9"/>
      <c r="P24" s="8" t="s">
        <v>62</v>
      </c>
      <c r="Q24" s="8" t="s">
        <v>48</v>
      </c>
      <c r="R24" s="11"/>
    </row>
    <row r="25" spans="1:18" s="3" customFormat="1" ht="75" x14ac:dyDescent="0.25">
      <c r="A25" s="2" t="s">
        <v>0</v>
      </c>
      <c r="B25" s="50" t="s">
        <v>826</v>
      </c>
      <c r="C25" s="50" t="s">
        <v>478</v>
      </c>
      <c r="D25" s="50" t="s">
        <v>855</v>
      </c>
      <c r="E25" s="50" t="s">
        <v>867</v>
      </c>
      <c r="F25" s="50"/>
      <c r="G25" s="50"/>
      <c r="H25" s="50"/>
      <c r="I25" s="52"/>
      <c r="J25" s="50" t="s">
        <v>911</v>
      </c>
      <c r="K25" s="51" t="s">
        <v>839</v>
      </c>
      <c r="L25" s="54"/>
      <c r="M25" s="9"/>
      <c r="N25" s="9"/>
      <c r="O25" s="9"/>
      <c r="P25" s="8" t="s">
        <v>62</v>
      </c>
      <c r="Q25" s="8" t="s">
        <v>49</v>
      </c>
      <c r="R25" s="11"/>
    </row>
    <row r="26" spans="1:18" s="3" customFormat="1" ht="75" x14ac:dyDescent="0.25">
      <c r="A26" s="2" t="s">
        <v>54</v>
      </c>
      <c r="B26" s="50" t="s">
        <v>826</v>
      </c>
      <c r="C26" s="50" t="s">
        <v>478</v>
      </c>
      <c r="D26" s="50" t="s">
        <v>855</v>
      </c>
      <c r="E26" s="50" t="s">
        <v>867</v>
      </c>
      <c r="F26" s="56" t="s">
        <v>869</v>
      </c>
      <c r="G26" s="50" t="s">
        <v>853</v>
      </c>
      <c r="H26" s="56" t="s">
        <v>910</v>
      </c>
      <c r="I26" s="52"/>
      <c r="J26" s="50"/>
      <c r="K26" s="51" t="s">
        <v>148</v>
      </c>
      <c r="L26" s="50"/>
      <c r="M26" s="9"/>
      <c r="N26" s="9"/>
      <c r="O26" s="9"/>
      <c r="P26" s="8" t="s">
        <v>101</v>
      </c>
      <c r="Q26" s="8" t="s">
        <v>55</v>
      </c>
      <c r="R26" s="11"/>
    </row>
    <row r="27" spans="1:18" s="3" customFormat="1" ht="75" x14ac:dyDescent="0.25">
      <c r="A27" s="2" t="s">
        <v>15</v>
      </c>
      <c r="B27" s="50" t="s">
        <v>826</v>
      </c>
      <c r="C27" s="50" t="s">
        <v>478</v>
      </c>
      <c r="D27" s="50" t="s">
        <v>855</v>
      </c>
      <c r="E27" s="50" t="s">
        <v>867</v>
      </c>
      <c r="F27" s="56" t="s">
        <v>869</v>
      </c>
      <c r="G27" s="50" t="s">
        <v>854</v>
      </c>
      <c r="H27" s="56" t="s">
        <v>910</v>
      </c>
      <c r="I27" s="52"/>
      <c r="J27" s="50"/>
      <c r="K27" s="51" t="s">
        <v>148</v>
      </c>
      <c r="L27" s="50"/>
      <c r="M27" s="9"/>
      <c r="N27" s="9"/>
      <c r="O27" s="9"/>
      <c r="P27" s="8" t="s">
        <v>101</v>
      </c>
      <c r="Q27" s="8" t="s">
        <v>56</v>
      </c>
      <c r="R27" s="11"/>
    </row>
    <row r="28" spans="1:18" s="3" customFormat="1" ht="105" x14ac:dyDescent="0.25">
      <c r="A28" s="2" t="s">
        <v>20</v>
      </c>
      <c r="B28" s="50" t="s">
        <v>826</v>
      </c>
      <c r="C28" s="50" t="s">
        <v>478</v>
      </c>
      <c r="D28" s="50" t="s">
        <v>855</v>
      </c>
      <c r="E28" s="50" t="s">
        <v>867</v>
      </c>
      <c r="F28" s="50" t="s">
        <v>875</v>
      </c>
      <c r="G28" s="50" t="s">
        <v>876</v>
      </c>
      <c r="H28" s="50" t="s">
        <v>877</v>
      </c>
      <c r="I28" s="50">
        <v>1</v>
      </c>
      <c r="J28" s="50" t="s">
        <v>881</v>
      </c>
      <c r="K28" s="51" t="s">
        <v>148</v>
      </c>
      <c r="L28" s="50"/>
      <c r="M28" s="9"/>
      <c r="N28" s="9"/>
      <c r="O28" s="9"/>
      <c r="P28" s="8" t="s">
        <v>101</v>
      </c>
      <c r="Q28" s="8" t="s">
        <v>57</v>
      </c>
      <c r="R28" s="11" t="s">
        <v>134</v>
      </c>
    </row>
    <row r="29" spans="1:18" s="3" customFormat="1" ht="165" x14ac:dyDescent="0.25">
      <c r="A29" s="2" t="s">
        <v>20</v>
      </c>
      <c r="B29" s="50" t="s">
        <v>826</v>
      </c>
      <c r="C29" s="50" t="s">
        <v>478</v>
      </c>
      <c r="D29" s="50" t="s">
        <v>855</v>
      </c>
      <c r="E29" s="50" t="s">
        <v>867</v>
      </c>
      <c r="F29" s="50" t="s">
        <v>878</v>
      </c>
      <c r="G29" s="50" t="s">
        <v>879</v>
      </c>
      <c r="H29" s="50" t="s">
        <v>877</v>
      </c>
      <c r="I29" s="50">
        <v>1</v>
      </c>
      <c r="J29" s="50" t="s">
        <v>880</v>
      </c>
      <c r="K29" s="51" t="s">
        <v>148</v>
      </c>
      <c r="L29" s="50" t="s">
        <v>885</v>
      </c>
      <c r="M29" s="9"/>
      <c r="N29" s="9"/>
      <c r="O29" s="9"/>
      <c r="P29" s="8" t="s">
        <v>101</v>
      </c>
      <c r="Q29" s="8" t="s">
        <v>57</v>
      </c>
      <c r="R29" s="11" t="s">
        <v>134</v>
      </c>
    </row>
    <row r="30" spans="1:18" s="3" customFormat="1" ht="105" x14ac:dyDescent="0.25">
      <c r="A30" s="2" t="s">
        <v>20</v>
      </c>
      <c r="B30" s="50" t="s">
        <v>826</v>
      </c>
      <c r="C30" s="50" t="s">
        <v>478</v>
      </c>
      <c r="D30" s="50" t="s">
        <v>855</v>
      </c>
      <c r="E30" s="50" t="s">
        <v>867</v>
      </c>
      <c r="F30" s="56" t="s">
        <v>895</v>
      </c>
      <c r="G30" s="56" t="s">
        <v>896</v>
      </c>
      <c r="H30" s="56" t="s">
        <v>897</v>
      </c>
      <c r="I30" s="50">
        <v>1</v>
      </c>
      <c r="J30" s="50"/>
      <c r="K30" s="51" t="s">
        <v>148</v>
      </c>
      <c r="L30" s="50"/>
      <c r="M30" s="9"/>
      <c r="N30" s="9"/>
      <c r="O30" s="9"/>
      <c r="P30" s="8" t="s">
        <v>101</v>
      </c>
      <c r="Q30" s="8" t="s">
        <v>57</v>
      </c>
      <c r="R30" s="11" t="s">
        <v>134</v>
      </c>
    </row>
    <row r="31" spans="1:18" s="3" customFormat="1" ht="75" x14ac:dyDescent="0.25">
      <c r="A31" s="2" t="s">
        <v>20</v>
      </c>
      <c r="B31" s="50" t="s">
        <v>826</v>
      </c>
      <c r="C31" s="50" t="s">
        <v>478</v>
      </c>
      <c r="D31" s="1" t="s">
        <v>855</v>
      </c>
      <c r="E31" s="50" t="s">
        <v>867</v>
      </c>
      <c r="F31" s="58" t="s">
        <v>898</v>
      </c>
      <c r="G31" s="58" t="s">
        <v>901</v>
      </c>
      <c r="H31" s="58">
        <v>47900881778</v>
      </c>
      <c r="I31" s="1">
        <v>1</v>
      </c>
      <c r="J31" s="1"/>
      <c r="K31" s="29" t="s">
        <v>148</v>
      </c>
      <c r="L31" s="1"/>
      <c r="M31" s="9"/>
      <c r="N31" s="9"/>
      <c r="O31" s="9"/>
      <c r="R31" s="11"/>
    </row>
    <row r="32" spans="1:18" s="3" customFormat="1" ht="75" x14ac:dyDescent="0.25">
      <c r="A32" s="2" t="s">
        <v>20</v>
      </c>
      <c r="B32" s="50" t="s">
        <v>826</v>
      </c>
      <c r="C32" s="50" t="s">
        <v>478</v>
      </c>
      <c r="D32" s="1" t="s">
        <v>855</v>
      </c>
      <c r="E32" s="50" t="s">
        <v>867</v>
      </c>
      <c r="F32" s="58" t="s">
        <v>899</v>
      </c>
      <c r="G32" s="58" t="s">
        <v>900</v>
      </c>
      <c r="H32" s="58">
        <v>4790802118</v>
      </c>
      <c r="I32" s="1">
        <v>1</v>
      </c>
      <c r="J32" s="1"/>
      <c r="K32" s="29" t="s">
        <v>148</v>
      </c>
      <c r="L32" s="1"/>
      <c r="M32" s="9"/>
      <c r="N32" s="9"/>
      <c r="O32" s="9"/>
      <c r="R32" s="11"/>
    </row>
    <row r="33" spans="1:18" s="3" customFormat="1" ht="73.5" customHeight="1" x14ac:dyDescent="0.25">
      <c r="A33" s="2" t="s">
        <v>20</v>
      </c>
      <c r="B33" s="50" t="s">
        <v>826</v>
      </c>
      <c r="C33" s="50" t="s">
        <v>478</v>
      </c>
      <c r="D33" s="1" t="s">
        <v>855</v>
      </c>
      <c r="E33" s="50" t="s">
        <v>867</v>
      </c>
      <c r="F33" s="58" t="s">
        <v>902</v>
      </c>
      <c r="G33" s="58" t="s">
        <v>903</v>
      </c>
      <c r="H33" s="58">
        <v>4790747133</v>
      </c>
      <c r="I33" s="1">
        <v>1</v>
      </c>
      <c r="J33" s="1"/>
      <c r="K33" s="29" t="s">
        <v>148</v>
      </c>
      <c r="L33" s="1"/>
      <c r="M33" s="9"/>
      <c r="N33" s="9"/>
      <c r="O33" s="9"/>
      <c r="R33" s="11"/>
    </row>
    <row r="34" spans="1:18" s="3" customFormat="1" ht="73.5" customHeight="1" x14ac:dyDescent="0.25">
      <c r="A34" s="2" t="s">
        <v>20</v>
      </c>
      <c r="B34" s="50" t="s">
        <v>826</v>
      </c>
      <c r="C34" s="50" t="s">
        <v>478</v>
      </c>
      <c r="D34" s="1" t="s">
        <v>855</v>
      </c>
      <c r="E34" s="50" t="s">
        <v>867</v>
      </c>
      <c r="F34" s="58" t="s">
        <v>904</v>
      </c>
      <c r="G34" s="58" t="s">
        <v>905</v>
      </c>
      <c r="H34" s="58">
        <v>4790825350</v>
      </c>
      <c r="I34" s="1">
        <v>1</v>
      </c>
      <c r="J34" s="1"/>
      <c r="K34" s="29" t="s">
        <v>148</v>
      </c>
      <c r="L34" s="1"/>
      <c r="M34" s="9"/>
      <c r="N34" s="9"/>
      <c r="O34" s="9"/>
      <c r="R34" s="11"/>
    </row>
    <row r="35" spans="1:18" s="3" customFormat="1" ht="73.5" customHeight="1" x14ac:dyDescent="0.25">
      <c r="A35" s="2" t="s">
        <v>20</v>
      </c>
      <c r="B35" s="50" t="s">
        <v>826</v>
      </c>
      <c r="C35" s="50" t="s">
        <v>478</v>
      </c>
      <c r="D35" s="1" t="s">
        <v>855</v>
      </c>
      <c r="E35" s="50" t="s">
        <v>867</v>
      </c>
      <c r="F35" s="58" t="s">
        <v>907</v>
      </c>
      <c r="G35" s="58" t="s">
        <v>906</v>
      </c>
      <c r="H35" s="58">
        <v>4790468809</v>
      </c>
      <c r="I35" s="1">
        <v>1</v>
      </c>
      <c r="J35" s="1"/>
      <c r="K35" s="29" t="s">
        <v>151</v>
      </c>
      <c r="L35" s="1" t="s">
        <v>912</v>
      </c>
      <c r="M35" s="9"/>
      <c r="N35" s="9"/>
      <c r="O35" s="9"/>
      <c r="R35" s="11"/>
    </row>
    <row r="36" spans="1:18" s="3" customFormat="1" ht="75" x14ac:dyDescent="0.25">
      <c r="A36" s="2" t="s">
        <v>20</v>
      </c>
      <c r="B36" s="1" t="s">
        <v>826</v>
      </c>
      <c r="C36" s="50" t="s">
        <v>478</v>
      </c>
      <c r="D36" s="1" t="s">
        <v>855</v>
      </c>
      <c r="E36" s="50" t="s">
        <v>867</v>
      </c>
      <c r="F36" s="58" t="s">
        <v>908</v>
      </c>
      <c r="G36" s="58" t="s">
        <v>909</v>
      </c>
      <c r="H36" s="58">
        <v>4790596722</v>
      </c>
      <c r="I36" s="1">
        <v>1</v>
      </c>
      <c r="J36" s="1"/>
      <c r="K36" s="29" t="s">
        <v>148</v>
      </c>
      <c r="L36" s="58"/>
      <c r="M36" s="9"/>
      <c r="N36" s="9"/>
      <c r="O36" s="9"/>
      <c r="Q36" s="7"/>
      <c r="R36" s="11"/>
    </row>
    <row r="37" spans="1:18" x14ac:dyDescent="0.25">
      <c r="E37" s="50"/>
      <c r="Q37" s="10"/>
    </row>
    <row r="38" spans="1:18" x14ac:dyDescent="0.25">
      <c r="E38" s="50"/>
      <c r="Q38" s="10"/>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sheetData>
  <conditionalFormatting sqref="K3:K29">
    <cfRule type="expression" dxfId="81" priority="51">
      <formula>COUNTBLANK($K3)</formula>
    </cfRule>
  </conditionalFormatting>
  <conditionalFormatting sqref="A6:A9 A11:A13 A28:A29 A37:A42">
    <cfRule type="expression" dxfId="80" priority="50">
      <formula>COUNTBLANK($F6:$I6)+COUNTBLANK(K6)</formula>
    </cfRule>
  </conditionalFormatting>
  <conditionalFormatting sqref="A3:A8 A10 A14:A27">
    <cfRule type="expression" dxfId="79" priority="49">
      <formula>COUNTBLANK($F3:$H3)+COUNTBLANK(K3)</formula>
    </cfRule>
  </conditionalFormatting>
  <conditionalFormatting sqref="F31:F42 F3:F29">
    <cfRule type="expression" dxfId="78" priority="45">
      <formula>COUNTBLANK($F3)</formula>
    </cfRule>
  </conditionalFormatting>
  <conditionalFormatting sqref="H31:H42 H3:H29">
    <cfRule type="expression" dxfId="77" priority="46">
      <formula>COUNTBLANK($G3)</formula>
    </cfRule>
    <cfRule type="expression" dxfId="76" priority="47">
      <formula>COUNTBLANK($H3)</formula>
    </cfRule>
  </conditionalFormatting>
  <conditionalFormatting sqref="A3:A29 A37:A42">
    <cfRule type="expression" dxfId="75" priority="37">
      <formula>$K3="Not Applicable"</formula>
    </cfRule>
    <cfRule type="expression" dxfId="74" priority="38">
      <formula>$K3="Not Audited"</formula>
    </cfRule>
  </conditionalFormatting>
  <conditionalFormatting sqref="I6:I9 I11:I13 I28:I29 I31:I42">
    <cfRule type="expression" dxfId="73" priority="48">
      <formula>COUNTBLANK($I6)</formula>
    </cfRule>
  </conditionalFormatting>
  <conditionalFormatting sqref="E28:I28 B3:F3 H3:I27 B31:I42 B4:D30 C28:C35 E4:F27 E15:E38 F29:I29">
    <cfRule type="expression" dxfId="72" priority="36">
      <formula>$K3="Not Applicable"</formula>
    </cfRule>
    <cfRule type="expression" dxfId="71" priority="39">
      <formula>$K3="Not Audited"</formula>
    </cfRule>
  </conditionalFormatting>
  <conditionalFormatting sqref="D3:D42">
    <cfRule type="expression" dxfId="70" priority="43">
      <formula>COUNTBLANK($D3)</formula>
    </cfRule>
  </conditionalFormatting>
  <conditionalFormatting sqref="E3:E42">
    <cfRule type="expression" dxfId="69" priority="44">
      <formula>COUNTBLANK($E3)</formula>
    </cfRule>
  </conditionalFormatting>
  <conditionalFormatting sqref="B3:B42">
    <cfRule type="expression" dxfId="68" priority="41">
      <formula>COUNTBLANK($B3)</formula>
    </cfRule>
  </conditionalFormatting>
  <conditionalFormatting sqref="C3:C42">
    <cfRule type="expression" dxfId="67" priority="42">
      <formula>COUNTBLANK($C3)</formula>
    </cfRule>
  </conditionalFormatting>
  <conditionalFormatting sqref="G28:G29 G31:G42">
    <cfRule type="expression" dxfId="66" priority="40">
      <formula>COUNTBLANK($G28)</formula>
    </cfRule>
  </conditionalFormatting>
  <conditionalFormatting sqref="K30">
    <cfRule type="expression" dxfId="65" priority="23">
      <formula>COUNTBLANK($K30)</formula>
    </cfRule>
  </conditionalFormatting>
  <conditionalFormatting sqref="A30:A36">
    <cfRule type="expression" dxfId="64" priority="22">
      <formula>COUNTBLANK($F30:$I30)+COUNTBLANK(K30)</formula>
    </cfRule>
  </conditionalFormatting>
  <conditionalFormatting sqref="F30">
    <cfRule type="expression" dxfId="63" priority="18">
      <formula>COUNTBLANK($F30)</formula>
    </cfRule>
  </conditionalFormatting>
  <conditionalFormatting sqref="H30">
    <cfRule type="expression" dxfId="62" priority="19">
      <formula>COUNTBLANK($G30)</formula>
    </cfRule>
    <cfRule type="expression" dxfId="61" priority="20">
      <formula>COUNTBLANK($H30)</formula>
    </cfRule>
  </conditionalFormatting>
  <conditionalFormatting sqref="A30:A36">
    <cfRule type="expression" dxfId="60" priority="10">
      <formula>$K30="Not Applicable"</formula>
    </cfRule>
    <cfRule type="expression" dxfId="59" priority="11">
      <formula>$K30="Not Audited"</formula>
    </cfRule>
  </conditionalFormatting>
  <conditionalFormatting sqref="I30">
    <cfRule type="expression" dxfId="58" priority="21">
      <formula>COUNTBLANK($I30)</formula>
    </cfRule>
  </conditionalFormatting>
  <conditionalFormatting sqref="F30:I30">
    <cfRule type="expression" dxfId="57" priority="12">
      <formula>$K30="Not Applicable"</formula>
    </cfRule>
    <cfRule type="expression" dxfId="56" priority="13">
      <formula>$K30="Not Audited"</formula>
    </cfRule>
  </conditionalFormatting>
  <conditionalFormatting sqref="G30">
    <cfRule type="expression" dxfId="55" priority="9">
      <formula>COUNTBLANK($G30)</formula>
    </cfRule>
  </conditionalFormatting>
  <conditionalFormatting sqref="G3:G17 G19:G20 G22:G27">
    <cfRule type="expression" dxfId="54" priority="7">
      <formula>$K3="Not Applicable"</formula>
    </cfRule>
    <cfRule type="expression" dxfId="53" priority="8">
      <formula>$K3="Not Audited"</formula>
    </cfRule>
  </conditionalFormatting>
  <conditionalFormatting sqref="G18">
    <cfRule type="expression" dxfId="52" priority="5">
      <formula>$K18="Not Applicable"</formula>
    </cfRule>
    <cfRule type="expression" dxfId="51" priority="6">
      <formula>$K18="Not Audited"</formula>
    </cfRule>
  </conditionalFormatting>
  <conditionalFormatting sqref="J21">
    <cfRule type="expression" dxfId="50" priority="3">
      <formula>$K21="Not Applicable"</formula>
    </cfRule>
    <cfRule type="expression" dxfId="49" priority="4">
      <formula>$K21="Not Audited"</formula>
    </cfRule>
  </conditionalFormatting>
  <conditionalFormatting sqref="G21">
    <cfRule type="expression" dxfId="48" priority="1">
      <formula>$K21="Not Applicable"</formula>
    </cfRule>
    <cfRule type="expression" dxfId="47" priority="2">
      <formula>$K21="Not Audited"</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58" operator="equal" id="{D0FF7580-68F2-4CB5-B20F-8B162933AE11}">
            <xm:f>Sheet1!$A$5</xm:f>
            <x14:dxf>
              <fill>
                <patternFill>
                  <bgColor rgb="FFFF0000"/>
                </patternFill>
              </fill>
            </x14:dxf>
          </x14:cfRule>
          <x14:cfRule type="cellIs" priority="59" operator="equal" id="{6EE15F34-F46F-44F7-A4F5-E8BAE0941CD1}">
            <xm:f>Sheet1!$A$4</xm:f>
            <x14:dxf>
              <fill>
                <patternFill>
                  <bgColor rgb="FFFFFF00"/>
                </patternFill>
              </fill>
            </x14:dxf>
          </x14:cfRule>
          <x14:cfRule type="cellIs" priority="60" operator="equal" id="{FDF7F775-7308-41DB-8649-AC7FF468A2E4}">
            <xm:f>Sheet1!$A$3</xm:f>
            <x14:dxf>
              <fill>
                <patternFill>
                  <bgColor theme="9" tint="0.59996337778862885"/>
                </patternFill>
              </fill>
            </x14:dxf>
          </x14:cfRule>
          <x14:cfRule type="cellIs" priority="61" operator="equal" id="{913B4C84-EA36-4FF5-B458-D4523144232C}">
            <xm:f>Sheet1!$A$2</xm:f>
            <x14:dxf>
              <fill>
                <patternFill>
                  <bgColor theme="9" tint="0.39994506668294322"/>
                </patternFill>
              </fill>
            </x14:dxf>
          </x14:cfRule>
          <xm:sqref>L36</xm:sqref>
        </x14:conditionalFormatting>
        <x14:conditionalFormatting xmlns:xm="http://schemas.microsoft.com/office/excel/2006/main">
          <x14:cfRule type="cellIs" priority="62" operator="equal" id="{10487F49-CC47-4C08-9159-75086FEAD449}">
            <xm:f>Sheet1!$A$7</xm:f>
            <x14:dxf>
              <fill>
                <patternFill>
                  <bgColor theme="5"/>
                </patternFill>
              </fill>
            </x14:dxf>
          </x14:cfRule>
          <x14:cfRule type="cellIs" priority="63" operator="equal" id="{8D79EC05-FB3B-4E6B-86DC-A8BD18C5FB6E}">
            <xm:f>Sheet1!$A$6</xm:f>
            <x14:dxf>
              <fill>
                <patternFill>
                  <bgColor rgb="FF00B0F0"/>
                </patternFill>
              </fill>
            </x14:dxf>
          </x14:cfRule>
          <x14:cfRule type="cellIs" priority="64" operator="equal" id="{B77C41E9-AA65-405B-A539-EDA1790DB2AD}">
            <xm:f>Sheet1!$A$5</xm:f>
            <x14:dxf>
              <fill>
                <patternFill>
                  <bgColor rgb="FFFF0000"/>
                </patternFill>
              </fill>
            </x14:dxf>
          </x14:cfRule>
          <x14:cfRule type="cellIs" priority="65" operator="equal" id="{BE047FF7-FFC3-42D0-9130-A86A07121432}">
            <xm:f>Sheet1!$A$4</xm:f>
            <x14:dxf>
              <fill>
                <patternFill>
                  <bgColor rgb="FFFFFF00"/>
                </patternFill>
              </fill>
            </x14:dxf>
          </x14:cfRule>
          <x14:cfRule type="cellIs" priority="66" operator="equal" id="{8265175F-2810-48DF-877F-5D4A12FA7F87}">
            <xm:f>Sheet1!$A$3</xm:f>
            <x14:dxf>
              <fill>
                <patternFill>
                  <bgColor theme="9" tint="0.59996337778862885"/>
                </patternFill>
              </fill>
            </x14:dxf>
          </x14:cfRule>
          <x14:cfRule type="cellIs" priority="67" operator="equal" id="{8D7A8010-F2CB-47F7-9719-3FC1FB7AEB62}">
            <xm:f>Sheet1!$A$2</xm:f>
            <x14:dxf>
              <fill>
                <patternFill>
                  <bgColor theme="9" tint="0.39994506668294322"/>
                </patternFill>
              </fill>
            </x14:dxf>
          </x14:cfRule>
          <xm:sqref>K3:K29 K31:K36</xm:sqref>
        </x14:conditionalFormatting>
        <x14:conditionalFormatting xmlns:xm="http://schemas.microsoft.com/office/excel/2006/main">
          <x14:cfRule type="cellIs" priority="52" operator="equal" id="{3CA35045-0849-4D81-B11A-4A8C251E5A7E}">
            <xm:f>Sheet1!$A$7</xm:f>
            <x14:dxf>
              <fill>
                <patternFill>
                  <bgColor theme="5"/>
                </patternFill>
              </fill>
            </x14:dxf>
          </x14:cfRule>
          <x14:cfRule type="cellIs" priority="53" operator="equal" id="{4FD97708-FEF6-4799-8BB6-30CA4AAA0379}">
            <xm:f>Sheet1!$A$6</xm:f>
            <x14:dxf>
              <fill>
                <patternFill>
                  <bgColor rgb="FF00B0F0"/>
                </patternFill>
              </fill>
            </x14:dxf>
          </x14:cfRule>
          <x14:cfRule type="cellIs" priority="54" operator="equal" id="{42A62E98-87D8-44E3-9B9D-EF5225799A8A}">
            <xm:f>Sheet1!$A$5</xm:f>
            <x14:dxf>
              <fill>
                <patternFill>
                  <bgColor rgb="FFFF0000"/>
                </patternFill>
              </fill>
            </x14:dxf>
          </x14:cfRule>
          <x14:cfRule type="cellIs" priority="55" operator="equal" id="{A6143403-D1EB-4FB2-8467-8C27A3C10C25}">
            <xm:f>Sheet1!$A$4</xm:f>
            <x14:dxf>
              <fill>
                <patternFill>
                  <bgColor rgb="FFFFFF00"/>
                </patternFill>
              </fill>
            </x14:dxf>
          </x14:cfRule>
          <x14:cfRule type="cellIs" priority="56" operator="equal" id="{0EFBDA9B-EA66-443B-AC89-6155BB3DF126}">
            <xm:f>Sheet1!$A$3</xm:f>
            <x14:dxf>
              <fill>
                <patternFill>
                  <bgColor theme="9" tint="0.59996337778862885"/>
                </patternFill>
              </fill>
            </x14:dxf>
          </x14:cfRule>
          <x14:cfRule type="cellIs" priority="57" operator="equal" id="{8091BD15-435C-43E9-9E54-DFAF1C9910EF}">
            <xm:f>Sheet1!$A$2</xm:f>
            <x14:dxf>
              <fill>
                <patternFill>
                  <bgColor theme="9" tint="0.39994506668294322"/>
                </patternFill>
              </fill>
            </x14:dxf>
          </x14:cfRule>
          <xm:sqref>K3:K29</xm:sqref>
        </x14:conditionalFormatting>
        <x14:conditionalFormatting xmlns:xm="http://schemas.microsoft.com/office/excel/2006/main">
          <x14:cfRule type="cellIs" priority="30" operator="equal" id="{3BD0AB8F-C41B-48DA-8032-4A492AC870D3}">
            <xm:f>Sheet1!$A$7</xm:f>
            <x14:dxf>
              <fill>
                <patternFill>
                  <bgColor theme="5"/>
                </patternFill>
              </fill>
            </x14:dxf>
          </x14:cfRule>
          <x14:cfRule type="cellIs" priority="31" operator="equal" id="{9DF75FBD-55FA-4F5B-99FA-6C48F6CB8D70}">
            <xm:f>Sheet1!$A$6</xm:f>
            <x14:dxf>
              <fill>
                <patternFill>
                  <bgColor rgb="FF00B0F0"/>
                </patternFill>
              </fill>
            </x14:dxf>
          </x14:cfRule>
          <x14:cfRule type="cellIs" priority="32" operator="equal" id="{09F4B7B5-0125-4E3F-A048-33D62E6538C7}">
            <xm:f>Sheet1!$A$5</xm:f>
            <x14:dxf>
              <fill>
                <patternFill>
                  <bgColor rgb="FFFF0000"/>
                </patternFill>
              </fill>
            </x14:dxf>
          </x14:cfRule>
          <x14:cfRule type="cellIs" priority="33" operator="equal" id="{07F2DE76-DF6A-46E5-BAE8-CB2CB5802904}">
            <xm:f>Sheet1!$A$4</xm:f>
            <x14:dxf>
              <fill>
                <patternFill>
                  <bgColor rgb="FFFFFF00"/>
                </patternFill>
              </fill>
            </x14:dxf>
          </x14:cfRule>
          <x14:cfRule type="cellIs" priority="34" operator="equal" id="{516AC633-E7BD-4EBB-8AC5-2E7F6588C7DA}">
            <xm:f>Sheet1!$A$3</xm:f>
            <x14:dxf>
              <fill>
                <patternFill>
                  <bgColor theme="9" tint="0.59996337778862885"/>
                </patternFill>
              </fill>
            </x14:dxf>
          </x14:cfRule>
          <x14:cfRule type="cellIs" priority="35" operator="equal" id="{60B507C8-7B78-4EBB-82CA-49A1087F854C}">
            <xm:f>Sheet1!$A$2</xm:f>
            <x14:dxf>
              <fill>
                <patternFill>
                  <bgColor theme="9" tint="0.39994506668294322"/>
                </patternFill>
              </fill>
            </x14:dxf>
          </x14:cfRule>
          <xm:sqref>K30</xm:sqref>
        </x14:conditionalFormatting>
        <x14:conditionalFormatting xmlns:xm="http://schemas.microsoft.com/office/excel/2006/main">
          <x14:cfRule type="cellIs" priority="24" operator="equal" id="{BB834B76-C182-41AD-8DCF-1DA20E77A338}">
            <xm:f>Sheet1!$A$7</xm:f>
            <x14:dxf>
              <fill>
                <patternFill>
                  <bgColor theme="5"/>
                </patternFill>
              </fill>
            </x14:dxf>
          </x14:cfRule>
          <x14:cfRule type="cellIs" priority="25" operator="equal" id="{D9375F64-11AB-46C9-8F0E-C4A24C2D2B6A}">
            <xm:f>Sheet1!$A$6</xm:f>
            <x14:dxf>
              <fill>
                <patternFill>
                  <bgColor rgb="FF00B0F0"/>
                </patternFill>
              </fill>
            </x14:dxf>
          </x14:cfRule>
          <x14:cfRule type="cellIs" priority="26" operator="equal" id="{1E937D4B-956A-4AF4-B731-1896C04A64EA}">
            <xm:f>Sheet1!$A$5</xm:f>
            <x14:dxf>
              <fill>
                <patternFill>
                  <bgColor rgb="FFFF0000"/>
                </patternFill>
              </fill>
            </x14:dxf>
          </x14:cfRule>
          <x14:cfRule type="cellIs" priority="27" operator="equal" id="{5CE80DF5-DA1E-4BDC-941D-80617636AE87}">
            <xm:f>Sheet1!$A$4</xm:f>
            <x14:dxf>
              <fill>
                <patternFill>
                  <bgColor rgb="FFFFFF00"/>
                </patternFill>
              </fill>
            </x14:dxf>
          </x14:cfRule>
          <x14:cfRule type="cellIs" priority="28" operator="equal" id="{FCB841A1-7A1E-4777-AAC4-FD30555A7B58}">
            <xm:f>Sheet1!$A$3</xm:f>
            <x14:dxf>
              <fill>
                <patternFill>
                  <bgColor theme="9" tint="0.59996337778862885"/>
                </patternFill>
              </fill>
            </x14:dxf>
          </x14:cfRule>
          <x14:cfRule type="cellIs" priority="29" operator="equal" id="{D820DE4C-34D8-43F4-96AC-A7BA998EB00C}">
            <xm:f>Sheet1!$A$2</xm:f>
            <x14:dxf>
              <fill>
                <patternFill>
                  <bgColor theme="9" tint="0.39994506668294322"/>
                </patternFill>
              </fill>
            </x14:dxf>
          </x14:cfRule>
          <xm:sqref>K30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66B9686-7FEB-41AD-9A3D-0C3D49A81F4E}">
          <x14:formula1>
            <xm:f>Sheet1!$A$2:$A$5</xm:f>
          </x14:formula1>
          <xm:sqref>L36</xm:sqref>
        </x14:dataValidation>
        <x14:dataValidation type="list" allowBlank="1" showInputMessage="1" showErrorMessage="1" xr:uid="{53EE42AD-051C-4856-A6CB-C989FC2FC2DC}">
          <x14:formula1>
            <xm:f>Sheet1!$E$2:$E$49</xm:f>
          </x14:formula1>
          <xm:sqref>E3:E38</xm:sqref>
        </x14:dataValidation>
        <x14:dataValidation type="list" allowBlank="1" xr:uid="{D437FFD8-2E38-4A99-993A-0634B7BEB5D9}">
          <x14:formula1>
            <xm:f>Sheet1!$B$2:$B$6</xm:f>
          </x14:formula1>
          <xm:sqref>B3:B35</xm:sqref>
        </x14:dataValidation>
        <x14:dataValidation type="list" allowBlank="1" showInputMessage="1" showErrorMessage="1" xr:uid="{F376E587-F29D-4848-A276-BC4A4DC80039}">
          <x14:formula1>
            <xm:f>Sheet1!$D$2:$D$281</xm:f>
          </x14:formula1>
          <xm:sqref>D3:D30</xm:sqref>
        </x14:dataValidation>
        <x14:dataValidation type="list" allowBlank="1" showInputMessage="1" showErrorMessage="1" xr:uid="{12C36126-6BEB-417A-970C-B72A463D88BC}">
          <x14:formula1>
            <xm:f>Sheet1!$A$2:$A$7</xm:f>
          </x14:formula1>
          <xm:sqref>K3:K36</xm:sqref>
        </x14:dataValidation>
        <x14:dataValidation type="list" allowBlank="1" showInputMessage="1" showErrorMessage="1" xr:uid="{5AF25D12-5AD5-4F8D-83E0-E215CE5D55F3}">
          <x14:formula1>
            <xm:f>_xlfn.IFS(B3=Sheet1!$B$2,Sheet1!$C$2:$C$114,B3=Sheet1!$B$3,Sheet1!$C$115:$C$239, B3=Sheet1!$B$4,Sheet1!$C$240:$C$297,B3=Sheet1!$B$5,Sheet1!$C$298:$C$347,B3=Sheet1!$B$6,Sheet1!$C$2:$C$347)</xm:f>
          </x14:formula1>
          <xm:sqref>C3:C36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18" activePane="bottomRight" state="frozen"/>
      <selection pane="topRight" activeCell="B1" sqref="B1"/>
      <selection pane="bottomLeft" activeCell="A2" sqref="A2"/>
      <selection pane="bottomRight"/>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8" priority="60">
      <formula>COUNTBLANK($F3)</formula>
    </cfRule>
  </conditionalFormatting>
  <conditionalFormatting sqref="I7 I27:I32">
    <cfRule type="expression" dxfId="17" priority="58">
      <formula>COUNTBLANK($I7)</formula>
    </cfRule>
  </conditionalFormatting>
  <conditionalFormatting sqref="G3:G32">
    <cfRule type="expression" dxfId="16" priority="50">
      <formula>COUNTBLANK($G3)</formula>
    </cfRule>
  </conditionalFormatting>
  <conditionalFormatting sqref="H3:H32">
    <cfRule type="expression" dxfId="15" priority="49">
      <formula>COUNTBLANK($H3)</formula>
    </cfRule>
  </conditionalFormatting>
  <conditionalFormatting sqref="A3">
    <cfRule type="expression" dxfId="14" priority="40">
      <formula>COUNTBLANK($F3:$H3)</formula>
    </cfRule>
  </conditionalFormatting>
  <conditionalFormatting sqref="I11:I12">
    <cfRule type="expression" dxfId="13" priority="36">
      <formula>COUNTBLANK($I11)</formula>
    </cfRule>
  </conditionalFormatting>
  <conditionalFormatting sqref="I14:I18">
    <cfRule type="expression" dxfId="12" priority="35">
      <formula>COUNTBLANK($I14)</formula>
    </cfRule>
  </conditionalFormatting>
  <conditionalFormatting sqref="K3:K32">
    <cfRule type="expression" dxfId="11" priority="11">
      <formula>COUNTBLANK($K3)</formula>
    </cfRule>
  </conditionalFormatting>
  <conditionalFormatting sqref="A3">
    <cfRule type="expression" dxfId="10" priority="12">
      <formula>$K3="Not Audited"</formula>
    </cfRule>
    <cfRule type="expression" dxfId="9" priority="13">
      <formula>$K3="Not Applicable"</formula>
    </cfRule>
  </conditionalFormatting>
  <conditionalFormatting sqref="A4:A32">
    <cfRule type="expression" dxfId="8" priority="3">
      <formula>COUNTBLANK($F4:$I4)</formula>
    </cfRule>
  </conditionalFormatting>
  <conditionalFormatting sqref="A4:A32">
    <cfRule type="expression" dxfId="7" priority="1">
      <formula>$K4="Not Audited"</formula>
    </cfRule>
    <cfRule type="expression" dxfId="6"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0" workbookViewId="0">
      <selection activeCell="C188" sqref="C188"/>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Steven Thompson</vt:lpstr>
      <vt:lpstr>ISO 17065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Thompson, Steven D.</cp:lastModifiedBy>
  <dcterms:created xsi:type="dcterms:W3CDTF">2020-05-27T16:23:17Z</dcterms:created>
  <dcterms:modified xsi:type="dcterms:W3CDTF">2023-07-21T04:46:54Z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