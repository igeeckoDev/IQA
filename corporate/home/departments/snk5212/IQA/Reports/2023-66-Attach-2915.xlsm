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defaultThemeVersion="166925"/>
  <mc:AlternateContent xmlns:mc="http://schemas.openxmlformats.org/markup-compatibility/2006">
    <mc:Choice Requires="x15">
      <x15ac:absPath xmlns:x15ac="http://schemas.microsoft.com/office/spreadsheetml/2010/11/ac" url="https://ul-my.sharepoint.com/personal/07086_global_ul_com/Documents/10Quality/IQA/23-66, Porto Alegre/"/>
    </mc:Choice>
  </mc:AlternateContent>
  <xr:revisionPtr revIDLastSave="817" documentId="8_{A3352A19-4580-4818-8F96-643121ED3150}" xr6:coauthVersionLast="47" xr6:coauthVersionMax="47" xr10:uidLastSave="{76F97AA9-A32A-455A-9DB6-95558CF5AEF9}"/>
  <bookViews>
    <workbookView xWindow="-120" yWindow="-120" windowWidth="28080" windowHeight="16440" activeTab="2" xr2:uid="{5426C36E-AAE0-45E3-9C4C-2C971D0504DB}"/>
  </bookViews>
  <sheets>
    <sheet name="risk" sheetId="17" r:id="rId1"/>
    <sheet name="attendance" sheetId="16" r:id="rId2"/>
    <sheet name="ISO 17025" sheetId="10" r:id="rId3"/>
    <sheet name="Definition " sheetId="11" r:id="rId4"/>
    <sheet name="TCD for Jeff H" sheetId="18" r:id="rId5"/>
    <sheet name="Sheet1" sheetId="14" state="hidden" r:id="rId6"/>
  </sheets>
  <definedNames>
    <definedName name="_xlnm._FilterDatabase" localSheetId="2" hidden="1">'ISO 17025'!$A$2:$O$29</definedName>
    <definedName name="Not_Audited">#REF!</definedName>
    <definedName name="Site_NA">Sheet1!$C$2:$C$114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4" i="17" l="1"/>
  <c r="C4" i="17" s="1"/>
</calcChain>
</file>

<file path=xl/sharedStrings.xml><?xml version="1.0" encoding="utf-8"?>
<sst xmlns="http://schemas.openxmlformats.org/spreadsheetml/2006/main" count="3697" uniqueCount="1219">
  <si>
    <t>Internal Audit</t>
  </si>
  <si>
    <t>Facilities and environmental conditions</t>
  </si>
  <si>
    <t>Personnel and Competence</t>
  </si>
  <si>
    <t>Management System</t>
  </si>
  <si>
    <t>Review of requests, tenders and contracts;</t>
  </si>
  <si>
    <t>Equipment management and calibration</t>
  </si>
  <si>
    <t xml:space="preserve">Sampling </t>
  </si>
  <si>
    <t>Handling of Test or Calibration items</t>
  </si>
  <si>
    <t xml:space="preserve">Record Control </t>
  </si>
  <si>
    <t>Evaluation of measurement uncertainty</t>
  </si>
  <si>
    <t xml:space="preserve">Ensuring the Validity of Results </t>
  </si>
  <si>
    <t>Interlaboratory comparisons / proficiency testing</t>
  </si>
  <si>
    <t xml:space="preserve">Nonconforming Work Management </t>
  </si>
  <si>
    <t>Control of data and information management</t>
  </si>
  <si>
    <t xml:space="preserve">Corrective Action </t>
  </si>
  <si>
    <t xml:space="preserve">Management Review </t>
  </si>
  <si>
    <t>Subcontracting Testing ONLY</t>
  </si>
  <si>
    <t>Externally provided products and services, except Subcontracting Testing</t>
  </si>
  <si>
    <t>Control of Documents</t>
  </si>
  <si>
    <t>Requirements for reports &amp; technical records</t>
  </si>
  <si>
    <t>Selection, verification and validation of methods</t>
  </si>
  <si>
    <t>Complaints &amp; Feedback</t>
  </si>
  <si>
    <t>Scheme/Services</t>
  </si>
  <si>
    <t>Record  # / Project # Reviewed</t>
  </si>
  <si>
    <t xml:space="preserve">Organizational Structure  </t>
  </si>
  <si>
    <t xml:space="preserve">Impartiality management </t>
  </si>
  <si>
    <t>Confidentiality management</t>
  </si>
  <si>
    <t>8.4.1; 8.4.2</t>
  </si>
  <si>
    <r>
      <t xml:space="preserve">6.2.1; 6.2.2; 6.2.3; 6.2.4; 6.2.5; 6.2.6 
</t>
    </r>
    <r>
      <rPr>
        <sz val="11"/>
        <color rgb="FFC00000"/>
        <rFont val="Calibri"/>
        <family val="2"/>
        <scheme val="minor"/>
      </rPr>
      <t>8.3.1; 8.4.1; 6.1</t>
    </r>
    <r>
      <rPr>
        <sz val="11"/>
        <color theme="1"/>
        <rFont val="Calibri"/>
        <family val="2"/>
        <scheme val="minor"/>
      </rPr>
      <t xml:space="preserve"> </t>
    </r>
  </si>
  <si>
    <r>
      <t xml:space="preserve">6.3.1; 6.3.2; 6.3.3; 6.3.4; 6.3.5; 
</t>
    </r>
    <r>
      <rPr>
        <sz val="11"/>
        <color rgb="FFC00000"/>
        <rFont val="Calibri"/>
        <family val="2"/>
        <scheme val="minor"/>
      </rPr>
      <t>8.4.1; 6.1</t>
    </r>
  </si>
  <si>
    <r>
      <t xml:space="preserve">6.6.1; 6.6.2; 6.6.3; 
</t>
    </r>
    <r>
      <rPr>
        <sz val="11"/>
        <color rgb="FFC00000"/>
        <rFont val="Calibri"/>
        <family val="2"/>
        <scheme val="minor"/>
      </rPr>
      <t>8.4.1; 6.1</t>
    </r>
  </si>
  <si>
    <r>
      <t xml:space="preserve">4.1.1; 4.1.2;4.1.3;4.1.4;4.1.5
</t>
    </r>
    <r>
      <rPr>
        <sz val="11"/>
        <color rgb="FFC00000"/>
        <rFont val="Calibri"/>
        <family val="2"/>
        <scheme val="minor"/>
      </rPr>
      <t>8.4.1</t>
    </r>
  </si>
  <si>
    <r>
      <t xml:space="preserve">4.2.1; 4.2.2; 4.2.3; 4.2.4
</t>
    </r>
    <r>
      <rPr>
        <sz val="11"/>
        <color rgb="FFC00000"/>
        <rFont val="Calibri"/>
        <family val="2"/>
        <scheme val="minor"/>
      </rPr>
      <t>8.4.1</t>
    </r>
  </si>
  <si>
    <r>
      <t xml:space="preserve">5.1; 5.2; 5.3; 5.4; 5.5; 5.6; 5.7
</t>
    </r>
    <r>
      <rPr>
        <sz val="11"/>
        <color rgb="FFC00000"/>
        <rFont val="Calibri"/>
        <family val="2"/>
        <scheme val="minor"/>
      </rPr>
      <t>8.4.1</t>
    </r>
  </si>
  <si>
    <r>
      <t xml:space="preserve">6.6.1; 6.6.2; 6.6.3;
</t>
    </r>
    <r>
      <rPr>
        <sz val="11"/>
        <color rgb="FFC00000"/>
        <rFont val="Calibri"/>
        <family val="2"/>
        <scheme val="minor"/>
      </rPr>
      <t>8.3.1; 8.4.1; 6.1</t>
    </r>
  </si>
  <si>
    <r>
      <t xml:space="preserve">7.1.1; 7.1.2; 7.1.3; 7.1.4; 7.1.5; 7.1.6; 7.1.7; 7.1.8; 
</t>
    </r>
    <r>
      <rPr>
        <sz val="11"/>
        <color rgb="FFC00000"/>
        <rFont val="Calibri"/>
        <family val="2"/>
        <scheme val="minor"/>
      </rPr>
      <t>8.3.1;</t>
    </r>
    <r>
      <rPr>
        <sz val="11"/>
        <color theme="1"/>
        <rFont val="Calibri"/>
        <family val="2"/>
        <scheme val="minor"/>
      </rPr>
      <t xml:space="preserve"> </t>
    </r>
    <r>
      <rPr>
        <sz val="11"/>
        <color rgb="FFC00000"/>
        <rFont val="Calibri"/>
        <family val="2"/>
        <scheme val="minor"/>
      </rPr>
      <t>8.4.1</t>
    </r>
  </si>
  <si>
    <r>
      <t xml:space="preserve">7.4.1; 7.4.2; 7.4.3; 7.4.4; 
</t>
    </r>
    <r>
      <rPr>
        <sz val="11"/>
        <color rgb="FFC00000"/>
        <rFont val="Calibri"/>
        <family val="2"/>
        <scheme val="minor"/>
      </rPr>
      <t>8.4.1</t>
    </r>
  </si>
  <si>
    <r>
      <t xml:space="preserve">7.7.1; 7.7.3; 
</t>
    </r>
    <r>
      <rPr>
        <sz val="11"/>
        <color rgb="FFC00000"/>
        <rFont val="Calibri"/>
        <family val="2"/>
        <scheme val="minor"/>
      </rPr>
      <t>8.4.1</t>
    </r>
  </si>
  <si>
    <r>
      <t xml:space="preserve">7.6.1; 7.6.2; 7.6.3
</t>
    </r>
    <r>
      <rPr>
        <sz val="11"/>
        <color rgb="FFC00000"/>
        <rFont val="Calibri"/>
        <family val="2"/>
        <scheme val="minor"/>
      </rPr>
      <t>7.5.1; 8.4.1</t>
    </r>
  </si>
  <si>
    <r>
      <t>6.4.1; 6.4.2; 6.4.3; 6.4.4; 6.4.5; 6.4.6; 6.4.7; 6.4.8; 6.4.9; 6.4.10; 6.4.11; 6.4.12; 6.4.13, 6.5.1; 6.5.2; 6.5.3</t>
    </r>
    <r>
      <rPr>
        <sz val="11"/>
        <color rgb="FFC00000"/>
        <rFont val="Calibri"/>
        <family val="2"/>
        <scheme val="minor"/>
      </rPr>
      <t xml:space="preserve"> 
7.5.1; 8.4.1; 6.1; 6.6.3</t>
    </r>
  </si>
  <si>
    <r>
      <t xml:space="preserve">7.7.2; 7.7.3; 
</t>
    </r>
    <r>
      <rPr>
        <sz val="11"/>
        <color rgb="FFC00000"/>
        <rFont val="Calibri"/>
        <family val="2"/>
        <scheme val="minor"/>
      </rPr>
      <t>8.4.1; 6.6.1; 6.6.2;  6.6.3</t>
    </r>
  </si>
  <si>
    <r>
      <t xml:space="preserve">7.10.1; 7.10.2; 7.10.3 
</t>
    </r>
    <r>
      <rPr>
        <sz val="11"/>
        <color rgb="FFC00000"/>
        <rFont val="Calibri"/>
        <family val="2"/>
        <scheme val="minor"/>
      </rPr>
      <t xml:space="preserve">8.4.1; 8.7.1; 8.7.2; 8.7.3 </t>
    </r>
  </si>
  <si>
    <r>
      <t xml:space="preserve">7.3.1; 7.3.2; 7.3.3
</t>
    </r>
    <r>
      <rPr>
        <sz val="11"/>
        <color rgb="FFC00000"/>
        <rFont val="Calibri"/>
        <family val="2"/>
        <scheme val="minor"/>
      </rPr>
      <t>8.3.1; 8.4.1</t>
    </r>
  </si>
  <si>
    <r>
      <t xml:space="preserve">8.3.1;8.3.2
</t>
    </r>
    <r>
      <rPr>
        <sz val="11"/>
        <color rgb="FFC00000"/>
        <rFont val="Calibri"/>
        <family val="2"/>
        <scheme val="minor"/>
      </rPr>
      <t>8.4.1</t>
    </r>
  </si>
  <si>
    <r>
      <t xml:space="preserve">8.7.1; 8.7.2; 8.7.3
</t>
    </r>
    <r>
      <rPr>
        <sz val="11"/>
        <color rgb="FFC00000"/>
        <rFont val="Calibri"/>
        <family val="2"/>
        <scheme val="minor"/>
      </rPr>
      <t>8.4.1</t>
    </r>
  </si>
  <si>
    <r>
      <t xml:space="preserve">8.8.1; 8.8.2
</t>
    </r>
    <r>
      <rPr>
        <sz val="11"/>
        <color rgb="FFC00000"/>
        <rFont val="Calibri"/>
        <family val="2"/>
        <scheme val="minor"/>
      </rPr>
      <t>8.4.1; 8.7.1; 8.7.2; 8.7.3</t>
    </r>
  </si>
  <si>
    <r>
      <t xml:space="preserve">7.5.1;7.5.2; 7.8.1; 7.8.2;  7.8.3; 7.8.4; 7.8.5; 7.8.6;  7.8.7; 7.8.8
</t>
    </r>
    <r>
      <rPr>
        <sz val="11"/>
        <color rgb="FFC00000"/>
        <rFont val="Calibri"/>
        <family val="2"/>
        <scheme val="minor"/>
      </rPr>
      <t>8.4.1</t>
    </r>
  </si>
  <si>
    <r>
      <t xml:space="preserve">7.11.1; 7.11.2; 7.11.3; 7.11.4; 7.11.5; 7.11.6; 
</t>
    </r>
    <r>
      <rPr>
        <sz val="11"/>
        <color rgb="FFC00000"/>
        <rFont val="Calibri"/>
        <family val="2"/>
        <scheme val="minor"/>
      </rPr>
      <t>8.4.1</t>
    </r>
  </si>
  <si>
    <r>
      <t xml:space="preserve">7.9.1; 7.9.2; 7.9.3; 7.9.4; 7.9.5; 7.9.6; 7.9.7; 8.6.2; 
</t>
    </r>
    <r>
      <rPr>
        <sz val="11"/>
        <color rgb="FFC00000"/>
        <rFont val="Calibri"/>
        <family val="2"/>
        <scheme val="minor"/>
      </rPr>
      <t xml:space="preserve">8.3.1; 8.4.1; 8.7.1; 8.7.2; 8.7.3 </t>
    </r>
  </si>
  <si>
    <r>
      <t xml:space="preserve">8.1.1; 8.1.2; 8.1.3, 8.2.1; 8.2.2; 8.2.3; 8.2.4; 8.2.5
</t>
    </r>
    <r>
      <rPr>
        <sz val="11"/>
        <color rgb="FFC00000"/>
        <rFont val="Calibri"/>
        <family val="2"/>
        <scheme val="minor"/>
      </rPr>
      <t>8.3.1; 8.4.1</t>
    </r>
  </si>
  <si>
    <t>Actions to address risks and opportunities / Improvement</t>
  </si>
  <si>
    <r>
      <t xml:space="preserve">8.5.1;8.5.2;8.5.3;8.6.1
</t>
    </r>
    <r>
      <rPr>
        <sz val="11"/>
        <color rgb="FFC00000"/>
        <rFont val="Calibri"/>
        <family val="2"/>
        <scheme val="minor"/>
      </rPr>
      <t>8.4.1</t>
    </r>
  </si>
  <si>
    <r>
      <t xml:space="preserve">8.9.1;8.9.2;8.9.3
</t>
    </r>
    <r>
      <rPr>
        <sz val="11"/>
        <color rgb="FFC00000"/>
        <rFont val="Calibri"/>
        <family val="2"/>
        <scheme val="minor"/>
      </rPr>
      <t>8.4.1</t>
    </r>
  </si>
  <si>
    <r>
      <t xml:space="preserve">17025:2017 
</t>
    </r>
    <r>
      <rPr>
        <sz val="9"/>
        <color theme="1"/>
        <rFont val="Calibri"/>
        <family val="2"/>
        <scheme val="minor"/>
      </rPr>
      <t>(Number in red color is the supplemental requirement )</t>
    </r>
  </si>
  <si>
    <t xml:space="preserve">Primary Requirement is required to focus on the process.  Supplemental Requirement is also considered during audit the process.   Both requirements may be applicable or non-applicable for the process.     </t>
  </si>
  <si>
    <t>Total Record  # / Project # Reviewed</t>
  </si>
  <si>
    <t xml:space="preserve">Process </t>
  </si>
  <si>
    <t>Yes</t>
  </si>
  <si>
    <t>Common to 17065:2012</t>
  </si>
  <si>
    <t>What’s the Supplemental Requirement?</t>
  </si>
  <si>
    <t>No</t>
  </si>
  <si>
    <t>OSHA  Directive ANNEX A</t>
  </si>
  <si>
    <t>5.2A;5.2B;5.2C;5.2D</t>
  </si>
  <si>
    <t>4.1B</t>
  </si>
  <si>
    <t>4.1A;4.2</t>
  </si>
  <si>
    <r>
      <t>4.13.2;</t>
    </r>
    <r>
      <rPr>
        <sz val="11"/>
        <color rgb="FFFF0000"/>
        <rFont val="Calibri"/>
        <family val="2"/>
        <scheme val="minor"/>
      </rPr>
      <t>5.4A</t>
    </r>
  </si>
  <si>
    <t>5.5F;5.5G</t>
  </si>
  <si>
    <t>5.4C</t>
  </si>
  <si>
    <r>
      <t xml:space="preserve">4.6A;4.6B;4.6C;4.6D;5.5A;5.5B;5.5C;5.5D;5.5E; </t>
    </r>
    <r>
      <rPr>
        <sz val="11"/>
        <rFont val="Calibri"/>
        <family val="2"/>
        <scheme val="minor"/>
      </rPr>
      <t>5.5 F; 5.5 G</t>
    </r>
  </si>
  <si>
    <t>Segments ( Multiple Selection)</t>
  </si>
  <si>
    <t>Site ( Multiple Selection)</t>
  </si>
  <si>
    <t xml:space="preserve">Scheme/Services (multiple selections) </t>
  </si>
  <si>
    <t xml:space="preserve">Written Procedures ( Number and Version) </t>
  </si>
  <si>
    <t xml:space="preserve">Details ( Additional information AS NEEDED  beyond those in other cells to support the compliance verdict) </t>
  </si>
  <si>
    <t>Choice of Verdict</t>
  </si>
  <si>
    <t>Compliance</t>
  </si>
  <si>
    <t>Compliance but some actions required</t>
  </si>
  <si>
    <t>Not determined</t>
  </si>
  <si>
    <t>Do not comply</t>
  </si>
  <si>
    <t>Argentina - Buenos Aires</t>
  </si>
  <si>
    <t>Argentina - IC Argentina</t>
  </si>
  <si>
    <t>Australia - IC Melbourne</t>
  </si>
  <si>
    <t>Australia - Melbourne</t>
  </si>
  <si>
    <t>Australia - Sydney</t>
  </si>
  <si>
    <t>Australia - Sydney (Emergo)</t>
  </si>
  <si>
    <t>Austria - IC Vienna</t>
  </si>
  <si>
    <t>Bangladesh - Dhaka</t>
  </si>
  <si>
    <t>Bangladesh - Dhaka (Testing Laboratories)</t>
  </si>
  <si>
    <t>Belgium</t>
  </si>
  <si>
    <t>Belgium - Brussels (ChemADVISOR)</t>
  </si>
  <si>
    <t>Brazil - Brasilia (Emergo)</t>
  </si>
  <si>
    <t>Brazil - Porto Alegre</t>
  </si>
  <si>
    <t>Brazil - Rio de Janeiro (AWS)</t>
  </si>
  <si>
    <t>Brazil - Sao Jose</t>
  </si>
  <si>
    <t>Brazil - Sao Paulo</t>
  </si>
  <si>
    <t>Brazil - Sao Paulo (Emergo)</t>
  </si>
  <si>
    <t>Brazil - Sao Paulo (UL Certificacoes)</t>
  </si>
  <si>
    <t>Bulgaria - IC Bulgaria</t>
  </si>
  <si>
    <t>Bulgaria - Sofia</t>
  </si>
  <si>
    <t>Cabiate Furniture Lab</t>
  </si>
  <si>
    <t>Cambodia - IC Cambodia</t>
  </si>
  <si>
    <t>Cambodia - Phnom Penh</t>
  </si>
  <si>
    <t>Canada - Alberta (AWS)</t>
  </si>
  <si>
    <t>Canada - Edmonton</t>
  </si>
  <si>
    <t>Canada - IC Toronto</t>
  </si>
  <si>
    <t>Canada - Montreal</t>
  </si>
  <si>
    <t>Canada - Nepean</t>
  </si>
  <si>
    <t>Canada - Nova Scotia</t>
  </si>
  <si>
    <t>Canada - Ontario (Anti-Counterfeiting)</t>
  </si>
  <si>
    <t>Canada - Ontario (Testing Laboratories)</t>
  </si>
  <si>
    <t>Canada - Ottawa</t>
  </si>
  <si>
    <t>Canada - Quebec</t>
  </si>
  <si>
    <t>Canada - Surrey (Emergo)</t>
  </si>
  <si>
    <t>Canada - Toronto</t>
  </si>
  <si>
    <t>Canada - Vancouver</t>
  </si>
  <si>
    <t>Canada - Varennes</t>
  </si>
  <si>
    <t>China - Beijing</t>
  </si>
  <si>
    <t>China - Changzhou</t>
  </si>
  <si>
    <t>China - Chongqing</t>
  </si>
  <si>
    <t>China - Dongguan</t>
  </si>
  <si>
    <t>China - Guangzhou</t>
  </si>
  <si>
    <t>China - Guangzhou (Branch Office)</t>
  </si>
  <si>
    <t>China - Guangzhou (CHC I)</t>
  </si>
  <si>
    <t>China - Guangzhou (CHC II)</t>
  </si>
  <si>
    <t>China - IC Beijing</t>
  </si>
  <si>
    <t>China - IC Dalian</t>
  </si>
  <si>
    <t>China - IC Dongguan</t>
  </si>
  <si>
    <t>China - IC Guangzhou</t>
  </si>
  <si>
    <t>China - IC Hangzhou</t>
  </si>
  <si>
    <t>China - IC Nanjing</t>
  </si>
  <si>
    <t>China - IC Qingdao</t>
  </si>
  <si>
    <t>China - IC Shanghai</t>
  </si>
  <si>
    <t>China - IC Shenzhen</t>
  </si>
  <si>
    <t>China - IC Xiamen</t>
  </si>
  <si>
    <t>China - IC Xian</t>
  </si>
  <si>
    <t>China - Shanghai</t>
  </si>
  <si>
    <t>China - Shanghai (Dragon Pearl Plaza)</t>
  </si>
  <si>
    <t>China - Shanghai (Invoice only)</t>
  </si>
  <si>
    <t>China - Shanghai (Unisys)</t>
  </si>
  <si>
    <t>China - Shenzhen (Qingyi Supermask Photoelectricity Bld)</t>
  </si>
  <si>
    <t>China - Shenzhen (TCL Science Park)</t>
  </si>
  <si>
    <t>China - Shenzhen (Testing Laboratories)</t>
  </si>
  <si>
    <t>China - SongShanLake (EMC lab)</t>
  </si>
  <si>
    <t>China - Suzhou</t>
  </si>
  <si>
    <t>China - Suzhou (EMT)</t>
  </si>
  <si>
    <t>China - Xiamen</t>
  </si>
  <si>
    <t>China - Zhongshan</t>
  </si>
  <si>
    <t>Colombia - Bogota</t>
  </si>
  <si>
    <t>Colombia - IC Bogota</t>
  </si>
  <si>
    <t>Costa Rica - IC Costa Rica</t>
  </si>
  <si>
    <t>Costa Rica - San Jose (Emergo)</t>
  </si>
  <si>
    <t>Denmark - Ballerup</t>
  </si>
  <si>
    <t>DEWI Use Only - France - Lyon</t>
  </si>
  <si>
    <t>DEWI Use Only - Germany - Wilhelmshaven</t>
  </si>
  <si>
    <t>DEWI Use Only - Spain - Ansoain</t>
  </si>
  <si>
    <t>Dominican Republic - IC Santo Domingo</t>
  </si>
  <si>
    <t>Ecuador - IC Ecuador</t>
  </si>
  <si>
    <t>Egypt - Cairo</t>
  </si>
  <si>
    <t>El Salvador - San Salvador</t>
  </si>
  <si>
    <t>Finland - Espoo</t>
  </si>
  <si>
    <t>Finland - IC Espo</t>
  </si>
  <si>
    <t>Fire Research</t>
  </si>
  <si>
    <t>France - Issy Les Moulineaux (Emergo)</t>
  </si>
  <si>
    <t>France - La Ciotat</t>
  </si>
  <si>
    <t>France - Lyon</t>
  </si>
  <si>
    <t>France - Saint Aubin</t>
  </si>
  <si>
    <t>Germany - Bremen</t>
  </si>
  <si>
    <t>Germany - Cologne</t>
  </si>
  <si>
    <t>Germany - Cuxhaven</t>
  </si>
  <si>
    <t>Germany - Hamburg</t>
  </si>
  <si>
    <t>Germany - Hamburg (Emergo)</t>
  </si>
  <si>
    <t>Germany - IC Germany</t>
  </si>
  <si>
    <t>Germany - Krefeld-Uerdingen</t>
  </si>
  <si>
    <t>Germany - Munich</t>
  </si>
  <si>
    <t>Germany - Neu-Isenburg</t>
  </si>
  <si>
    <t>Germany - Neu-Isenburg (PV Lab)</t>
  </si>
  <si>
    <t>Germany - Neu-Ulm</t>
  </si>
  <si>
    <t>Germany - Neu-Ulm (Emergo)</t>
  </si>
  <si>
    <t>Germany - Oldenburg</t>
  </si>
  <si>
    <t>Germany - Rosenheim</t>
  </si>
  <si>
    <t>Germany - Stuttgart</t>
  </si>
  <si>
    <t>Germany - Wilhelmshaven</t>
  </si>
  <si>
    <t>Guatemala - Guatemala City</t>
  </si>
  <si>
    <t>Healthy Buildings International, Inc.</t>
  </si>
  <si>
    <t>Hong Kong</t>
  </si>
  <si>
    <t>Hong Kong - Hong Kong (Emergo)</t>
  </si>
  <si>
    <t>Hong Kong - Kowloon (STR)</t>
  </si>
  <si>
    <t>Hong Kong - Kwai Chung (CTL - Riley House 19/F)</t>
  </si>
  <si>
    <t>Hong Kong - Kwai Chung (Testing Laboratories)</t>
  </si>
  <si>
    <t>Hong Kong - Lab</t>
  </si>
  <si>
    <t>Hong Kong (16,17,26/F Regent Centre - For PR System)</t>
  </si>
  <si>
    <t>Hong Kong (26/F Regent Centre - For PR System)</t>
  </si>
  <si>
    <t>Hong Kong (Regent Centre)</t>
  </si>
  <si>
    <t>Hungary</t>
  </si>
  <si>
    <t>India - Bangalore</t>
  </si>
  <si>
    <t>India - Bangalore (AWS)</t>
  </si>
  <si>
    <t>India - Bangalore (Doddanekkundi)</t>
  </si>
  <si>
    <t>India - Bangalore (Infosys)</t>
  </si>
  <si>
    <t>India - Bangalore (Unisys)</t>
  </si>
  <si>
    <t>India - Gurgaon (PS Lab)</t>
  </si>
  <si>
    <t>India - Gurgaon (VS Lab)</t>
  </si>
  <si>
    <t>India - Hyderabad</t>
  </si>
  <si>
    <t>India - Hyderabad (Emergo)</t>
  </si>
  <si>
    <t>India - Manesar</t>
  </si>
  <si>
    <t>India - Mumbai</t>
  </si>
  <si>
    <t>India - Mumbai (Bandra)</t>
  </si>
  <si>
    <t>India - Sriperumbudur</t>
  </si>
  <si>
    <t>Indonesia - IC Indonesia</t>
  </si>
  <si>
    <t>Indonesia - Jakarta</t>
  </si>
  <si>
    <t>Ireland - Dublin</t>
  </si>
  <si>
    <t>Ireland - IC Dublin</t>
  </si>
  <si>
    <t>Israel - IC Israel</t>
  </si>
  <si>
    <t>Israel - Ramat-Hasharon</t>
  </si>
  <si>
    <t>Italy - Cabiate</t>
  </si>
  <si>
    <t>Italy - Cabiate (Furniture)</t>
  </si>
  <si>
    <t>Italy - Carugate (Lab 5)</t>
  </si>
  <si>
    <t>Italy - Carugate (Lab)</t>
  </si>
  <si>
    <t>Italy - Carugate (Office)</t>
  </si>
  <si>
    <t>Italy - Carugate (Warehouse)</t>
  </si>
  <si>
    <t>Italy - Gavirate</t>
  </si>
  <si>
    <t>Japan - Aichi</t>
  </si>
  <si>
    <t>Japan - Chiba</t>
  </si>
  <si>
    <t>Japan - Ise</t>
  </si>
  <si>
    <t>Japan - Kyoto</t>
  </si>
  <si>
    <t>Japan - Shonan</t>
  </si>
  <si>
    <t>Japan - Tokyo</t>
  </si>
  <si>
    <t>Japan - Tokyo (Emergo)</t>
  </si>
  <si>
    <t>Japan - Yokowa</t>
  </si>
  <si>
    <t>Jordan - Amman</t>
  </si>
  <si>
    <t>Kenya - Nairobi</t>
  </si>
  <si>
    <t>Korea - Seoul</t>
  </si>
  <si>
    <t>Korea - Seoul (Emergo)</t>
  </si>
  <si>
    <t>Korea - Suwon (Lab)</t>
  </si>
  <si>
    <t>Korea - UL GmbH Korea Branch</t>
  </si>
  <si>
    <t>Label Use Only - China - Guangzhou(Label Center)</t>
  </si>
  <si>
    <t>Label Use Only - Italy - Carugate (Label Center)</t>
  </si>
  <si>
    <t>Label Use Only - Japan - Tokyo(Label Center)</t>
  </si>
  <si>
    <t>Label Use Only - Korea - Seoul(Label Center)</t>
  </si>
  <si>
    <t>Label Use Only - Poland - WRS(Label Center)</t>
  </si>
  <si>
    <t>Label Use Only - Taiwan - Taipei(Label Center)</t>
  </si>
  <si>
    <t>Label Use Only - United States - Aurora(Label Center)</t>
  </si>
  <si>
    <t>Lebanon - IC Lebanon</t>
  </si>
  <si>
    <t>Malaysia - IC Selangor</t>
  </si>
  <si>
    <t>Malaysia - Kuala Lumpur (Emergo)</t>
  </si>
  <si>
    <t>Malaysia - Selangor</t>
  </si>
  <si>
    <t>Mexico - Colonia Los Morales</t>
  </si>
  <si>
    <t>Mexico - Mexico City (AWS)</t>
  </si>
  <si>
    <t>Mexico - Mexico City (Emergo)</t>
  </si>
  <si>
    <t>Mexico - Puebla</t>
  </si>
  <si>
    <t>Mexico - Queretaro</t>
  </si>
  <si>
    <t>Morocco - Casablanca (UL)</t>
  </si>
  <si>
    <t>Morocco - IC Morocco</t>
  </si>
  <si>
    <t>Myanmar - IC Yangon</t>
  </si>
  <si>
    <t>Netherlands - Arnhem</t>
  </si>
  <si>
    <t>Netherlands - Leiden</t>
  </si>
  <si>
    <t>Netherlands - The Hague (Emergo)</t>
  </si>
  <si>
    <t>Netherlands - Utrecht</t>
  </si>
  <si>
    <t>New Zealand - Auckland</t>
  </si>
  <si>
    <t>New Zealand - Auckland (Lab)</t>
  </si>
  <si>
    <t>New Zealand - IC Auckland</t>
  </si>
  <si>
    <t>One-Time</t>
  </si>
  <si>
    <t>Pakistan - Karachi</t>
  </si>
  <si>
    <t>Peru - Lima</t>
  </si>
  <si>
    <t>Philippines - IC Philippines</t>
  </si>
  <si>
    <t>Philippines - Makati City</t>
  </si>
  <si>
    <t>Poland - Sekocin Nowy</t>
  </si>
  <si>
    <t>Portugal</t>
  </si>
  <si>
    <t>Romania</t>
  </si>
  <si>
    <t>Romania - IC Romania</t>
  </si>
  <si>
    <t>Russia - Moscow</t>
  </si>
  <si>
    <t>Saudi Arabia - IC Saudi Arabia</t>
  </si>
  <si>
    <t>Saudi Arabia - Riyadh</t>
  </si>
  <si>
    <t>Singapore</t>
  </si>
  <si>
    <t>Singapore - IC Singapore</t>
  </si>
  <si>
    <t>Singapore - Singapore (Emergo)</t>
  </si>
  <si>
    <t>Singapore (Lab)</t>
  </si>
  <si>
    <t>South Africa - IC South Africa</t>
  </si>
  <si>
    <t>South Africa - Johannesburg</t>
  </si>
  <si>
    <t>South Africa - Johannesburg1</t>
  </si>
  <si>
    <t>Spain - Ansoain</t>
  </si>
  <si>
    <t>Spain - Barcelona</t>
  </si>
  <si>
    <t>Spain - Barcelona (AWS)</t>
  </si>
  <si>
    <t>Sri Lanka - Dehiwela</t>
  </si>
  <si>
    <t>Sri Lanka - IC Sri Lanka</t>
  </si>
  <si>
    <t>Sweden - IC Kista</t>
  </si>
  <si>
    <t>Sweden - Kista</t>
  </si>
  <si>
    <t>Switzerland - IC Schwerzenbach</t>
  </si>
  <si>
    <t>Switzerland - Schwerzenbach</t>
  </si>
  <si>
    <t>Taiwan - Hsinchu</t>
  </si>
  <si>
    <t>Taiwan - IC Linkou</t>
  </si>
  <si>
    <t>Taiwan - IC Taichung</t>
  </si>
  <si>
    <t>Taiwan - IC Taipei</t>
  </si>
  <si>
    <t>Taiwan - Taipei (Main Office)</t>
  </si>
  <si>
    <t>Taiwan - Taipei (Office 2)</t>
  </si>
  <si>
    <t>Taiwan - Taipei (STR)</t>
  </si>
  <si>
    <t>Taiwan - Taoyuan</t>
  </si>
  <si>
    <t>TS BV Use Only - Brazil - Sao Paulo</t>
  </si>
  <si>
    <t>TS BV Use Only - Canada - Markham</t>
  </si>
  <si>
    <t>TS BV Use Only - Ireland - Dublin</t>
  </si>
  <si>
    <t>TS BV Use Only - Netherlands - Leiden</t>
  </si>
  <si>
    <t>TS BV Use Only - Scotland - Edinburgh</t>
  </si>
  <si>
    <t>TS BV Use Only - Singapore</t>
  </si>
  <si>
    <t>UL Verification Services Private Ltd.</t>
  </si>
  <si>
    <t>UL VS US 1099 Address</t>
  </si>
  <si>
    <t>United Arab Emirates - Abu Dhabi</t>
  </si>
  <si>
    <t>United Arab Emirates - Dubai (Collis)</t>
  </si>
  <si>
    <t>United Arab Emirates - Dubai (MEFZ)</t>
  </si>
  <si>
    <t>United Kingdom - Ashwood Park</t>
  </si>
  <si>
    <t>United Kingdom - Belper</t>
  </si>
  <si>
    <t>United Kingdom - Cambridge</t>
  </si>
  <si>
    <t>United Kingdom - Cambridge (Emergo)</t>
  </si>
  <si>
    <t>United Kingdom - Cambridge (MDU)</t>
  </si>
  <si>
    <t>United Kingdom - Edinburgh</t>
  </si>
  <si>
    <t>United Kingdom - Guildford</t>
  </si>
  <si>
    <t>United Kingdom - Kingsland Park</t>
  </si>
  <si>
    <t>United Kingdom - Kingsland Park(Tulip)</t>
  </si>
  <si>
    <t>United Kingdom - Nottingham</t>
  </si>
  <si>
    <t>United Kingdom - Nottingham (Safeware)</t>
  </si>
  <si>
    <t>United Kingdom - Reading</t>
  </si>
  <si>
    <t>United Kingdom - Sheffield (Emergo)</t>
  </si>
  <si>
    <t>United Kingdom - Telford</t>
  </si>
  <si>
    <t>United Kingdom - Warrington</t>
  </si>
  <si>
    <t>United Kingdom - Warrington (Lab)</t>
  </si>
  <si>
    <t>United States</t>
  </si>
  <si>
    <t>United States - Agoura Hills</t>
  </si>
  <si>
    <t>United States - Albany</t>
  </si>
  <si>
    <t>United States - Allentown</t>
  </si>
  <si>
    <t>United States - Atlanta</t>
  </si>
  <si>
    <t>United States - Atlanta (Retail Lab)</t>
  </si>
  <si>
    <t>United States - Austin (Emergo)</t>
  </si>
  <si>
    <t>United States - Bentonville (Testing Laboratories)</t>
  </si>
  <si>
    <t>United States - Boulder (Homer Energy)</t>
  </si>
  <si>
    <t>United States - Brea</t>
  </si>
  <si>
    <t>United States - Camas</t>
  </si>
  <si>
    <t>United States - Camp Hill (Rite Aid)</t>
  </si>
  <si>
    <t>United States - Canton</t>
  </si>
  <si>
    <t>United States - Chicago</t>
  </si>
  <si>
    <t>United States - Chicago (HFE)</t>
  </si>
  <si>
    <t>United States - Columbia</t>
  </si>
  <si>
    <t>United States - Concord</t>
  </si>
  <si>
    <t>United States - CRS Green Bay</t>
  </si>
  <si>
    <t>United States - Deerfield (Walgreens)</t>
  </si>
  <si>
    <t>United States - Detroit</t>
  </si>
  <si>
    <t>United States - Fairfax (Healthy Buildings)</t>
  </si>
  <si>
    <t>United States - FE East</t>
  </si>
  <si>
    <t>United States - FES East Factory</t>
  </si>
  <si>
    <t>United States - FES East Site</t>
  </si>
  <si>
    <t>United States - FES West Factory</t>
  </si>
  <si>
    <t>United States - FES West Site</t>
  </si>
  <si>
    <t>United States - Framingham (TJX)</t>
  </si>
  <si>
    <t>United States - Franklin</t>
  </si>
  <si>
    <t>United States - Fremont</t>
  </si>
  <si>
    <t>United States - Greenville</t>
  </si>
  <si>
    <t>United States - Holland</t>
  </si>
  <si>
    <t>United States - Houston</t>
  </si>
  <si>
    <t>United States - Houston (lab)</t>
  </si>
  <si>
    <t>United States - IC Adirondack-Pocono</t>
  </si>
  <si>
    <t>United States - IC Carolina</t>
  </si>
  <si>
    <t>United States - IC Central/Southern CA-NV, HI</t>
  </si>
  <si>
    <t>United States - IC Florida/Puerto Rico</t>
  </si>
  <si>
    <t>United States - IC Georgia</t>
  </si>
  <si>
    <t>United States - IC Great Lakes/Chicago</t>
  </si>
  <si>
    <t>United States - IC Great Lakes/Milwaukee</t>
  </si>
  <si>
    <t>United States - IC Great Plains</t>
  </si>
  <si>
    <t>United States - IC New England</t>
  </si>
  <si>
    <t>United States - IC New Jersey/Philadelphia</t>
  </si>
  <si>
    <t>United States - IC Ohio Valley</t>
  </si>
  <si>
    <t>United States - IC Pacific Southwest</t>
  </si>
  <si>
    <t>United States - IC Southern California</t>
  </si>
  <si>
    <t>United States - IC Southern Delta</t>
  </si>
  <si>
    <t>United States - IC Southwest</t>
  </si>
  <si>
    <t>United States - IC Southwest/Texas</t>
  </si>
  <si>
    <t>United States - IC Tennessee/Virginia</t>
  </si>
  <si>
    <t>United States - IC Tucson</t>
  </si>
  <si>
    <t>United States - IC Upper Midwest/Minneapolis</t>
  </si>
  <si>
    <t>United States - Jasper</t>
  </si>
  <si>
    <t>United States - Kansas City</t>
  </si>
  <si>
    <t>United States - Lake Forest (Healthy Buildings)</t>
  </si>
  <si>
    <t>United States - Laramie</t>
  </si>
  <si>
    <t>United States - Laramie (IDES)</t>
  </si>
  <si>
    <t>United States - Latham</t>
  </si>
  <si>
    <t>United States - League City</t>
  </si>
  <si>
    <t>United States - LES Dallas/Plano</t>
  </si>
  <si>
    <t>United States - Marietta</t>
  </si>
  <si>
    <t>United States - Maumee</t>
  </si>
  <si>
    <t>United States - Melville</t>
  </si>
  <si>
    <t>United States - Miami (BK)</t>
  </si>
  <si>
    <t>United States - Minneapolis</t>
  </si>
  <si>
    <t>United States - Morrisville</t>
  </si>
  <si>
    <t>United States - Mount Vernon</t>
  </si>
  <si>
    <t>United States - Newberry</t>
  </si>
  <si>
    <t>United States - Newton</t>
  </si>
  <si>
    <t>United States - Northbrook</t>
  </si>
  <si>
    <t>United States - Northbrook - Fenestration</t>
  </si>
  <si>
    <t>United States - Novi</t>
  </si>
  <si>
    <t>United States - Oakland (Healthy Buildings)</t>
  </si>
  <si>
    <t>United States - Orange County</t>
  </si>
  <si>
    <t>United States - Overland Park</t>
  </si>
  <si>
    <t>United States - Palm Beach</t>
  </si>
  <si>
    <t>United States - Pittsburgh (ChemADVISOR)</t>
  </si>
  <si>
    <t>United States - Plano (JCP)</t>
  </si>
  <si>
    <t>United States - Portland</t>
  </si>
  <si>
    <t>United States - Princeton</t>
  </si>
  <si>
    <t>United States - Rogers</t>
  </si>
  <si>
    <t>United States - Rogers (Commerce)</t>
  </si>
  <si>
    <t>United States - RTP</t>
  </si>
  <si>
    <t>United States - San Francisco</t>
  </si>
  <si>
    <t>United States - San Jose</t>
  </si>
  <si>
    <t>United States - San Jose (PV Lab)</t>
  </si>
  <si>
    <t>United States - San Luis Obispo</t>
  </si>
  <si>
    <t>United States - Santa Clara</t>
  </si>
  <si>
    <t>United States - South Orange (Healthy Buildings)</t>
  </si>
  <si>
    <t>United States - Vancouver(WA)</t>
  </si>
  <si>
    <t>United States - Washington D.C.</t>
  </si>
  <si>
    <t>United States - Westmont</t>
  </si>
  <si>
    <t>United States - Windsor</t>
  </si>
  <si>
    <t>United States - Woonsocket (CVS)</t>
  </si>
  <si>
    <t>United States (US)</t>
  </si>
  <si>
    <t>Vietnam - Ho Chi Minh City</t>
  </si>
  <si>
    <t>Vietnam - Ho Chi Minh City (Lab)</t>
  </si>
  <si>
    <t>Vietnam - IC Vietnam</t>
  </si>
  <si>
    <t>Site</t>
  </si>
  <si>
    <t>Abu Dhabi Certification Scheme</t>
  </si>
  <si>
    <t>Access Control Performance Scheme</t>
  </si>
  <si>
    <t>Additive Manufacturing Facilities Certification Scheme</t>
  </si>
  <si>
    <t>AECO Scheme</t>
  </si>
  <si>
    <t>Air Conditioning, Heating, and Refrigeration Institute (AHRI) Product Performance Certification Program</t>
  </si>
  <si>
    <t>Alarm Systems Certificate Service (CA)</t>
  </si>
  <si>
    <t>Alarm Systems Certificate Service (US)</t>
  </si>
  <si>
    <t>Anatel Certification Program</t>
  </si>
  <si>
    <t>ANZ Certification Scheme</t>
  </si>
  <si>
    <t>Argentina Energy Efficiency Scheme</t>
  </si>
  <si>
    <t>Association of Home Appliance Manufacturers (AHAM) Verification Program</t>
  </si>
  <si>
    <t>ASSURE Program</t>
  </si>
  <si>
    <t>ATEX Equipment Scheme - Equipment</t>
  </si>
  <si>
    <t>ATEX Equipment Scheme - Quality</t>
  </si>
  <si>
    <t>ATEX Service Facility Scheme - Repair</t>
  </si>
  <si>
    <t>Australia Telecommunications Service</t>
  </si>
  <si>
    <t>Battery Performance Scheme</t>
  </si>
  <si>
    <t>Battery Repurposing Management System Assessment</t>
  </si>
  <si>
    <t>BIFMA Level Certification Program</t>
  </si>
  <si>
    <t>Blue Angel Scheme (BAM)</t>
  </si>
  <si>
    <t>Bluetooth Qualification Services</t>
  </si>
  <si>
    <t>BMW Materials Testing Service</t>
  </si>
  <si>
    <t>Boilers and Pressure Vessels Inspection Scheme</t>
  </si>
  <si>
    <t>BPS Product Certification Scheme</t>
  </si>
  <si>
    <t>Brunei EE Testing Service</t>
  </si>
  <si>
    <t>BSMI Mark Scheme</t>
  </si>
  <si>
    <t>Builders Hardware Manufacturers Association (BHMA) Product Certification Program</t>
  </si>
  <si>
    <t>Building Inspection Certificate Services Program</t>
  </si>
  <si>
    <t>Business Environmental Performance Initiative (BEPI) Programme</t>
  </si>
  <si>
    <t>Business Social Compliance Initiative (BSCI) Audit Integrity Programme</t>
  </si>
  <si>
    <t>California Appliance Efficiency Program</t>
  </si>
  <si>
    <t>Cambodia EE Testing Service</t>
  </si>
  <si>
    <t>Canada Safety Scheme</t>
  </si>
  <si>
    <t>CARB Air Cleaner Registration</t>
  </si>
  <si>
    <t>CARB Air-Toxic Control Measure (ACTM) Formaldehyde Program</t>
  </si>
  <si>
    <t>Card Personalization Validation (CPV)</t>
  </si>
  <si>
    <t>Carrier Wireless Services Certification Scheme</t>
  </si>
  <si>
    <t>CCC Inspections</t>
  </si>
  <si>
    <t>CE Marking Assistance Program</t>
  </si>
  <si>
    <t>Cellular Telecommunications and Internet Association (CTIA) Certification Scheme</t>
  </si>
  <si>
    <t>CENELEC Certification Agreement (CCA) Scheme</t>
  </si>
  <si>
    <t>Certificate for Selected Tests</t>
  </si>
  <si>
    <t>Certificate Program for Independent Service Providers and Organizations of Structural and Proximity Fire Fighting Garments and Technical Rescue Garments</t>
  </si>
  <si>
    <t>Certificated Agency Program</t>
  </si>
  <si>
    <t>China Compulsory Certificate (CCC) Mark Scheme</t>
  </si>
  <si>
    <t>China Quality Certificate (CQC) Inspections</t>
  </si>
  <si>
    <t>Chip Profile Definition Services</t>
  </si>
  <si>
    <t>Circularity Facts Program</t>
  </si>
  <si>
    <t>Citizens Broadband Radio Service Device (CBSD) Certification Program</t>
  </si>
  <si>
    <t>Code of Practices and Chain of Custody Service</t>
  </si>
  <si>
    <t>Commercial Laboratory Servce</t>
  </si>
  <si>
    <t>Common Criteria Evaluation and Validation Scheme (CCEVS)</t>
  </si>
  <si>
    <t>Communication Circuit Accessories Performance Scheme</t>
  </si>
  <si>
    <t>Compliance and Interoperability Services</t>
  </si>
  <si>
    <t>Construction Products Regulation Scheme</t>
  </si>
  <si>
    <t>Consumer Laboratory Service</t>
  </si>
  <si>
    <t>Consumer Product Safety Commission (CPSC) Testing Services</t>
  </si>
  <si>
    <t>Cooling Tower Audit Program</t>
  </si>
  <si>
    <t>Costa Rican Energy Efficiency Certification Scheme</t>
  </si>
  <si>
    <t>C-TAP Functional Acceptance Testing</t>
  </si>
  <si>
    <t>Customs Trade Partnership Against Terrorism (CTPAT) Audit Service</t>
  </si>
  <si>
    <t>Cybersecurity Assurance Program (CAP) Scheme</t>
  </si>
  <si>
    <t>D Mark Scheme</t>
  </si>
  <si>
    <t>Das Goldene M Mark Scheme</t>
  </si>
  <si>
    <t>Data Center Facility Inspection Scheme</t>
  </si>
  <si>
    <t>DENAN PSE Mark Scheme</t>
  </si>
  <si>
    <t>DesignLights Consortium (DLC) Verification Scheme</t>
  </si>
  <si>
    <t>ECE R100/R136 Type Approval Services</t>
  </si>
  <si>
    <t>ECHONET Scheme</t>
  </si>
  <si>
    <t>Ecologo Scheme</t>
  </si>
  <si>
    <t>Egypt Energy Efficiency Service</t>
  </si>
  <si>
    <t>El Salvadoran Energy Efficiency Certification Scheme</t>
  </si>
  <si>
    <t>Electrical Apparatus Service Association (EASA) Accreditation Program</t>
  </si>
  <si>
    <t>Electronic Prescribing of Controlled Substances Program</t>
  </si>
  <si>
    <t>EMC Directive Scheme</t>
  </si>
  <si>
    <t>Emirates Conformity Assessment Scheme (ECAS)</t>
  </si>
  <si>
    <t>EMVCo Approval Service</t>
  </si>
  <si>
    <t>ENEC Mark Scheme</t>
  </si>
  <si>
    <t>ENEC+ Mark Scheme</t>
  </si>
  <si>
    <t>Energy Efficiency Certification Scheme</t>
  </si>
  <si>
    <t>Energy Label Number 5 Program</t>
  </si>
  <si>
    <t>ENERGY STAR® Program</t>
  </si>
  <si>
    <t>Energy Verification Service Scheme</t>
  </si>
  <si>
    <t>Environmental Legionella Isolation Techniques Evaluation (ELITE) Program</t>
  </si>
  <si>
    <t>Environmental Product Declaration (EPD) Program</t>
  </si>
  <si>
    <t>EPA Formaldehyde Emissions Program</t>
  </si>
  <si>
    <t>EPEAT Product Registration Scheme</t>
  </si>
  <si>
    <t>Equitable Food Initiative (EFI) Standards for Farms Program</t>
  </si>
  <si>
    <t>Ethical Toy Program</t>
  </si>
  <si>
    <t>European Office Furniture Federation (FEMB) Level Scheme</t>
  </si>
  <si>
    <t>Ex Equipment Repair Facility Scheme</t>
  </si>
  <si>
    <t>Factory Relocation Service</t>
  </si>
  <si>
    <t>Fair Labor Association (FLA) Service</t>
  </si>
  <si>
    <t>Fairmined Standard Certification Scheme</t>
  </si>
  <si>
    <t>Field Evaluation Program (ULC)</t>
  </si>
  <si>
    <t>Field Evaluation Program (US)</t>
  </si>
  <si>
    <t>FIPS Cryptographic Module Validation Program</t>
  </si>
  <si>
    <t>Fire Equipment Service (CA)</t>
  </si>
  <si>
    <t>Fire Equipment Service (ULC)</t>
  </si>
  <si>
    <t>Fire Equipment Services (US)</t>
  </si>
  <si>
    <t>Fire Pump Assemblies Performance Scheme</t>
  </si>
  <si>
    <t>Fire Truck and Fire Apparatus QMS Audit Service</t>
  </si>
  <si>
    <t>Firestop Inspection Service</t>
  </si>
  <si>
    <t>Florida Product Evaluation Approval Program</t>
  </si>
  <si>
    <t>Florida Product Quality Assurance Program</t>
  </si>
  <si>
    <t>Food Equipment Sanitation Scheme</t>
  </si>
  <si>
    <t>Foreign Certification Body Program</t>
  </si>
  <si>
    <t>Functional Safety Certificate Program</t>
  </si>
  <si>
    <t>Functional Safety Program</t>
  </si>
  <si>
    <t>Furnishing Performance Scheme</t>
  </si>
  <si>
    <t>Gas Appliances Directive Conformity to Type Inspection Scheme</t>
  </si>
  <si>
    <t>Gas Appliances Directive Product Scheme</t>
  </si>
  <si>
    <t>Gas Appliances Directive Quality Surveillance Certification</t>
  </si>
  <si>
    <t>Gas Appliances Regulation Conformity to Type Inspection Scheme</t>
  </si>
  <si>
    <t>Gas Appliances Regulation Product Scheme</t>
  </si>
  <si>
    <t>Gas Appliances Regulation Quality Surveillance Scheme</t>
  </si>
  <si>
    <t>Global Certification Forum (GCF) Certification Scheme</t>
  </si>
  <si>
    <t>Green Label Plus (CRI) Program</t>
  </si>
  <si>
    <t>Green Squared Scheme</t>
  </si>
  <si>
    <t>GREENGUARD Certification Program</t>
  </si>
  <si>
    <t>Grid Code Compliance Certification Scheme</t>
  </si>
  <si>
    <t>GS Mark Scheme</t>
  </si>
  <si>
    <t>Gulf Type Examination Certification Scheme</t>
  </si>
  <si>
    <t>HDBaseT Cable Verification Program</t>
  </si>
  <si>
    <t>Higg Facility Environmental Module Service</t>
  </si>
  <si>
    <t>High-speed Audio, Video and Data Cable Verification Scheme</t>
  </si>
  <si>
    <t>Hong Kong Mandatory Energy Efficiency Labelling Scheme</t>
  </si>
  <si>
    <t>Hong Kong Telecommunications Service</t>
  </si>
  <si>
    <t>IECEE CB Scheme</t>
  </si>
  <si>
    <t>IECEx System - Certified Equipment Scheme</t>
  </si>
  <si>
    <t>IECEx System - Certified Service Facilities Scheme</t>
  </si>
  <si>
    <t>IECQ ITL Scheme</t>
  </si>
  <si>
    <t>IECRE System - PV Certification Scheme</t>
  </si>
  <si>
    <t>IECRE System - Wind Turbine Project Certification Scheme</t>
  </si>
  <si>
    <t>IECRE System - Wind Turbine Type Certification Scheme</t>
  </si>
  <si>
    <t>IKEA Testing Program</t>
  </si>
  <si>
    <t>India BIS Recognized Laboratory Testing Service</t>
  </si>
  <si>
    <t>Indonesia EE Testing Service</t>
  </si>
  <si>
    <t>Indonesia SNI Certification Scheme</t>
  </si>
  <si>
    <t>Initiative for Compliance and Sustainability (ICS) Audit Service</t>
  </si>
  <si>
    <t>INMETRO Certification Program</t>
  </si>
  <si>
    <t>International Code Council - Evaluation Services</t>
  </si>
  <si>
    <t>International Safe Transit Association Program</t>
  </si>
  <si>
    <t>In-Vitro Diagnostic Medical Device Directive Scheme</t>
  </si>
  <si>
    <t>Israel Telecommunications Service</t>
  </si>
  <si>
    <t>Japanese Radio Law Scheme</t>
  </si>
  <si>
    <t>KBA - Designated Technical Service</t>
  </si>
  <si>
    <t>Laos EE Testing Service</t>
  </si>
  <si>
    <t>Lighting Performance Scheme</t>
  </si>
  <si>
    <t>Lightning Protection Certificate Services</t>
  </si>
  <si>
    <t>Local Area Network (LAN) Performance Verification Program</t>
  </si>
  <si>
    <t>Luminaire Air Leakage Performance Scheme</t>
  </si>
  <si>
    <t>Machinery Directive Scheme</t>
  </si>
  <si>
    <t>Malaysia EE Testing Service</t>
  </si>
  <si>
    <t>Malaysia Energy Efficiency Labelling Program</t>
  </si>
  <si>
    <t>Mandatory Energy Efficiency Labelling Scheme</t>
  </si>
  <si>
    <t>Mandatory Energy Labelling (MELS) Program</t>
  </si>
  <si>
    <t>Marine Equipment Directive Scheme</t>
  </si>
  <si>
    <t>Marketing Claim Verification Scheme</t>
  </si>
  <si>
    <t>Measuring Instruments Directive Scheme</t>
  </si>
  <si>
    <t>Medical Devices Law (MPG)</t>
  </si>
  <si>
    <t>Medical Directive Scheme</t>
  </si>
  <si>
    <t>Medical Quality Management System Registration  Service</t>
  </si>
  <si>
    <t>Medium Voltage Cable Inspection Scheme</t>
  </si>
  <si>
    <t>Medium Voltage Cable Supplier Audit (MVSCA) Program</t>
  </si>
  <si>
    <t>Meter Performance Scheme</t>
  </si>
  <si>
    <t>Mexico Telecommunications Service</t>
  </si>
  <si>
    <t>Miami-Dade Building Products Testing Service</t>
  </si>
  <si>
    <t>Miami-Dade Roofing Products Testing Service</t>
  </si>
  <si>
    <t>Myanmar EE Testing Service</t>
  </si>
  <si>
    <t>National Fenestration Rating Council (NFRC) Certification Scheme</t>
  </si>
  <si>
    <t>NEBS Mark Program</t>
  </si>
  <si>
    <t>NOM Mark</t>
  </si>
  <si>
    <t>NOM Verification Unit Scheme</t>
  </si>
  <si>
    <t>Nordic Certification Scheme</t>
  </si>
  <si>
    <t>Office of the National Coordinator (ONC) for Health IT Certification Program</t>
  </si>
  <si>
    <t>Omani Energy Efficiency Labelling and MEPS Scheme</t>
  </si>
  <si>
    <t>Onsite Firestop Inspection Program</t>
  </si>
  <si>
    <t>Open Connectivity Foundation (OCF) Certification Program</t>
  </si>
  <si>
    <t>Optical Fiber Performance Verification Scheme</t>
  </si>
  <si>
    <t>Panamanian Energy Efficiency Certification Scheme</t>
  </si>
  <si>
    <t>Payment Card Industry (PCI) Compliance Services</t>
  </si>
  <si>
    <t>PCS Type Certification Review Board (PTCRB) Certification Scheme</t>
  </si>
  <si>
    <t>Personal Protective Equipment Scheme</t>
  </si>
  <si>
    <t>Peruvian Energy Efficiency Certification Scheme</t>
  </si>
  <si>
    <t>Philippines EE Testing Service</t>
  </si>
  <si>
    <t>Pressure Equipment Directive Scheme</t>
  </si>
  <si>
    <t>Product Lens Scheme</t>
  </si>
  <si>
    <t>Proficiency Testing Service</t>
  </si>
  <si>
    <t>PSc Mark Services</t>
  </si>
  <si>
    <t>Qi Certification Scheme</t>
  </si>
  <si>
    <t>Quality Management System Assessment Service</t>
  </si>
  <si>
    <t>Quality Management System Certification Scheme</t>
  </si>
  <si>
    <t>Radio Equipment Directive Scheme</t>
  </si>
  <si>
    <t>Recognized Plastics Material Identification (RPMI) Service</t>
  </si>
  <si>
    <t>Refrigerant Recovery/Recycling Equipment Verification Scheme</t>
  </si>
  <si>
    <t>Responsible Gold Audit Programme</t>
  </si>
  <si>
    <t>Responsible Minerals Assurance Process (RMAP)</t>
  </si>
  <si>
    <t>Responsible Minerals Due Diligence Assessment Service</t>
  </si>
  <si>
    <t>Responsible Sourcing Agricultural Assessment (RSAA) Service</t>
  </si>
  <si>
    <t>Responsible Sourcing Audit Services</t>
  </si>
  <si>
    <t>Responsible Sourcing Environmental Assessment Service</t>
  </si>
  <si>
    <t>Responsible Sourcing Production Verification Assessment Service</t>
  </si>
  <si>
    <t>Responsible Sourcing Workplace Assessment (RSWA) Service</t>
  </si>
  <si>
    <t>RETIE Certification Scheme</t>
  </si>
  <si>
    <t>RETILAP Certification Scheme</t>
  </si>
  <si>
    <t>RETIQ Certification Scheme</t>
  </si>
  <si>
    <t>Rigid Metal Conduit Adhesion Performance Verification Scheme</t>
  </si>
  <si>
    <t>S Mark Scheme</t>
  </si>
  <si>
    <t>SASO Conformity Assessment Program (SALEEM)</t>
  </si>
  <si>
    <t>Saudi Civil Defence Fire Safety Service</t>
  </si>
  <si>
    <t>Saudi CoC Scheme</t>
  </si>
  <si>
    <t>Saudi Energy Efficiency Program</t>
  </si>
  <si>
    <t>Seafood Traceability and Vessel Assessment Service</t>
  </si>
  <si>
    <t>Sedex Members Ethical Trade Audit Service</t>
  </si>
  <si>
    <t>Shared Audit Service</t>
  </si>
  <si>
    <t>Sheet Metal Air Ducts Scheme</t>
  </si>
  <si>
    <t>Singapore Common Criteria Scheme</t>
  </si>
  <si>
    <t>Singapore Consumer Protection (Safety Requirements) Registration Scheme</t>
  </si>
  <si>
    <t>Singapore Consumer Protection (Safety Requirements) Registration Scheme - CAB (Local) Testing Laboratory Service</t>
  </si>
  <si>
    <t>Singapore EE Testing Service</t>
  </si>
  <si>
    <t>Singapore Telecommunications Service</t>
  </si>
  <si>
    <t>Singapore Water Efficiency Labeling Scheme (WELS)</t>
  </si>
  <si>
    <t>Small Wind Turbine Type Certification Scheme</t>
  </si>
  <si>
    <t>South Africa EMC Certificate of Compliance (CoC) Scheme</t>
  </si>
  <si>
    <t>South Korea EMC and Telecommunications Service</t>
  </si>
  <si>
    <t>Spark Arrestor Testing Service</t>
  </si>
  <si>
    <t>SQF Certification Program</t>
  </si>
  <si>
    <t>Standardized Communication of Distributed Energy Resources for Grid Support / Interoperability Functions Certificate Services</t>
  </si>
  <si>
    <t>Supply Chain Quality System &amp; Risk-based Assessment Service</t>
  </si>
  <si>
    <t>Sustainable Product Certification Scheme</t>
  </si>
  <si>
    <t>SWIFT Customer Security Programme (CSP)</t>
  </si>
  <si>
    <t>Taiwan EMC Service</t>
  </si>
  <si>
    <t>Taiwan Telecommunications Service</t>
  </si>
  <si>
    <t>Telecommunication Certification Body Program</t>
  </si>
  <si>
    <t>Telecommunications Business Law Scheme</t>
  </si>
  <si>
    <t>Texas Mold and Remediation Program</t>
  </si>
  <si>
    <t>Thailand EE Testing Service</t>
  </si>
  <si>
    <t>Thread Certification Scheme</t>
  </si>
  <si>
    <t>TISI Inspection Program</t>
  </si>
  <si>
    <t>TISI Mark Scheme</t>
  </si>
  <si>
    <t>Toy Directive Scheme</t>
  </si>
  <si>
    <t>UAE Civil Defense CoC Program</t>
  </si>
  <si>
    <t>UAE Product Certification Scheme (EQM Mark)</t>
  </si>
  <si>
    <t>UL China Product Certification Scheme</t>
  </si>
  <si>
    <t>UL Evaluation Reports Program</t>
  </si>
  <si>
    <t>UL IoT Program</t>
  </si>
  <si>
    <t>UL Japan S Mark Scheme</t>
  </si>
  <si>
    <t>UL National Brand Certification Program</t>
  </si>
  <si>
    <t>UL Qualified Firestop / Spray-Applied Fire Resistive Material (SFRM) Contractor Program</t>
  </si>
  <si>
    <t>UL Retail Certification Program</t>
  </si>
  <si>
    <t>UL Type Examination Certificate</t>
  </si>
  <si>
    <t>UL-AU Mark Scheme</t>
  </si>
  <si>
    <t>UL-BR Mark Scheme</t>
  </si>
  <si>
    <t>ULC Evaluation Reports Program</t>
  </si>
  <si>
    <t>ULC Field Evaluation Service</t>
  </si>
  <si>
    <t>ULC Mark Safety Scheme</t>
  </si>
  <si>
    <t>UL-CO Mark Scheme</t>
  </si>
  <si>
    <t>UL-EU Certification Scheme</t>
  </si>
  <si>
    <t>UL-JP Mark Scheme</t>
  </si>
  <si>
    <t>US Safety Scheme</t>
  </si>
  <si>
    <t>Validated Assessment Program</t>
  </si>
  <si>
    <t>VCCI Mark Scheme</t>
  </si>
  <si>
    <t>Video Electronics Standards Association (VESA) DisplayPort Compliance Program</t>
  </si>
  <si>
    <t>Video Equipment Performance Scheme</t>
  </si>
  <si>
    <t>Vietnam Telecommunications Service</t>
  </si>
  <si>
    <t>Vodaphone Testing Service</t>
  </si>
  <si>
    <t>Volkswagen Materials Testing Service</t>
  </si>
  <si>
    <t>Water Systems Scheme</t>
  </si>
  <si>
    <t>WaterSense Scheme</t>
  </si>
  <si>
    <t>Wellness Scheme</t>
  </si>
  <si>
    <t>Wind Turbine Project Certification Scheme</t>
  </si>
  <si>
    <t>Wind Turbine Type and Component Certification Scheme</t>
  </si>
  <si>
    <t>Windstorm Inspection Program</t>
  </si>
  <si>
    <t>WinMark Enhanced Security for Windows and Doors Scheme</t>
  </si>
  <si>
    <t>WinMark Performance of Curtain Walling and Rainscreen Cladding Scheme</t>
  </si>
  <si>
    <t>Worldwide Responsible Accredited Program (WRAP) Certification Program</t>
  </si>
  <si>
    <t>ZDHC Manufacturing Restricted Substances List (MRSL) Conformance Service</t>
  </si>
  <si>
    <t>ZheJiang Made Program</t>
  </si>
  <si>
    <t>Zigbee Alliance Certification Scheme</t>
  </si>
  <si>
    <t>Segment</t>
  </si>
  <si>
    <t>Built Environment - Supression/Detection</t>
  </si>
  <si>
    <t>Built Environment - Resisitance/Security</t>
  </si>
  <si>
    <t>Built Environment - Fire Equipment Services</t>
  </si>
  <si>
    <t>Built Environment - Personal Protective Equipment</t>
  </si>
  <si>
    <t>EIA - Power and Automation</t>
  </si>
  <si>
    <t>EIA - Renewable Energy</t>
  </si>
  <si>
    <t>EIA - Field Evaluation Services</t>
  </si>
  <si>
    <t>EIA - Industrial Functional Safety</t>
  </si>
  <si>
    <t>Engineered Materials - Materials and Plastics</t>
  </si>
  <si>
    <t>Engineered Materials - Wire and Cable</t>
  </si>
  <si>
    <t>AHL - Appliance and HVAC</t>
  </si>
  <si>
    <t>AHL - Lighting</t>
  </si>
  <si>
    <t>AHL - Water System</t>
  </si>
  <si>
    <t>CMIT - Medical Device Testing and Conformity</t>
  </si>
  <si>
    <t>CMIT - Non - Clinical Testing</t>
  </si>
  <si>
    <t>CMIT - CTECH</t>
  </si>
  <si>
    <t>CMIT - Small Appliance</t>
  </si>
  <si>
    <t>New Mobility - Automotive</t>
  </si>
  <si>
    <t>New Mobility - kVA by UL - Automotive Functional Safety</t>
  </si>
  <si>
    <t>Retail &amp; Consumer Products - Hardlines and Softlines</t>
  </si>
  <si>
    <t>Retail &amp; Consumer Products - Food</t>
  </si>
  <si>
    <t>Retail &amp; Consumer Products - Health, Beauty and Wellness</t>
  </si>
  <si>
    <t>Retail &amp; Consumer Products - Product Sustainability</t>
  </si>
  <si>
    <t>Retail &amp; Consumer Products - Furniture Testing</t>
  </si>
  <si>
    <t>Customer Experience - Lab</t>
  </si>
  <si>
    <t xml:space="preserve">Customer Experience - Operations </t>
  </si>
  <si>
    <t>Customer Experience - Field Engineering Services</t>
  </si>
  <si>
    <t>GMA</t>
  </si>
  <si>
    <t>Legal</t>
  </si>
  <si>
    <t>Finance</t>
  </si>
  <si>
    <t>Human Resources</t>
  </si>
  <si>
    <t>Information Technology</t>
  </si>
  <si>
    <t>Digital Products</t>
  </si>
  <si>
    <t>Software Engineering</t>
  </si>
  <si>
    <t>Alpha Strategy Implementation</t>
  </si>
  <si>
    <t xml:space="preserve">EPMO </t>
  </si>
  <si>
    <t>Chief Scientist</t>
  </si>
  <si>
    <t>Operational Excellence &amp; Innovation</t>
  </si>
  <si>
    <t>Marketing</t>
  </si>
  <si>
    <t>Commercial Operations</t>
  </si>
  <si>
    <t>Customer Advocacy</t>
  </si>
  <si>
    <t xml:space="preserve">Industrial Business Transformation </t>
  </si>
  <si>
    <t xml:space="preserve">Consumer Business Transformation </t>
  </si>
  <si>
    <t xml:space="preserve">Strategy &amp; Portfolio Innovation </t>
  </si>
  <si>
    <t>Industrial Sales</t>
  </si>
  <si>
    <t>Consumer Sales</t>
  </si>
  <si>
    <t xml:space="preserve">Person(s) Interviewed/involved (Name  and/or  Employee Number) </t>
  </si>
  <si>
    <t>In case of an NC identified against supplemental requirement, the NC details should be recorded in the primary process of that requirement. For example, if a test report is sent to the wrong client identified during project review, the NC will be documented under the confidentiality process.</t>
  </si>
  <si>
    <t xml:space="preserve">Region </t>
  </si>
  <si>
    <t>NA</t>
  </si>
  <si>
    <t>EMEALA</t>
  </si>
  <si>
    <t>GA</t>
  </si>
  <si>
    <t>GC</t>
  </si>
  <si>
    <t>Global</t>
  </si>
  <si>
    <t>Region
(Pls select "Global" if multi-Region is involved)</t>
  </si>
  <si>
    <t>NC ID /  Service Request ID /OFI ID / Positive Observation ID (If needed, number only)</t>
  </si>
  <si>
    <t>Not Audited</t>
  </si>
  <si>
    <t>Not Applicable</t>
  </si>
  <si>
    <t>Process Verdict (See "Definition" for Instruction &amp; Single selection)</t>
  </si>
  <si>
    <r>
      <t xml:space="preserve">7.2.1; 7.2.2
</t>
    </r>
    <r>
      <rPr>
        <sz val="11"/>
        <color rgb="FFC00000"/>
        <rFont val="Calibri"/>
        <family val="2"/>
        <scheme val="minor"/>
      </rPr>
      <t>6.1;6.2.3;6.2.6;6.3.1; 6.3.2; 6.3.3; 6.3.4;6.4.1; 6.4.4; 6.4.5; 6.4.6; 6.4.12; 6.4.13, 6.5.2; 6.5.3;6.6.1; 6.6.2;7.4.2; 7.4.3; 7.4.4;7.5.1;7.8.2;7.8.3;7.8.6;8.3.1; 8.4.2</t>
    </r>
    <r>
      <rPr>
        <sz val="11"/>
        <color theme="1"/>
        <rFont val="Calibri"/>
        <family val="2"/>
        <scheme val="minor"/>
      </rPr>
      <t/>
    </r>
  </si>
  <si>
    <r>
      <t xml:space="preserve">7.2.1; 7.2.2
</t>
    </r>
    <r>
      <rPr>
        <sz val="11"/>
        <color rgb="FFC00000"/>
        <rFont val="Calibri"/>
        <family val="2"/>
        <scheme val="minor"/>
      </rPr>
      <t>6.1;6.2.3;6.2.6;6.3.1; 6.3.2; 6.3.3; 6.3.4;6.4.1; 6.4.4; 6.4.5; 6.4.6; 6.4.12; 6.4.13, 6.5.2; 6.5.3;6.6.1; 6.6.2;7.4.2; 7.4.3; 7.4.4;7.5.1;7.8.2;7.8.3;7.8.6;8.3.1; 8.4.3</t>
    </r>
    <r>
      <rPr>
        <sz val="11"/>
        <color theme="1"/>
        <rFont val="Calibri"/>
        <family val="2"/>
        <scheme val="minor"/>
      </rPr>
      <t/>
    </r>
  </si>
  <si>
    <t>N/A</t>
  </si>
  <si>
    <t>Auditor Name: Ken Berger</t>
  </si>
  <si>
    <t>n/a</t>
  </si>
  <si>
    <r>
      <t xml:space="preserve">Compliance:  This process comply with the requirement. 
Compliance but some actions required:  Overall the process complies with the requirements, but some nonconformances or Service request were identified. 
</t>
    </r>
    <r>
      <rPr>
        <b/>
        <sz val="11"/>
        <color theme="1"/>
        <rFont val="Calibri"/>
        <family val="2"/>
        <scheme val="minor"/>
      </rPr>
      <t xml:space="preserve">Do not comply:  Evidence supports that there is no process or the existing process does not comply with the requirements ( systemic breakdown) </t>
    </r>
    <r>
      <rPr>
        <sz val="11"/>
        <color theme="1"/>
        <rFont val="Calibri"/>
        <family val="2"/>
        <scheme val="minor"/>
      </rPr>
      <t xml:space="preserve">
Not determined:  The evidence is not enough to support that the process complies with the requirement.  ( Typically the process is too new to have the records.  The other case is that the sample size is too small to determine that the process does not support the determination that the process does not comply.   ) 
</t>
    </r>
    <r>
      <rPr>
        <b/>
        <sz val="11"/>
        <color rgb="FFFF0000"/>
        <rFont val="Calibri"/>
        <family val="2"/>
        <scheme val="minor"/>
      </rPr>
      <t>Not Applicable</t>
    </r>
    <r>
      <rPr>
        <sz val="11"/>
        <color rgb="FFFF0000"/>
        <rFont val="Calibri"/>
        <family val="2"/>
        <scheme val="minor"/>
      </rPr>
      <t xml:space="preserve"> - Auditee never uses this process to acheive the compliance. (Example: UL Safety Lab do not have sampling for that process in their operation, so the sampling is not applicable for this audit)
</t>
    </r>
    <r>
      <rPr>
        <sz val="11"/>
        <color theme="1"/>
        <rFont val="Calibri"/>
        <family val="2"/>
        <scheme val="minor"/>
      </rPr>
      <t xml:space="preserve">
Not Audit - The process is applicable to the auditee but the auditor did not audit that process (Example: The process may be covered in other audit, the auditor did not have time to audit.)
</t>
    </r>
  </si>
  <si>
    <t>Policy-ULID-001787 (DCS:01-LO-P0851) – Issue 1.0</t>
  </si>
  <si>
    <t xml:space="preserve"> </t>
  </si>
  <si>
    <t>x</t>
  </si>
  <si>
    <t>Auditor, Lead</t>
  </si>
  <si>
    <t>Ken Berger</t>
  </si>
  <si>
    <t xml:space="preserve">Closing </t>
  </si>
  <si>
    <t>Opening</t>
  </si>
  <si>
    <t>Title/role</t>
  </si>
  <si>
    <t>Name</t>
  </si>
  <si>
    <t>Closing date:</t>
  </si>
  <si>
    <t>Opening date:</t>
  </si>
  <si>
    <t>Location:</t>
  </si>
  <si>
    <t>00-QA-J0860 1.0</t>
  </si>
  <si>
    <t xml:space="preserve">Post Audit Risk Assessment for Audit Resource Arrangement  </t>
  </si>
  <si>
    <t>Date</t>
  </si>
  <si>
    <t>Conducted by:</t>
  </si>
  <si>
    <t>Audit Year</t>
  </si>
  <si>
    <t xml:space="preserve">Organization being audited </t>
  </si>
  <si>
    <t>Risk Level</t>
  </si>
  <si>
    <t>Volume of work</t>
  </si>
  <si>
    <t>Accreditation/ Regulation Status</t>
  </si>
  <si>
    <t>Previous Internal Audit Results</t>
  </si>
  <si>
    <t>Staff Changes</t>
  </si>
  <si>
    <t>Additional Monitoring Mechanism</t>
  </si>
  <si>
    <t>Management Review</t>
  </si>
  <si>
    <t>External Audit Results</t>
  </si>
  <si>
    <t>Product Incident Report</t>
  </si>
  <si>
    <t>Risk Score</t>
  </si>
  <si>
    <t>see above &amp; below &amp; other paths</t>
  </si>
  <si>
    <t>To be audited in Global Audit Programs &amp; Corrective and Preventive Action audit, 2023-61-IQA</t>
  </si>
  <si>
    <t>Audit # 2023-66</t>
  </si>
  <si>
    <t>Audit Date Range: 8/16-17/2023</t>
  </si>
  <si>
    <t>Standard Operation Procedures-ULID-004161 (DCS:00-CS-S0012); Issue 47.0
Policy-ULID-000094; Issue 1.0</t>
  </si>
  <si>
    <t>SOP-ULID-001015 (DCS:00-QA-S0006); Issue 30.0</t>
  </si>
  <si>
    <t>SOP-ULID-001013 (DCS:00-QA-S0003); Issue 44.2</t>
  </si>
  <si>
    <t>Internal Guidance-ULID-014350; Issue 1.0</t>
  </si>
  <si>
    <t xml:space="preserve">SOP-ULID-001014 (DCS:00-QA-S0004); Issue 24.0 </t>
  </si>
  <si>
    <r>
      <t xml:space="preserve">Policy-ULID-009203; Issue 14.0 
</t>
    </r>
    <r>
      <rPr>
        <sz val="11"/>
        <rFont val="Calibri"/>
        <family val="2"/>
        <scheme val="minor"/>
      </rPr>
      <t>Policy-ULID-000516 (DCS:00-LE-P0001); Issue 7.0</t>
    </r>
  </si>
  <si>
    <t>Policy-ULID-009203; Issue 14.0 
SOP-ULID-000682 (DCS:00-LO-S0408); Issue 6.0
Policy-ULID-000516 (DCS:00-LE-P0001); Issue 7.0</t>
  </si>
  <si>
    <t>ULID-000687 (DCS:00-LO-S0855), Issue #: 19.0, LABORATORY PERSONNEL REQUIREMENTS, 
Form-ULID-000611 (DCS:00-LO-F0861)
Issue #:  3.0, Monitoring
SOP-ULID-000682 (DCS:00-LO-S0408); Issue 6.0</t>
  </si>
  <si>
    <t>see other IQA path, Jeff H</t>
  </si>
  <si>
    <t>SOP-ULID-000090; Issue 1.0
SOP-ULID-000091; Issue 2.0 
Policy-ULID-000094; Issue 1.0
SOP-ULID-004161 (DCS:00-CS-S0012); Issue 47.0</t>
  </si>
  <si>
    <t xml:space="preserve">SOP-ULID-000091; Issue 2.0 </t>
  </si>
  <si>
    <t>United States - Northbrook, Brazil - Porto Alegre</t>
  </si>
  <si>
    <t>US Safety Scheme, Canada Safety Scheme, INMETRO Certification Program</t>
  </si>
  <si>
    <t>AHL - Appliance and HVAC, CMIT - Small Appliance</t>
  </si>
  <si>
    <t xml:space="preserve">Policy-ULID-000520 (DCS:00-LE-P0400); Issue 6.0, Policy-ULID-000434 (DCS:00-IT-P0406); Issue 8.0, Policy-ULID-000516 (DCS:00-LE-P0001); Issue 7.0, Policy-ULID-004350 (DCS:00-FM-P0851); Issue 7.1, SOP-ULID-000207 (DCS:00-HR-S0052); Issue 3.0
Policy-ULID-009203; Issue 14.0 </t>
  </si>
  <si>
    <t>Wagner Madruga</t>
  </si>
  <si>
    <t>Laboratory Manager</t>
  </si>
  <si>
    <t>Jeff Hogston</t>
  </si>
  <si>
    <t xml:space="preserve">Lizete Mendes </t>
  </si>
  <si>
    <t>Lead Quality Engineer/SQR</t>
  </si>
  <si>
    <t>Policy-ULID-009203 , V 4.0, UL Solutions Testing &amp; Calibration Lab Policy, •	Policy-ULID-014435 - UL Solutions Testing Organization and Calibration Organization Policy, V 3.0.  UL PORTO ALEGRE
TESTING LABORATORY COMPLIANCE MANUAL, ULID-009085, V 3.0</t>
  </si>
  <si>
    <t>Liz Mendez</t>
  </si>
  <si>
    <t>new staff:  Adriano Rodolfo, Nathalia Mallez, Burna Silva. Contractors:  Thiago Grass (appliance lab), Danuza Goncalves (sales)</t>
  </si>
  <si>
    <t>saw INMETRO Scope, CRL00377 (08/03/2023) &amp; sharepoint Lab Activity Verification folder for Proto</t>
  </si>
  <si>
    <t>Records Master List (Form-ULID-018063)</t>
  </si>
  <si>
    <t>saw org chart</t>
  </si>
  <si>
    <t>Porto Alegre Manual</t>
  </si>
  <si>
    <t>OFI 1 - Consider to add Testing Organization Record Guidance  Document Number: Internal Guidance-ULID-014350  (which has replaced Internal Guidance-ULID-000618, Testing Organization Record Guidance as now found in UL Solutions Testing Organization and Calibration Organization Policy, Policy-ULID-014435 Issue: 3.0)</t>
  </si>
  <si>
    <t>Form ULID-008935 saw 4 labs for INMETRO</t>
  </si>
  <si>
    <t>Form ULID-008935 saw 6 labs  with INMETRO accreditation</t>
  </si>
  <si>
    <t>this is the only audit</t>
  </si>
  <si>
    <t>Liz Mendez, Marcelo Medeiros (10 yrs, sales AHL), Aline Fraga (7yrs, sales, appliance),; Marjorie Santana (2 yrs sales, Internal Sales, AHL, Lab &amp; cert)</t>
  </si>
  <si>
    <t>saw Test Plan &amp; Quote # 1102388883, Acceptance, (saw decision rule), https://ecm.ul.com/otcs/cs.exe/app/nodes/287142373?tab=1) then Flex project created.  saw Test Plan &amp; Quote # 1102384980 (for Surveillance). saw Test Plan &amp; Quote # 1102387207.</t>
  </si>
  <si>
    <t>saw email request outside the scope, so declined - 8/10/2023</t>
  </si>
  <si>
    <t>Pubill, Raphael (3 yrs); Monteiro, Kristoffer (8 yrs).</t>
  </si>
  <si>
    <t>saw Data server room temp readout on webpage, alerts if too high &amp; when reviewing data.</t>
  </si>
  <si>
    <t xml:space="preserve">all UL solutions, no local - see Porto Alegre manual </t>
  </si>
  <si>
    <t xml:space="preserve">see below &amp; above and other paths - lab uses existing UL systems audited in other audits.  Also  saw server backup for network drives.  Local staff only involed in physical repairs.  </t>
  </si>
  <si>
    <t>Porto Alegre Lab MR Report - 2022-1, dated 2022-12-29</t>
  </si>
  <si>
    <t>No IQA CAR from last year. Saw 233925772 and 233925782 &amp; 223924420 (inmetro CAR).</t>
  </si>
  <si>
    <t>very thorough!</t>
  </si>
  <si>
    <t>annual standards of business conduct via LMS.  - saw 2022 training record for Andre Moura, William Felix, Francisco Pravitz, Gabriela Steffens, Adriano Rodolfo, Nathalia Mallez, Bruna Silva.</t>
  </si>
  <si>
    <t>new staff:  Adriano Rodolfo, Nathalia Mallez, Bruna Silva. Contractors:  Thiago Grass (appliance lab,), Danuza Goncalves (sales)</t>
  </si>
  <si>
    <t>annual standards of business conduct via LMS.  - saw 2022 training record for Andre Moura, William Felix, Francisco Pravitz, Gabriela Steffens, Thiago Grass</t>
  </si>
  <si>
    <t>Liz Mendes, Madruga Wagner</t>
  </si>
  <si>
    <t>new staff:  Adriano Rodolfo, Nathalia Mallez, Bruna Silva. Contractors:  Thiago Grass (appliance lab), Danuza Goncalves (sales).  Saw Form ULID-604, issue 14 for Bruna</t>
  </si>
  <si>
    <t>Jeff to do TCD &amp; Lab training/qual records - I'll do monitoring.   Saw laboratory  Tech job description &amp; Diploma for Rodolfo &amp; Nathalia. Saw LPTPR form Bruna Silva, verified matched current completed Flex (4790923080.3.1 INMETRO 2023 1 Surveillance test).  Saw 2022 monitoring Denian Moraes, CHristian Santos, Leonardo da Sliva.</t>
  </si>
  <si>
    <t>saw completed form ULID-009387, updated Dec, 2022.  Saw also Registro De Ocorrencias for 2023 for improvements</t>
  </si>
  <si>
    <t>Registro De Ocorrencias for 2023 - items 1, 5, 6. Saw CES POA Lab spreadsheet from Customer Advocacy</t>
  </si>
  <si>
    <t>Support Auditor</t>
  </si>
  <si>
    <t>Porto Alegre (remote)</t>
  </si>
  <si>
    <t>Competence Group</t>
  </si>
  <si>
    <t>None</t>
  </si>
  <si>
    <t>Employee Number</t>
  </si>
  <si>
    <t>16488</t>
  </si>
  <si>
    <t>Competence</t>
  </si>
  <si>
    <t>Person Status</t>
  </si>
  <si>
    <t>Competence Level</t>
  </si>
  <si>
    <t>Geo Region</t>
  </si>
  <si>
    <t>Competence Status</t>
  </si>
  <si>
    <t>Historical</t>
  </si>
  <si>
    <t>Country</t>
  </si>
  <si>
    <t>Full Name</t>
  </si>
  <si>
    <t>Location</t>
  </si>
  <si>
    <t>Supervisor Name</t>
  </si>
  <si>
    <t>ALPHA HR ORG</t>
  </si>
  <si>
    <t>Technical Competency Report</t>
  </si>
  <si>
    <t>Person Name</t>
  </si>
  <si>
    <t>User Person Type</t>
  </si>
  <si>
    <t>Level Desc</t>
  </si>
  <si>
    <t>Certification Date</t>
  </si>
  <si>
    <t>Effective Start Date</t>
  </si>
  <si>
    <t>Effective End Date</t>
  </si>
  <si>
    <t>Limitation</t>
  </si>
  <si>
    <t>Attester</t>
  </si>
  <si>
    <t>Competence Description</t>
  </si>
  <si>
    <t>Supervisor Employee Number</t>
  </si>
  <si>
    <t>Record Type</t>
  </si>
  <si>
    <t>Justification</t>
  </si>
  <si>
    <t>Hogston, Roger (Jeff)</t>
  </si>
  <si>
    <t>Employee</t>
  </si>
  <si>
    <t>AHRI</t>
  </si>
  <si>
    <t>AHRI 1200</t>
  </si>
  <si>
    <t>2-Project Handler</t>
  </si>
  <si>
    <t>16858</t>
  </si>
  <si>
    <t>PERFORMANCE RATING OF COMMERCIAL REFRIGERATED DISPLAY MERCHANDISERS AND STORAGE CABINETS</t>
  </si>
  <si>
    <t>Porcillo, Salvatore</t>
  </si>
  <si>
    <t>03653</t>
  </si>
  <si>
    <t>Americas</t>
  </si>
  <si>
    <t>Program manager for AHRI CRM and VFD. Several years of projects.</t>
  </si>
  <si>
    <t>AHRI 1210</t>
  </si>
  <si>
    <t>Performance Rating of Variable Frequency Drives</t>
  </si>
  <si>
    <t>Energy Efficiency</t>
  </si>
  <si>
    <t>AABI</t>
  </si>
  <si>
    <t>06941</t>
  </si>
  <si>
    <t>Energy Efficiency Testing of Refrigeration Equipment</t>
  </si>
  <si>
    <t>Completed customized program developed by mentor based on similarity to ZZLG/ZZLGE</t>
  </si>
  <si>
    <t>ZXIX</t>
  </si>
  <si>
    <t>Refrigerators, Commercial Verified for Energy Efficiency</t>
  </si>
  <si>
    <t>ZZLGE</t>
  </si>
  <si>
    <t>Energy Efficiency Testing of Commercial Refrigerators and Freezers</t>
  </si>
  <si>
    <t>Completed customized program developed by mentor</t>
  </si>
  <si>
    <t>Energy Mark</t>
  </si>
  <si>
    <t>ZZLG</t>
  </si>
  <si>
    <t>Equipment Sanitation</t>
  </si>
  <si>
    <t>TSQT</t>
  </si>
  <si>
    <t>17020</t>
  </si>
  <si>
    <t>Commercial Cooking, Rethermalization And Powered Hot Food Holding And Transport Equipment</t>
  </si>
  <si>
    <t>Completed customized program developed by mentor, Completed Online Training - Commercial Food Equipment Sanitation, NSF Common Ground, NSF/ANSI 4 - as well as projects during previous work experience at UL</t>
  </si>
  <si>
    <t>TSQU</t>
  </si>
  <si>
    <t>Fabricated Food Service Equipment</t>
  </si>
  <si>
    <t>Completed customized program developed by mentor, Completed Online Training - Commercial Food Equipment Sanitation, NSF Common Ground, NSF/ANSI 2 - as well as projects during previous work experience at UL</t>
  </si>
  <si>
    <t>TSQV</t>
  </si>
  <si>
    <t>Commercial Refrigerators And Storage Freezers</t>
  </si>
  <si>
    <t>Completed customized program developed by mentor, Completed Online Training in LMS</t>
  </si>
  <si>
    <t>TSYO</t>
  </si>
  <si>
    <t>Water Heaters, Hot Water Supply Boilers And Heat Recovery Equipment</t>
  </si>
  <si>
    <t>Completed Online Training - Commercial Food Equipment Sanitation, NSF Common Ground, NSF/ANSI 7 - as well as Project 02RT07497 during previous work experience at UL</t>
  </si>
  <si>
    <t>UL Mark</t>
  </si>
  <si>
    <t>BDJS</t>
  </si>
  <si>
    <t>01928</t>
  </si>
  <si>
    <t>Boilers, Electric</t>
  </si>
  <si>
    <t>Working with John Cronin, need to pick up competency.</t>
  </si>
  <si>
    <t>3-Reviewer</t>
  </si>
  <si>
    <t>BDJS7</t>
  </si>
  <si>
    <t>Boilers, Electric Certified For Canada</t>
  </si>
  <si>
    <t>CAP</t>
  </si>
  <si>
    <t>12-Auditor</t>
  </si>
  <si>
    <t>11757</t>
  </si>
  <si>
    <t>Client Agent Program</t>
  </si>
  <si>
    <t>DAPA</t>
  </si>
  <si>
    <t>All Data Acceptance Programs (DAP)</t>
  </si>
  <si>
    <t>FDIT</t>
  </si>
  <si>
    <t>00495</t>
  </si>
  <si>
    <t>Door Panel Assemblies</t>
  </si>
  <si>
    <t>Similarity to SGKW and many other Refrigeration CCNs. Also, former "L2 and L3 status" during UL employment 1992-2003.</t>
  </si>
  <si>
    <t>FDIT7</t>
  </si>
  <si>
    <t>Door Panel Assemblies Certified For Canada</t>
  </si>
  <si>
    <t>KNGT</t>
  </si>
  <si>
    <t>02531</t>
  </si>
  <si>
    <t>Commercial Cooking Appliances</t>
  </si>
  <si>
    <t>KNNS</t>
  </si>
  <si>
    <t>13077</t>
  </si>
  <si>
    <t>Custom-Built Food Service Equipment</t>
  </si>
  <si>
    <t>KNNS is combination of base CCNs SGKW and/or KNGT. I have both of the base L2s.</t>
  </si>
  <si>
    <t>KSBZ</t>
  </si>
  <si>
    <t>Includes KSBZ7, KSBZ2, KSBZ3, KSBZ9</t>
  </si>
  <si>
    <t>1928</t>
  </si>
  <si>
    <t>Commercial Storage Tank And Booster Water Heaters</t>
  </si>
  <si>
    <t>KSBZ7</t>
  </si>
  <si>
    <t>Commercial Storage Tank And Booster Water Heaters Certified For Canada</t>
  </si>
  <si>
    <t>KSDT</t>
  </si>
  <si>
    <t>Includes KSDT7, KSDT2, KSDT3, KSDT9, KSDT8</t>
  </si>
  <si>
    <t>Household Water Heaters, Storage Tank</t>
  </si>
  <si>
    <t>KSDT7</t>
  </si>
  <si>
    <t>Household Water Heaters, Storage Tank Certified For Canada</t>
  </si>
  <si>
    <t>KTJQ</t>
  </si>
  <si>
    <t>Includes KTZQ2, KTJQ7</t>
  </si>
  <si>
    <t>59277</t>
  </si>
  <si>
    <t>Accessories For Burners</t>
  </si>
  <si>
    <t>KTJQ7</t>
  </si>
  <si>
    <t>Accessories For Burners Certified For Canada</t>
  </si>
  <si>
    <t>KVMR</t>
  </si>
  <si>
    <t>Boiler Assemblies With Reduced Emissions</t>
  </si>
  <si>
    <t>Completed customized program developed by mentor based on similarity to previous Gas-Fired and Oil-Fired CCNs</t>
  </si>
  <si>
    <t>10053</t>
  </si>
  <si>
    <t>KVQE</t>
  </si>
  <si>
    <t>Field-Erected Boiler Assemblies</t>
  </si>
  <si>
    <t>KVTR</t>
  </si>
  <si>
    <t>Includes KVTR7</t>
  </si>
  <si>
    <t>Gas-Fired Boiler Assemblies</t>
  </si>
  <si>
    <t>KVTR7</t>
  </si>
  <si>
    <t>Gas-Fired Boiler Assemblies Certified For Canada</t>
  </si>
  <si>
    <t>KVUY</t>
  </si>
  <si>
    <t>Includes KVUY7</t>
  </si>
  <si>
    <t>Gas-Fired Low-Pressure Steam And Hot Water Boilers</t>
  </si>
  <si>
    <t>KVUY7</t>
  </si>
  <si>
    <t>Gas-Fired Low-Pressure Steam And Hot Water Boilers Certified For Canada</t>
  </si>
  <si>
    <t>KWGZ</t>
  </si>
  <si>
    <t>Include KWGZ7</t>
  </si>
  <si>
    <t>Gas-Oil-Fired Boiler Assemblies</t>
  </si>
  <si>
    <t>KWGZ7</t>
  </si>
  <si>
    <t>Gas-Oil-Fired Boiler Assemblies Certified For Canada</t>
  </si>
  <si>
    <t>KWUX</t>
  </si>
  <si>
    <t>includes KWUX7, KWUX3</t>
  </si>
  <si>
    <t>Oil-Fired Boiler Assemblies</t>
  </si>
  <si>
    <t>KWUX7</t>
  </si>
  <si>
    <t>Oil-Fired Boiler Assemblies Certified For Canada</t>
  </si>
  <si>
    <t>KXBW</t>
  </si>
  <si>
    <t>Solid Fuel-Fired Boiler Assemblies</t>
  </si>
  <si>
    <t>KXBW7</t>
  </si>
  <si>
    <t>Solid Fuel-Fired Boiler Assemblies Certified For Canada</t>
  </si>
  <si>
    <t>KXDA</t>
  </si>
  <si>
    <t>Unitary Boiler Room Systems</t>
  </si>
  <si>
    <t>Based on previous competencies using UL 726 and/or UL 795 (KWGZ, KWUX, KVTR, etc.)</t>
  </si>
  <si>
    <t>KXPU</t>
  </si>
  <si>
    <t>Burner Assemblies With Reduced Emissions</t>
  </si>
  <si>
    <t>KXSB</t>
  </si>
  <si>
    <t>Includes KXSB7</t>
  </si>
  <si>
    <t>Domestic Gas Conversion Burners</t>
  </si>
  <si>
    <t>KXSB7</t>
  </si>
  <si>
    <t>Domestic Gas Conversion Burners Certified For Canada</t>
  </si>
  <si>
    <t>KXWT</t>
  </si>
  <si>
    <t>Commercial/Industrial Gas Burners</t>
  </si>
  <si>
    <t>KXWT7</t>
  </si>
  <si>
    <t>Commercial/Industrial Gas Burners Certified For Canada</t>
  </si>
  <si>
    <t>KYKR</t>
  </si>
  <si>
    <t>None.</t>
  </si>
  <si>
    <t>Gas-Oil Burners</t>
  </si>
  <si>
    <t>KYKR7</t>
  </si>
  <si>
    <t>Gas-Oil Burners Certified For Canada</t>
  </si>
  <si>
    <t>KYXZ</t>
  </si>
  <si>
    <t>Oil Burners</t>
  </si>
  <si>
    <t>KYXZ7</t>
  </si>
  <si>
    <t>Oil Burners Certified For Canada</t>
  </si>
  <si>
    <t>KZZV</t>
  </si>
  <si>
    <t>Gas-Fired Central Furnaces</t>
  </si>
  <si>
    <t>Completed customized program developed by mentor based on similarity to previous Gas-Fired CCNs</t>
  </si>
  <si>
    <t>KZZV7</t>
  </si>
  <si>
    <t>Gas-Fired Central Furnaces Certified For Canada</t>
  </si>
  <si>
    <t>LANT</t>
  </si>
  <si>
    <t>Gas-Oil-Fired Central Furnaces</t>
  </si>
  <si>
    <t>LANT7</t>
  </si>
  <si>
    <t>Gas-Oil-Fired Central Furnaces Certified For Canada</t>
  </si>
  <si>
    <t>LBBR</t>
  </si>
  <si>
    <t>Oil-Fired Central Furnaces</t>
  </si>
  <si>
    <t>Completed customized program developed by mentor based on similarity to previous Oil-Fired CCNs</t>
  </si>
  <si>
    <t>LBBR7</t>
  </si>
  <si>
    <t>Oil-Fired Central Furnaces Certified For Canada</t>
  </si>
  <si>
    <t>LBEV</t>
  </si>
  <si>
    <t>Solid Fuel Combination Central Furnaces</t>
  </si>
  <si>
    <t>LBEV7</t>
  </si>
  <si>
    <t>Solid Fuel Combination Central Furnaces Certified For Canada</t>
  </si>
  <si>
    <t>LCGL</t>
  </si>
  <si>
    <t>09496</t>
  </si>
  <si>
    <t>Cooking Appliances, Gas Fired, Outdoor</t>
  </si>
  <si>
    <t>Based on similarity to LIBN</t>
  </si>
  <si>
    <t>LCGL7</t>
  </si>
  <si>
    <t>Cooking Appliances, Gas Fired, Outdoor Certified For Canada</t>
  </si>
  <si>
    <t>Based on similarity to LIBN7</t>
  </si>
  <si>
    <t>LCGQ</t>
  </si>
  <si>
    <t>Cooking Appliances, Gas Fired, Outdoor, Specialty</t>
  </si>
  <si>
    <t>LCGQ7</t>
  </si>
  <si>
    <t>Cooking Appliances, Gas Fired, Outdoor, Specialty Certified For Canada</t>
  </si>
  <si>
    <t>LDET</t>
  </si>
  <si>
    <t>Gas-Burning Direct-Fired Industrial Heaters</t>
  </si>
  <si>
    <t>LDET7</t>
  </si>
  <si>
    <t>Gas-Burning Direct-Fired Industrial Heaters Certified For Canada</t>
  </si>
  <si>
    <t>LDSR</t>
  </si>
  <si>
    <t>Oil-Burning Direct-Fired Industrial Heaters</t>
  </si>
  <si>
    <t>LDSR7</t>
  </si>
  <si>
    <t>Oil-burning Air Heaters and Direct-fired Industrial Heaters Certified for Canada</t>
  </si>
  <si>
    <t>LGNH</t>
  </si>
  <si>
    <t>Gas-Fired Construction Heaters</t>
  </si>
  <si>
    <t>LGNH7</t>
  </si>
  <si>
    <t>Gas-Fired Construction Heaters Certified For Canada</t>
  </si>
  <si>
    <t>LGQX</t>
  </si>
  <si>
    <t>13806</t>
  </si>
  <si>
    <t>Gas-fired Food Service Equipment and Gas-fired Equipment for Food Processing</t>
  </si>
  <si>
    <t>LHVR</t>
  </si>
  <si>
    <t>Gas-Fired And Gas-To-Oil-Fired Mobile Home And Recreational Vehicle Space-Heating Appliances</t>
  </si>
  <si>
    <t>Competence Definition is Invalidated</t>
  </si>
  <si>
    <t>LHYV</t>
  </si>
  <si>
    <t>Includes LHYV7.</t>
  </si>
  <si>
    <t>Gas-Fired Mobile Home And Recreational Vehicle Water Heaters</t>
  </si>
  <si>
    <t>LHYV7</t>
  </si>
  <si>
    <t>Gas-Fired Mobile Home Andrecreational Vehicle Water Heaters Certified For Canada</t>
  </si>
  <si>
    <t>LIBN</t>
  </si>
  <si>
    <t>Covers LIBN/LIBN7</t>
  </si>
  <si>
    <t>Gas-Fired Recreational Vehicle Cooking Appliances</t>
  </si>
  <si>
    <t>LIBN7</t>
  </si>
  <si>
    <t>Gas-Fired Recreational Vehicle Cooking Appliances Certified For Canada</t>
  </si>
  <si>
    <t>LICI</t>
  </si>
  <si>
    <t>Gas-Fired Toilets</t>
  </si>
  <si>
    <t>LICI7</t>
  </si>
  <si>
    <t>Gas-Fired Toilets Certified For Canada</t>
  </si>
  <si>
    <t>LSEV</t>
  </si>
  <si>
    <t>95659</t>
  </si>
  <si>
    <t>Gas-Fired Swimming Pool And Spa Heaters</t>
  </si>
  <si>
    <t>based on similarity to LUVB/LUVK</t>
  </si>
  <si>
    <t>LTCT</t>
  </si>
  <si>
    <t>Gas-Fired Unit Heaters</t>
  </si>
  <si>
    <t>LTCT7</t>
  </si>
  <si>
    <t>Gas-Fired Unit Heaters Certified For Canada</t>
  </si>
  <si>
    <t>LUDZ</t>
  </si>
  <si>
    <t>Oil-Fired Unit Heaters</t>
  </si>
  <si>
    <t>LUQH</t>
  </si>
  <si>
    <t>Waste Oil Burning Appliances</t>
  </si>
  <si>
    <t>LUQH7</t>
  </si>
  <si>
    <t>Waste-Oil-Burning Appliances Certified For Canada</t>
  </si>
  <si>
    <t>LUVB</t>
  </si>
  <si>
    <t>Gas-Fired Storage Water Heaters With Input Ratings Of 75,000 Btu Per Hour Or Less</t>
  </si>
  <si>
    <t>Based upon similarity to KVUY / ANSI Z21.13/CSA 4.9</t>
  </si>
  <si>
    <t>LUVB7</t>
  </si>
  <si>
    <t>Gas-Fired Storage Water Heaters With Input Ratings Of 75,000 Btu Per Hour Or Less Certified For Canada</t>
  </si>
  <si>
    <t>LUVK</t>
  </si>
  <si>
    <t>Gas-Fired Storage Water Heaters With Input Ratings Above 75,000 Btu Per Hour, Circulating And Instantaneous</t>
  </si>
  <si>
    <t>LUVK7</t>
  </si>
  <si>
    <t>Gas-Fired Storage Water Heaters With Input Ratings Above 75,000 Btu Per Hour, Circulating And Instantaneous Certified For Canada</t>
  </si>
  <si>
    <t>LUYW</t>
  </si>
  <si>
    <t>Gas-Fired Water Heaters, Commercial-Industrial</t>
  </si>
  <si>
    <t>LVCQ</t>
  </si>
  <si>
    <t>Gas-Oil-Fired Water Heaters</t>
  </si>
  <si>
    <t>LVFV</t>
  </si>
  <si>
    <t>Oil-Fired Water Heaters</t>
  </si>
  <si>
    <t>LVFV7</t>
  </si>
  <si>
    <t>Oil-Fired Water Heaters Certified For Canada</t>
  </si>
  <si>
    <t>LVHC</t>
  </si>
  <si>
    <t>Kerosene-Fired Water Heaters</t>
  </si>
  <si>
    <t>LVTT</t>
  </si>
  <si>
    <t>Specialty Heating Appliances</t>
  </si>
  <si>
    <t>Based on previous competencies with other CCNs using UL 795</t>
  </si>
  <si>
    <t>LVTT7</t>
  </si>
  <si>
    <t>CSA/CAN1-3.1 only</t>
  </si>
  <si>
    <t>Specialty Heating Appliances Certified For Canada</t>
  </si>
  <si>
    <t>LZFE</t>
  </si>
  <si>
    <t>Heating And Cooling Equipment</t>
  </si>
  <si>
    <t>Heat Pump Water Heaters</t>
  </si>
  <si>
    <t>00385</t>
  </si>
  <si>
    <t>LZFE7</t>
  </si>
  <si>
    <t>Heating And Cooling Equipment Certified For Canada</t>
  </si>
  <si>
    <t>LZGH2</t>
  </si>
  <si>
    <t>18261</t>
  </si>
  <si>
    <t>Flame Arrest-protected Components for Use in Refrigeration and Air-conditioning Equipment Employing A2L Refrigerants</t>
  </si>
  <si>
    <t>LZGH8</t>
  </si>
  <si>
    <t>Flame Arrest-protected Components for Use in Refrigeration and Air-conditioning Equipment Employing A2L Refrigerants Certified for Canada - Component</t>
  </si>
  <si>
    <t>LZPK</t>
  </si>
  <si>
    <t>Heating and Cooling Equipment Retrofit Assemblies Classified for Use with Other Manufacturers' Equipment</t>
  </si>
  <si>
    <t>based on similarity to LZFE</t>
  </si>
  <si>
    <t>LZPK7</t>
  </si>
  <si>
    <t>Heating and Cooling Equipment Retrofit Assemblies Classified for Use with Other Manufacturers' Equipment Certified for Canada</t>
  </si>
  <si>
    <t>MCUR2</t>
  </si>
  <si>
    <t>Qualification includes MCUR8 as well.</t>
  </si>
  <si>
    <t>Electrode Assemblies - Component</t>
  </si>
  <si>
    <t>MCUR8</t>
  </si>
  <si>
    <t>Electrode Assemblies Certified For Canada - Component</t>
  </si>
  <si>
    <t>MJAT</t>
  </si>
  <si>
    <t>Specialty Heating And Heating-Cooling Appliance Accessories</t>
  </si>
  <si>
    <t>MJAT7</t>
  </si>
  <si>
    <t>Specialty Heating And Heating-Cooling Appliance Accessories Certified For Canada</t>
  </si>
  <si>
    <t>NEGT</t>
  </si>
  <si>
    <t>Incinerators, Special Type</t>
  </si>
  <si>
    <t>NEGT7</t>
  </si>
  <si>
    <t>Incinerators, Special Type Certified for Canada</t>
  </si>
  <si>
    <t>SAAH</t>
  </si>
  <si>
    <t>Excludes UL 1500</t>
  </si>
  <si>
    <t>Ice Makers, Marine</t>
  </si>
  <si>
    <t>SEYW</t>
  </si>
  <si>
    <t>16652</t>
  </si>
  <si>
    <t>Liquid Indicators, Refrigerant</t>
  </si>
  <si>
    <t>SFJQ</t>
  </si>
  <si>
    <t>Valves, Refrigerant</t>
  </si>
  <si>
    <t>SFWY</t>
  </si>
  <si>
    <t>Beverage Coolers And Beverage Cooler-Dispensers</t>
  </si>
  <si>
    <t>SGKW</t>
  </si>
  <si>
    <t>Commercial Refrigerators And Freezers</t>
  </si>
  <si>
    <t>SHMR</t>
  </si>
  <si>
    <t>10877</t>
  </si>
  <si>
    <t>Household Freezers</t>
  </si>
  <si>
    <t>Based on similarity to SGKW</t>
  </si>
  <si>
    <t>SHMR7</t>
  </si>
  <si>
    <t>Household Freezers Certified For Canada</t>
  </si>
  <si>
    <t>SHZZ</t>
  </si>
  <si>
    <t>Household Refrigerators</t>
  </si>
  <si>
    <t>SHZZ7</t>
  </si>
  <si>
    <t>Household Refrigerators Certified For Canada</t>
  </si>
  <si>
    <t>SINX</t>
  </si>
  <si>
    <t>Ice Cream Makers</t>
  </si>
  <si>
    <t>SJBV</t>
  </si>
  <si>
    <t>Ice Makers</t>
  </si>
  <si>
    <t>SKXY</t>
  </si>
  <si>
    <t>Accumulators, Refrigerant</t>
  </si>
  <si>
    <t>SLSV</t>
  </si>
  <si>
    <t>Condensers, Refrigerant</t>
  </si>
  <si>
    <t>SMGT</t>
  </si>
  <si>
    <t>Driers, Filters And Strainers, Refrigerant</t>
  </si>
  <si>
    <t>SMUR</t>
  </si>
  <si>
    <t>Evaporators, Refrigerant</t>
  </si>
  <si>
    <t>SNHZ</t>
  </si>
  <si>
    <t>Heat Exchangers, Refrigerant</t>
  </si>
  <si>
    <t>SNOY</t>
  </si>
  <si>
    <t>Mufflers, Refrigerant</t>
  </si>
  <si>
    <t>SNVX</t>
  </si>
  <si>
    <t>Oil Separators, Refrigerant</t>
  </si>
  <si>
    <t>SOJV</t>
  </si>
  <si>
    <t>Receivers, Refrigerant</t>
  </si>
  <si>
    <t>SPLR</t>
  </si>
  <si>
    <t>Unit Coolers</t>
  </si>
  <si>
    <t>SPYZ</t>
  </si>
  <si>
    <t>Units, Refrigerating</t>
  </si>
  <si>
    <t>SQMX</t>
  </si>
  <si>
    <t>Vending Machines, Refrigerated</t>
  </si>
  <si>
    <t>SQTV</t>
  </si>
  <si>
    <t>Walk-In Units, Commercial</t>
  </si>
  <si>
    <t>SROT</t>
  </si>
  <si>
    <t>Specialty Refrigeration Equipment</t>
  </si>
  <si>
    <t>UZWT</t>
  </si>
  <si>
    <t>Energy Transfer Units, Solar</t>
  </si>
  <si>
    <t>Completed customized program developed by mentor based on similarity to previous CCNs UZWW and UZWZ</t>
  </si>
  <si>
    <t>UZWW</t>
  </si>
  <si>
    <t>Thermal Storage Units, Solar</t>
  </si>
  <si>
    <t>UZWZ</t>
  </si>
  <si>
    <t>Water Heaters, Solar</t>
  </si>
  <si>
    <t>UZWZ7</t>
  </si>
  <si>
    <t>Domestic Water Heaters, Solar Certified for Canada</t>
  </si>
  <si>
    <t>YWXV</t>
  </si>
  <si>
    <t>Vending Machines</t>
  </si>
  <si>
    <t>ULC Mark</t>
  </si>
  <si>
    <t>KXBWC</t>
  </si>
  <si>
    <t>LBBRC</t>
  </si>
  <si>
    <t>Oil-Fired Central Furnaces - Unlisted Component</t>
  </si>
  <si>
    <t>LDETC</t>
  </si>
  <si>
    <t>Gas-Burning, Direct-Fired Heaters</t>
  </si>
  <si>
    <t>Rows 1 - 176 (All Rows)</t>
  </si>
  <si>
    <t>Low</t>
  </si>
  <si>
    <t>High</t>
  </si>
  <si>
    <t>Porto Alegre</t>
  </si>
  <si>
    <t>see 2023-66-JH2</t>
  </si>
  <si>
    <t>see 2023-66-KB1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</si>
</sst>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yy"/>
  </numFmts>
  <fonts count="20" x14ac:knownFonts="1">
    <font>
      <sz val="11"/>
      <color theme="1"/>
      <name val="Calibri"/>
      <family val="2"/>
      <scheme val="minor"/>
    </font>
    <font>
      <b/>
      <sz val="11"/>
      <color rgb="FFFF0000"/>
      <name val="Calibri"/>
      <family val="2"/>
      <scheme val="minor"/>
    </font>
    <font>
      <sz val="12"/>
      <color theme="1"/>
      <name val="Calibri"/>
      <family val="2"/>
      <scheme val="minor"/>
    </font>
    <font>
      <sz val="11"/>
      <color rgb="FFC00000"/>
      <name val="Calibri"/>
      <family val="2"/>
      <scheme val="minor"/>
    </font>
    <font>
      <sz val="9"/>
      <color theme="1"/>
      <name val="Calibri"/>
      <family val="2"/>
      <scheme val="minor"/>
    </font>
    <font>
      <sz val="11"/>
      <color rgb="FFFF0000"/>
      <name val="Calibri"/>
      <family val="2"/>
      <scheme val="minor"/>
    </font>
    <font>
      <sz val="11"/>
      <name val="Calibri"/>
      <family val="2"/>
      <scheme val="minor"/>
    </font>
    <font>
      <b/>
      <sz val="11"/>
      <name val="Calibri"/>
      <family val="2"/>
      <scheme val="minor"/>
    </font>
    <font>
      <sz val="11"/>
      <color rgb="FF000000"/>
      <name val="Calibri"/>
      <family val="2"/>
    </font>
    <font>
      <sz val="11"/>
      <color rgb="FFFF0000"/>
      <name val="Calibri"/>
      <family val="2"/>
    </font>
    <font>
      <b/>
      <sz val="11"/>
      <color theme="1"/>
      <name val="Calibri"/>
      <family val="2"/>
      <scheme val="minor"/>
    </font>
    <font>
      <sz val="8"/>
      <name val="Calibri"/>
      <family val="2"/>
      <scheme val="minor"/>
    </font>
    <font>
      <b/>
      <sz val="11"/>
      <color theme="0"/>
      <name val="Calibri"/>
      <family val="2"/>
      <scheme val="minor"/>
    </font>
    <font>
      <sz val="18"/>
      <color theme="1"/>
      <name val="Calibri"/>
      <family val="2"/>
      <scheme val="minor"/>
    </font>
    <font>
      <sz val="11"/>
      <color theme="1"/>
      <name val="Calibri"/>
      <family val="2"/>
    </font>
    <font>
      <b/>
      <sz val="10"/>
      <color theme="1"/>
      <name val="Helvetica"/>
    </font>
    <font>
      <sz val="10"/>
      <color theme="1"/>
      <name val="Helvetica"/>
    </font>
    <font>
      <b/>
      <sz val="10"/>
      <color theme="1"/>
      <name val="Calibri"/>
      <family val="2"/>
    </font>
    <font>
      <sz val="8"/>
      <color theme="1"/>
      <name val="Calibri"/>
      <family val="2"/>
    </font>
    <font>
      <sz val="6"/>
      <color theme="1"/>
      <name val="Calibri"/>
      <family val="2"/>
    </font>
  </fonts>
  <fills count="23">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8CBAD"/>
        <bgColor indexed="64"/>
      </patternFill>
    </fill>
    <fill>
      <patternFill patternType="solid">
        <fgColor rgb="FFA9D08E"/>
        <bgColor indexed="64"/>
      </patternFill>
    </fill>
    <fill>
      <patternFill patternType="solid">
        <fgColor rgb="FFD9D9D9"/>
        <bgColor indexed="64"/>
      </patternFill>
    </fill>
    <fill>
      <patternFill patternType="solid">
        <fgColor theme="5"/>
        <bgColor indexed="64"/>
      </patternFill>
    </fill>
    <fill>
      <patternFill patternType="solid">
        <fgColor rgb="FF00B0F0"/>
        <bgColor indexed="64"/>
      </patternFill>
    </fill>
    <fill>
      <patternFill patternType="solid">
        <fgColor theme="2" tint="-9.9978637043366805E-2"/>
        <bgColor indexed="64"/>
      </patternFill>
    </fill>
    <fill>
      <patternFill patternType="solid">
        <fgColor theme="8"/>
        <bgColor theme="8"/>
      </patternFill>
    </fill>
    <fill>
      <patternFill patternType="solid">
        <fgColor theme="9"/>
        <bgColor indexed="64"/>
      </patternFill>
    </fill>
    <fill>
      <patternFill patternType="solid">
        <fgColor theme="7"/>
        <bgColor indexed="64"/>
      </patternFill>
    </fill>
    <fill>
      <patternFill patternType="solid">
        <fgColor theme="8" tint="0.79998168889431442"/>
        <bgColor theme="8" tint="0.79998168889431442"/>
      </patternFill>
    </fill>
    <fill>
      <patternFill patternType="solid">
        <fgColor rgb="FFF0F4FA"/>
      </patternFill>
    </fill>
    <fill>
      <patternFill patternType="solid">
        <fgColor rgb="FFE7F2E6"/>
      </patternFill>
    </fill>
    <fill>
      <patternFill patternType="solid">
        <fgColor rgb="FFFFFFFF"/>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theme="8" tint="0.39997558519241921"/>
      </left>
      <right/>
      <top style="thin">
        <color theme="8" tint="0.39997558519241921"/>
      </top>
      <bottom style="thin">
        <color theme="8" tint="0.39997558519241921"/>
      </bottom>
      <diagonal/>
    </border>
    <border>
      <left/>
      <right/>
      <top style="thin">
        <color theme="8" tint="0.39997558519241921"/>
      </top>
      <bottom style="thin">
        <color theme="8" tint="0.39997558519241921"/>
      </bottom>
      <diagonal/>
    </border>
    <border>
      <left/>
      <right style="thin">
        <color theme="8" tint="0.39997558519241921"/>
      </right>
      <top style="thin">
        <color theme="8" tint="0.39997558519241921"/>
      </top>
      <bottom style="thin">
        <color theme="8" tint="0.39997558519241921"/>
      </bottom>
      <diagonal/>
    </border>
    <border>
      <left style="thin">
        <color rgb="FF979991"/>
      </left>
      <right/>
      <top style="thin">
        <color rgb="FF979991"/>
      </top>
      <bottom/>
      <diagonal/>
    </border>
    <border>
      <left style="thin">
        <color rgb="FF979991"/>
      </left>
      <right style="thin">
        <color rgb="FF979991"/>
      </right>
      <top style="thin">
        <color rgb="FF979991"/>
      </top>
      <bottom/>
      <diagonal/>
    </border>
    <border>
      <left style="thin">
        <color rgb="FF979991"/>
      </left>
      <right/>
      <top style="thin">
        <color rgb="FF979991"/>
      </top>
      <bottom style="thin">
        <color rgb="FF979991"/>
      </bottom>
      <diagonal/>
    </border>
    <border>
      <left style="thin">
        <color rgb="FF979991"/>
      </left>
      <right style="thin">
        <color rgb="FF979991"/>
      </right>
      <top style="thin">
        <color rgb="FF979991"/>
      </top>
      <bottom style="thin">
        <color rgb="FF979991"/>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4" fillId="0" borderId="0"/>
  </cellStyleXfs>
  <cellXfs count="79">
    <xf numFmtId="0" fontId="0" fillId="0" borderId="0" xfId="0"/>
    <xf numFmtId="0" fontId="0" fillId="2" borderId="1" xfId="0" applyFill="1" applyBorder="1" applyAlignment="1">
      <alignment wrapText="1"/>
    </xf>
    <xf numFmtId="0" fontId="2" fillId="4" borderId="1" xfId="0" applyFont="1" applyFill="1" applyBorder="1" applyAlignment="1">
      <alignment horizontal="left" vertical="center" wrapText="1"/>
    </xf>
    <xf numFmtId="0" fontId="0" fillId="0" borderId="0" xfId="0" applyAlignment="1">
      <alignment wrapText="1"/>
    </xf>
    <xf numFmtId="0" fontId="0" fillId="5" borderId="0" xfId="0" applyFill="1" applyAlignment="1">
      <alignment wrapText="1"/>
    </xf>
    <xf numFmtId="0" fontId="1" fillId="3" borderId="1" xfId="0" applyFont="1" applyFill="1" applyBorder="1" applyAlignment="1">
      <alignment horizontal="center" wrapText="1"/>
    </xf>
    <xf numFmtId="49" fontId="0" fillId="0" borderId="0" xfId="0" applyNumberFormat="1" applyAlignment="1">
      <alignment wrapText="1"/>
    </xf>
    <xf numFmtId="49" fontId="0" fillId="0" borderId="0" xfId="0" applyNumberFormat="1" applyAlignment="1">
      <alignment vertical="top" wrapText="1"/>
    </xf>
    <xf numFmtId="49" fontId="0" fillId="0" borderId="0" xfId="0" applyNumberFormat="1"/>
    <xf numFmtId="0" fontId="0" fillId="0" borderId="0" xfId="0" applyAlignment="1">
      <alignment horizontal="left" vertical="top" wrapText="1"/>
    </xf>
    <xf numFmtId="0" fontId="0" fillId="0" borderId="0" xfId="0" applyAlignment="1">
      <alignment horizontal="left" vertical="top"/>
    </xf>
    <xf numFmtId="0" fontId="0" fillId="5" borderId="0" xfId="0" applyFill="1" applyAlignment="1">
      <alignment horizontal="left" wrapText="1"/>
    </xf>
    <xf numFmtId="0" fontId="0" fillId="6" borderId="0" xfId="0" applyFill="1"/>
    <xf numFmtId="0" fontId="7" fillId="7" borderId="0" xfId="0" applyFont="1" applyFill="1"/>
    <xf numFmtId="0" fontId="7" fillId="3" borderId="0" xfId="0" applyFont="1" applyFill="1"/>
    <xf numFmtId="0" fontId="7" fillId="8" borderId="0" xfId="0" applyFont="1" applyFill="1"/>
    <xf numFmtId="0" fontId="7" fillId="9" borderId="0" xfId="0" applyFont="1" applyFill="1"/>
    <xf numFmtId="0" fontId="0" fillId="0" borderId="0" xfId="0" applyAlignment="1">
      <alignment vertical="center" wrapText="1"/>
    </xf>
    <xf numFmtId="0" fontId="0" fillId="0" borderId="1" xfId="0" applyBorder="1" applyAlignment="1">
      <alignment wrapText="1"/>
    </xf>
    <xf numFmtId="0" fontId="8" fillId="3" borderId="0" xfId="0" applyFont="1" applyFill="1" applyAlignment="1">
      <alignment vertical="center"/>
    </xf>
    <xf numFmtId="0" fontId="8" fillId="10" borderId="0" xfId="0" applyFont="1" applyFill="1" applyAlignment="1">
      <alignment vertical="center"/>
    </xf>
    <xf numFmtId="0" fontId="9" fillId="10" borderId="0" xfId="0" applyFont="1" applyFill="1" applyAlignment="1">
      <alignment vertical="center"/>
    </xf>
    <xf numFmtId="0" fontId="9" fillId="11" borderId="0" xfId="0" applyFont="1" applyFill="1" applyAlignment="1">
      <alignment vertical="center"/>
    </xf>
    <xf numFmtId="0" fontId="8" fillId="12" borderId="0" xfId="0" applyFont="1" applyFill="1" applyAlignment="1">
      <alignment vertical="center"/>
    </xf>
    <xf numFmtId="0" fontId="9" fillId="12" borderId="0" xfId="0" applyFont="1" applyFill="1" applyAlignment="1">
      <alignment vertical="center"/>
    </xf>
    <xf numFmtId="0" fontId="0" fillId="4" borderId="0" xfId="0" applyFill="1" applyAlignment="1">
      <alignment vertical="center" wrapText="1"/>
    </xf>
    <xf numFmtId="0" fontId="0" fillId="14" borderId="0" xfId="0" applyFill="1" applyAlignment="1">
      <alignment vertical="center" wrapText="1"/>
    </xf>
    <xf numFmtId="0" fontId="0" fillId="15" borderId="0" xfId="0" applyFill="1" applyAlignment="1">
      <alignment vertical="center" wrapText="1"/>
    </xf>
    <xf numFmtId="0" fontId="0" fillId="13" borderId="0" xfId="0" applyFill="1" applyAlignment="1">
      <alignment vertical="center" wrapText="1"/>
    </xf>
    <xf numFmtId="0" fontId="10" fillId="0" borderId="1" xfId="0" applyFont="1" applyBorder="1"/>
    <xf numFmtId="0" fontId="10" fillId="0" borderId="0" xfId="0" applyFont="1"/>
    <xf numFmtId="0" fontId="0" fillId="13" borderId="0" xfId="0" applyFill="1"/>
    <xf numFmtId="0" fontId="0" fillId="14" borderId="0" xfId="0" applyFill="1"/>
    <xf numFmtId="0" fontId="0" fillId="3" borderId="1" xfId="0" applyFill="1" applyBorder="1" applyAlignment="1">
      <alignment wrapText="1"/>
    </xf>
    <xf numFmtId="0" fontId="0" fillId="2" borderId="1" xfId="0" applyFill="1" applyBorder="1"/>
    <xf numFmtId="0" fontId="0" fillId="0" borderId="0" xfId="0" applyAlignment="1">
      <alignment horizontal="center"/>
    </xf>
    <xf numFmtId="15" fontId="0" fillId="0" borderId="0" xfId="0" applyNumberFormat="1" applyAlignment="1">
      <alignment horizontal="center"/>
    </xf>
    <xf numFmtId="0" fontId="5" fillId="0" borderId="0" xfId="0" applyFont="1"/>
    <xf numFmtId="14" fontId="0" fillId="0" borderId="0" xfId="0" applyNumberFormat="1"/>
    <xf numFmtId="0" fontId="12" fillId="16" borderId="2" xfId="0" applyFont="1" applyFill="1" applyBorder="1"/>
    <xf numFmtId="0" fontId="12" fillId="16" borderId="3" xfId="0" applyFont="1" applyFill="1" applyBorder="1"/>
    <xf numFmtId="0" fontId="1" fillId="16" borderId="3" xfId="0" applyFont="1" applyFill="1" applyBorder="1"/>
    <xf numFmtId="0" fontId="12" fillId="16" borderId="3" xfId="0" applyFont="1" applyFill="1" applyBorder="1" applyAlignment="1">
      <alignment wrapText="1"/>
    </xf>
    <xf numFmtId="0" fontId="12" fillId="13" borderId="3" xfId="0" applyFont="1" applyFill="1" applyBorder="1" applyAlignment="1">
      <alignment wrapText="1"/>
    </xf>
    <xf numFmtId="0" fontId="12" fillId="17" borderId="3" xfId="0" applyFont="1" applyFill="1" applyBorder="1" applyAlignment="1">
      <alignment wrapText="1"/>
    </xf>
    <xf numFmtId="0" fontId="12" fillId="18" borderId="3" xfId="0" applyFont="1" applyFill="1" applyBorder="1"/>
    <xf numFmtId="0" fontId="12" fillId="16" borderId="4" xfId="0" applyFont="1" applyFill="1" applyBorder="1"/>
    <xf numFmtId="0" fontId="0" fillId="0" borderId="0" xfId="0" quotePrefix="1" applyAlignment="1">
      <alignment wrapText="1"/>
    </xf>
    <xf numFmtId="0" fontId="0" fillId="0" borderId="0" xfId="0" quotePrefix="1"/>
    <xf numFmtId="0" fontId="0" fillId="2" borderId="1" xfId="0" applyFill="1" applyBorder="1" applyAlignment="1">
      <alignment horizontal="center" wrapText="1"/>
    </xf>
    <xf numFmtId="0" fontId="6" fillId="2" borderId="1" xfId="0" applyFont="1" applyFill="1" applyBorder="1" applyAlignment="1">
      <alignment wrapText="1"/>
    </xf>
    <xf numFmtId="0" fontId="0" fillId="0" borderId="1" xfId="0" applyBorder="1" applyAlignment="1">
      <alignment horizontal="center" wrapText="1"/>
    </xf>
    <xf numFmtId="0" fontId="0" fillId="0" borderId="1" xfId="0" applyBorder="1" applyAlignment="1">
      <alignment vertical="top" wrapText="1"/>
    </xf>
    <xf numFmtId="0" fontId="6" fillId="0" borderId="1" xfId="0" applyFont="1" applyBorder="1" applyAlignment="1">
      <alignment vertical="center" wrapText="1"/>
    </xf>
    <xf numFmtId="0" fontId="1" fillId="3" borderId="1" xfId="0" applyFont="1" applyFill="1" applyBorder="1" applyAlignment="1">
      <alignment horizontal="center"/>
    </xf>
    <xf numFmtId="0" fontId="0" fillId="3" borderId="1" xfId="0" applyFill="1" applyBorder="1"/>
    <xf numFmtId="0" fontId="0" fillId="3" borderId="1" xfId="0" applyFill="1" applyBorder="1" applyAlignment="1">
      <alignment horizontal="center" wrapText="1"/>
    </xf>
    <xf numFmtId="0" fontId="15" fillId="0" borderId="0" xfId="1" applyFont="1" applyAlignment="1">
      <alignment horizontal="left" vertical="top" wrapText="1"/>
    </xf>
    <xf numFmtId="0" fontId="16" fillId="0" borderId="0" xfId="1" applyFont="1" applyAlignment="1">
      <alignment horizontal="left" vertical="top" wrapText="1"/>
    </xf>
    <xf numFmtId="0" fontId="14" fillId="0" borderId="0" xfId="1"/>
    <xf numFmtId="0" fontId="17" fillId="0" borderId="0" xfId="1" applyFont="1" applyAlignment="1">
      <alignment horizontal="left" vertical="top" wrapText="1"/>
    </xf>
    <xf numFmtId="0" fontId="18" fillId="20" borderId="5" xfId="1" applyFont="1" applyFill="1" applyBorder="1" applyAlignment="1">
      <alignment horizontal="left" vertical="top" wrapText="1"/>
    </xf>
    <xf numFmtId="0" fontId="18" fillId="20" borderId="6" xfId="1" applyFont="1" applyFill="1" applyBorder="1" applyAlignment="1">
      <alignment horizontal="left" vertical="top" wrapText="1"/>
    </xf>
    <xf numFmtId="0" fontId="18" fillId="21" borderId="7" xfId="1" applyFont="1" applyFill="1" applyBorder="1" applyAlignment="1">
      <alignment horizontal="left" vertical="top" wrapText="1"/>
    </xf>
    <xf numFmtId="164" fontId="18" fillId="21" borderId="7" xfId="1" applyNumberFormat="1" applyFont="1" applyFill="1" applyBorder="1" applyAlignment="1">
      <alignment horizontal="left" vertical="top" wrapText="1"/>
    </xf>
    <xf numFmtId="0" fontId="14" fillId="21" borderId="7" xfId="1" applyFill="1" applyBorder="1" applyAlignment="1">
      <alignment horizontal="left" vertical="top" wrapText="1"/>
    </xf>
    <xf numFmtId="0" fontId="18" fillId="21" borderId="8" xfId="1" applyFont="1" applyFill="1" applyBorder="1" applyAlignment="1">
      <alignment horizontal="left" vertical="top" wrapText="1"/>
    </xf>
    <xf numFmtId="0" fontId="18" fillId="22" borderId="7" xfId="1" applyFont="1" applyFill="1" applyBorder="1" applyAlignment="1">
      <alignment horizontal="left" vertical="top" wrapText="1"/>
    </xf>
    <xf numFmtId="164" fontId="18" fillId="22" borderId="7" xfId="1" applyNumberFormat="1" applyFont="1" applyFill="1" applyBorder="1" applyAlignment="1">
      <alignment horizontal="left" vertical="top" wrapText="1"/>
    </xf>
    <xf numFmtId="0" fontId="14" fillId="22" borderId="7" xfId="1" applyFill="1" applyBorder="1" applyAlignment="1">
      <alignment horizontal="left" vertical="top" wrapText="1"/>
    </xf>
    <xf numFmtId="0" fontId="18" fillId="22" borderId="8" xfId="1" applyFont="1" applyFill="1" applyBorder="1" applyAlignment="1">
      <alignment horizontal="left" vertical="top" wrapText="1"/>
    </xf>
    <xf numFmtId="0" fontId="14" fillId="22" borderId="8" xfId="1" applyFill="1" applyBorder="1" applyAlignment="1">
      <alignment horizontal="left" vertical="top" wrapText="1"/>
    </xf>
    <xf numFmtId="0" fontId="14" fillId="21" borderId="8" xfId="1" applyFill="1" applyBorder="1" applyAlignment="1">
      <alignment horizontal="left" vertical="top" wrapText="1"/>
    </xf>
    <xf numFmtId="0" fontId="0" fillId="19" borderId="2" xfId="0" applyFill="1" applyBorder="1"/>
    <xf numFmtId="0" fontId="0" fillId="19" borderId="3" xfId="0" applyFill="1" applyBorder="1"/>
    <xf numFmtId="0" fontId="5" fillId="3" borderId="9" xfId="0" applyFont="1" applyFill="1" applyBorder="1"/>
    <xf numFmtId="0" fontId="0" fillId="19" borderId="4" xfId="0" applyFill="1" applyBorder="1"/>
    <xf numFmtId="0" fontId="13" fillId="0" borderId="0" xfId="0" applyFont="1" applyAlignment="1">
      <alignment horizontal="left"/>
    </xf>
    <xf numFmtId="0" fontId="19" fillId="0" borderId="0" xfId="1" applyFont="1" applyAlignment="1">
      <alignment horizontal="center" vertical="top" wrapText="1"/>
    </xf>
  </cellXfs>
  <cellStyles count="2">
    <cellStyle name="Normal" xfId="0" builtinId="0"/>
    <cellStyle name="Normal 2" xfId="1" xr:uid="{FB84BC53-60FA-436A-B35F-9B232FB74660}"/>
  </cellStyles>
  <dxfs count="96">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drawings/drawing1.xml><?xml version="1.0" encoding="utf-8"?>
<xdr:wsDr xmlns:xdr="http://schemas.openxmlformats.org/drawingml/2006/spreadsheetDrawing" xmlns:a="http://schemas.openxmlformats.org/drawingml/2006/main">
  <xdr:twoCellAnchor>
    <xdr:from>
      <xdr:col>0</xdr:col>
      <xdr:colOff>407229</xdr:colOff>
      <xdr:row>9</xdr:row>
      <xdr:rowOff>75232</xdr:rowOff>
    </xdr:from>
    <xdr:to>
      <xdr:col>5</xdr:col>
      <xdr:colOff>17946</xdr:colOff>
      <xdr:row>40</xdr:row>
      <xdr:rowOff>0</xdr:rowOff>
    </xdr:to>
    <xdr:sp macro="" textlink="">
      <xdr:nvSpPr>
        <xdr:cNvPr id="2" name="TextBox 1">
          <a:extLst>
            <a:ext uri="{FF2B5EF4-FFF2-40B4-BE49-F238E27FC236}">
              <a16:creationId xmlns:a16="http://schemas.microsoft.com/office/drawing/2014/main" id="{CDC6C16B-B3C2-7142-FCE9-E291DC7D4C72}"/>
            </a:ext>
          </a:extLst>
        </xdr:cNvPr>
        <xdr:cNvSpPr txBox="1"/>
      </xdr:nvSpPr>
      <xdr:spPr>
        <a:xfrm>
          <a:off x="407229" y="1789732"/>
          <a:ext cx="5268567" cy="5830268"/>
        </a:xfrm>
        <a:prstGeom prst="rect">
          <a:avLst/>
        </a:prstGeom>
        <a:ln/>
      </xdr:spPr>
      <xdr:style>
        <a:lnRef idx="1">
          <a:schemeClr val="accent2"/>
        </a:lnRef>
        <a:fillRef idx="2">
          <a:schemeClr val="accent2"/>
        </a:fillRef>
        <a:effectRef idx="1">
          <a:schemeClr val="accent2"/>
        </a:effectRef>
        <a:fontRef idx="minor">
          <a:schemeClr val="dk1"/>
        </a:fontRef>
      </xdr:style>
      <xdr:txBody>
        <a:bodyPr vertOverflow="clip" horzOverflow="clip" wrap="square" rtlCol="0" anchor="t"/>
        <a:lstStyle/>
        <a:p>
          <a:r>
            <a:rPr lang="en-US" sz="1100" b="1" u="sng">
              <a:solidFill>
                <a:schemeClr val="dk1"/>
              </a:solidFill>
              <a:effectLst/>
              <a:latin typeface="+mn-lt"/>
              <a:ea typeface="+mn-ea"/>
              <a:cs typeface="+mn-cs"/>
            </a:rPr>
            <a:t>Closing notes - see audit report &amp; GCAR for official list</a:t>
          </a:r>
        </a:p>
        <a:p>
          <a:r>
            <a:rPr lang="en-US" sz="1100" b="1" u="sng">
              <a:solidFill>
                <a:schemeClr val="dk1"/>
              </a:solidFill>
              <a:effectLst/>
              <a:latin typeface="+mn-lt"/>
              <a:ea typeface="+mn-ea"/>
              <a:cs typeface="+mn-cs"/>
            </a:rPr>
            <a:t>OFIs or Non-conformances:</a:t>
          </a:r>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Ken/OFI 1 - Consider adding  </a:t>
          </a:r>
          <a:r>
            <a:rPr lang="en-US" sz="1100" u="sng">
              <a:solidFill>
                <a:schemeClr val="dk1"/>
              </a:solidFill>
              <a:effectLst/>
              <a:latin typeface="+mn-lt"/>
              <a:ea typeface="+mn-ea"/>
              <a:cs typeface="+mn-cs"/>
            </a:rPr>
            <a:t>Testing Organization Record Guidance: Internal Guidance-ULID-014350</a:t>
          </a:r>
          <a:r>
            <a:rPr lang="en-US" sz="1100">
              <a:solidFill>
                <a:schemeClr val="dk1"/>
              </a:solidFill>
              <a:effectLst/>
              <a:latin typeface="+mn-lt"/>
              <a:ea typeface="+mn-ea"/>
              <a:cs typeface="+mn-cs"/>
            </a:rPr>
            <a:t>  (which has replaced Internal Guidance-ULID-000618, Testing Organization Record Guidance) to your</a:t>
          </a:r>
          <a:r>
            <a:rPr lang="en-US" sz="1100" baseline="0">
              <a:solidFill>
                <a:schemeClr val="dk1"/>
              </a:solidFill>
              <a:effectLst/>
              <a:latin typeface="+mn-lt"/>
              <a:ea typeface="+mn-ea"/>
              <a:cs typeface="+mn-cs"/>
            </a:rPr>
            <a:t> Compliance Manual , </a:t>
          </a:r>
          <a:r>
            <a:rPr lang="en-GB" sz="1100" b="0">
              <a:solidFill>
                <a:schemeClr val="dk1"/>
              </a:solidFill>
              <a:effectLst/>
              <a:latin typeface="+mn-lt"/>
              <a:ea typeface="+mn-ea"/>
              <a:cs typeface="+mn-cs"/>
            </a:rPr>
            <a:t>Procedures-ULID-009085.</a:t>
          </a:r>
          <a:endParaRPr lang="en-US" sz="1100" b="0">
            <a:solidFill>
              <a:schemeClr val="dk1"/>
            </a:solidFill>
            <a:effectLst/>
            <a:latin typeface="+mn-lt"/>
            <a:ea typeface="+mn-ea"/>
            <a:cs typeface="+mn-cs"/>
          </a:endParaRPr>
        </a:p>
        <a:p>
          <a:endParaRPr lang="en-US">
            <a:effectLst/>
          </a:endParaRPr>
        </a:p>
        <a:p>
          <a:r>
            <a:rPr lang="en-US" sz="1100">
              <a:solidFill>
                <a:schemeClr val="dk1"/>
              </a:solidFill>
              <a:effectLst/>
              <a:latin typeface="+mn-lt"/>
              <a:ea typeface="+mn-ea"/>
              <a:cs typeface="+mn-cs"/>
            </a:rPr>
            <a:t>- Ken/OFI 2 - Consider separating  out the org chart in Annex 1 of the manual into a SharePoint site folder for quicker &amp; easier updates.</a:t>
          </a:r>
          <a:endParaRPr lang="en-US">
            <a:effectLst/>
          </a:endParaRPr>
        </a:p>
        <a:p>
          <a:pPr lvl="0"/>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 Jeff/OFI 3-  Consideration could be given to improving floor markings for sample locations (i.e. PAV_1, noted as FAV_1 originally during audit). [After discussing this OFI, Matheus said they had 5S plans to improve this, your decision to cover in report]</a:t>
          </a:r>
        </a:p>
        <a:p>
          <a:r>
            <a:rPr lang="en-US" sz="1100" b="1">
              <a:solidFill>
                <a:schemeClr val="dk1"/>
              </a:solidFill>
              <a:effectLst/>
              <a:latin typeface="+mn-lt"/>
              <a:ea typeface="+mn-ea"/>
              <a:cs typeface="+mn-cs"/>
            </a:rPr>
            <a:t> </a:t>
          </a:r>
          <a:endParaRPr lang="en-US" sz="1100">
            <a:solidFill>
              <a:schemeClr val="dk1"/>
            </a:solidFill>
            <a:effectLst/>
            <a:latin typeface="+mn-lt"/>
            <a:ea typeface="+mn-ea"/>
            <a:cs typeface="+mn-cs"/>
          </a:endParaRPr>
        </a:p>
        <a:p>
          <a:r>
            <a:rPr lang="en-US" sz="1100" b="1">
              <a:solidFill>
                <a:schemeClr val="dk1"/>
              </a:solidFill>
              <a:effectLst/>
              <a:latin typeface="+mn-lt"/>
              <a:ea typeface="+mn-ea"/>
              <a:cs typeface="+mn-cs"/>
            </a:rPr>
            <a:t>Non-conformances:</a:t>
          </a:r>
          <a:endParaRPr lang="en-US" sz="1100">
            <a:solidFill>
              <a:schemeClr val="dk1"/>
            </a:solidFill>
            <a:effectLst/>
            <a:latin typeface="+mn-lt"/>
            <a:ea typeface="+mn-ea"/>
            <a:cs typeface="+mn-cs"/>
          </a:endParaRPr>
        </a:p>
        <a:p>
          <a:pPr lvl="0"/>
          <a:r>
            <a:rPr lang="en-US" sz="1100" b="1">
              <a:solidFill>
                <a:schemeClr val="dk1"/>
              </a:solidFill>
              <a:effectLst/>
              <a:latin typeface="+mn-lt"/>
              <a:ea typeface="+mn-ea"/>
              <a:cs typeface="+mn-cs"/>
            </a:rPr>
            <a:t>2023-66-KB1 –</a:t>
          </a:r>
          <a:r>
            <a:rPr lang="en-US" sz="1100">
              <a:solidFill>
                <a:schemeClr val="dk1"/>
              </a:solidFill>
              <a:effectLst/>
              <a:latin typeface="+mn-lt"/>
              <a:ea typeface="+mn-ea"/>
              <a:cs typeface="+mn-cs"/>
            </a:rPr>
            <a:t>The</a:t>
          </a:r>
          <a:r>
            <a:rPr lang="en-US" sz="1100" baseline="0">
              <a:solidFill>
                <a:schemeClr val="dk1"/>
              </a:solidFill>
              <a:effectLst/>
              <a:latin typeface="+mn-lt"/>
              <a:ea typeface="+mn-ea"/>
              <a:cs typeface="+mn-cs"/>
            </a:rPr>
            <a:t> current </a:t>
          </a:r>
          <a:r>
            <a:rPr lang="en-US" sz="1100">
              <a:solidFill>
                <a:schemeClr val="dk1"/>
              </a:solidFill>
              <a:effectLst/>
              <a:latin typeface="+mn-lt"/>
              <a:ea typeface="+mn-ea"/>
              <a:cs typeface="+mn-cs"/>
            </a:rPr>
            <a:t>GSA or service Terms &amp; Conditions being given (GSA</a:t>
          </a:r>
          <a:r>
            <a:rPr lang="en-US" sz="1100" baseline="0">
              <a:solidFill>
                <a:schemeClr val="dk1"/>
              </a:solidFill>
              <a:effectLst/>
              <a:latin typeface="+mn-lt"/>
              <a:ea typeface="+mn-ea"/>
              <a:cs typeface="+mn-cs"/>
            </a:rPr>
            <a:t> =INMETRO Service Terms) </a:t>
          </a:r>
          <a:r>
            <a:rPr lang="en-US" sz="1100">
              <a:solidFill>
                <a:schemeClr val="dk1"/>
              </a:solidFill>
              <a:effectLst/>
              <a:latin typeface="+mn-lt"/>
              <a:ea typeface="+mn-ea"/>
              <a:cs typeface="+mn-cs"/>
            </a:rPr>
            <a:t>to clients who request test work from UL Porto Alegre is not accurate.  Note: Porto Alegra staff have been working with legal to get updated Terms &amp; Conditions  for the past few years.  See Work Instructions  “UL Agreements – List And Work Instructions”,: Work Instructions -ULID-004167 (DCS:00-CS-W0025) – Issue 24.0, section 6.3.  </a:t>
          </a:r>
        </a:p>
        <a:p>
          <a:pPr lvl="0"/>
          <a:r>
            <a:rPr lang="en-US" sz="1100">
              <a:solidFill>
                <a:schemeClr val="dk1"/>
              </a:solidFill>
              <a:effectLst/>
              <a:latin typeface="+mn-lt"/>
              <a:ea typeface="+mn-ea"/>
              <a:cs typeface="+mn-cs"/>
            </a:rPr>
            <a:t>- </a:t>
          </a:r>
          <a:r>
            <a:rPr lang="en-US" sz="1100" b="1">
              <a:solidFill>
                <a:schemeClr val="dk1"/>
              </a:solidFill>
              <a:effectLst/>
              <a:latin typeface="+mn-lt"/>
              <a:ea typeface="+mn-ea"/>
              <a:cs typeface="+mn-cs"/>
            </a:rPr>
            <a:t>Owner</a:t>
          </a:r>
          <a:r>
            <a:rPr lang="en-US" sz="1100">
              <a:solidFill>
                <a:schemeClr val="dk1"/>
              </a:solidFill>
              <a:effectLst/>
              <a:latin typeface="+mn-lt"/>
              <a:ea typeface="+mn-ea"/>
              <a:cs typeface="+mn-cs"/>
            </a:rPr>
            <a:t>:</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Glinco &amp; Fabian,</a:t>
          </a:r>
          <a:r>
            <a:rPr lang="en-US" sz="1100" baseline="0">
              <a:solidFill>
                <a:schemeClr val="dk1"/>
              </a:solidFill>
              <a:effectLst/>
              <a:latin typeface="+mn-lt"/>
              <a:ea typeface="+mn-ea"/>
              <a:cs typeface="+mn-cs"/>
            </a:rPr>
            <a:t> asking legal to support</a:t>
          </a:r>
          <a:r>
            <a:rPr lang="en-US" sz="1100">
              <a:solidFill>
                <a:schemeClr val="dk1"/>
              </a:solidFill>
              <a:effectLst/>
              <a:latin typeface="+mn-lt"/>
              <a:ea typeface="+mn-ea"/>
              <a:cs typeface="+mn-cs"/>
            </a:rPr>
            <a:t> </a:t>
          </a:r>
        </a:p>
        <a:p>
          <a:pPr lvl="0"/>
          <a:endParaRPr lang="en-US" sz="1100">
            <a:solidFill>
              <a:schemeClr val="dk1"/>
            </a:solidFill>
            <a:effectLst/>
            <a:latin typeface="+mn-lt"/>
            <a:ea typeface="+mn-ea"/>
            <a:cs typeface="+mn-cs"/>
          </a:endParaRPr>
        </a:p>
        <a:p>
          <a:pPr lvl="0"/>
          <a:r>
            <a:rPr lang="en-US" sz="1100" b="1">
              <a:solidFill>
                <a:schemeClr val="dk1"/>
              </a:solidFill>
              <a:effectLst/>
              <a:latin typeface="+mn-lt"/>
              <a:ea typeface="+mn-ea"/>
              <a:cs typeface="+mn-cs"/>
            </a:rPr>
            <a:t>2023-66-JH1 -</a:t>
          </a:r>
          <a:r>
            <a:rPr lang="en-US" sz="1100" b="1" baseline="0">
              <a:solidFill>
                <a:schemeClr val="dk1"/>
              </a:solidFill>
              <a:effectLst/>
              <a:latin typeface="+mn-lt"/>
              <a:ea typeface="+mn-ea"/>
              <a:cs typeface="+mn-cs"/>
            </a:rPr>
            <a:t> sample handling issue</a:t>
          </a:r>
          <a:endParaRPr lang="en-US" sz="1100" b="1">
            <a:solidFill>
              <a:schemeClr val="dk1"/>
            </a:solidFill>
            <a:effectLst/>
            <a:latin typeface="+mn-lt"/>
            <a:ea typeface="+mn-ea"/>
            <a:cs typeface="+mn-cs"/>
          </a:endParaRPr>
        </a:p>
        <a:p>
          <a:pPr lvl="0"/>
          <a:r>
            <a:rPr lang="en-US" sz="1100" b="1">
              <a:solidFill>
                <a:schemeClr val="dk1"/>
              </a:solidFill>
              <a:effectLst/>
              <a:latin typeface="+mn-lt"/>
              <a:ea typeface="+mn-ea"/>
              <a:cs typeface="+mn-cs"/>
            </a:rPr>
            <a:t>2023-66-JH2 </a:t>
          </a:r>
        </a:p>
        <a:p>
          <a:pPr lvl="0"/>
          <a:r>
            <a:rPr lang="en-US" sz="1100" b="1">
              <a:solidFill>
                <a:schemeClr val="dk1"/>
              </a:solidFill>
              <a:effectLst/>
              <a:latin typeface="+mn-lt"/>
              <a:ea typeface="+mn-ea"/>
              <a:cs typeface="+mn-cs"/>
            </a:rPr>
            <a:t>&gt;&gt; B– </a:t>
          </a:r>
          <a:r>
            <a:rPr lang="en-US" sz="1100" u="sng">
              <a:solidFill>
                <a:schemeClr val="dk1"/>
              </a:solidFill>
              <a:effectLst/>
              <a:latin typeface="+mn-lt"/>
              <a:ea typeface="+mn-ea"/>
              <a:cs typeface="+mn-cs"/>
              <a:hlinkClick xmlns:r="http://schemas.openxmlformats.org/officeDocument/2006/relationships" r:id=""/>
            </a:rPr>
            <a:t>Form-ULID-000612 (DCS:00-LO-F0862)</a:t>
          </a:r>
          <a:r>
            <a:rPr lang="en-US" sz="1100">
              <a:solidFill>
                <a:schemeClr val="dk1"/>
              </a:solidFill>
              <a:effectLst/>
              <a:latin typeface="+mn-lt"/>
              <a:ea typeface="+mn-ea"/>
              <a:cs typeface="+mn-cs"/>
            </a:rPr>
            <a:t> </a:t>
          </a:r>
          <a:r>
            <a:rPr lang="en-US" sz="1100" u="sng">
              <a:solidFill>
                <a:schemeClr val="dk1"/>
              </a:solidFill>
              <a:effectLst/>
              <a:latin typeface="+mn-lt"/>
              <a:ea typeface="+mn-ea"/>
              <a:cs typeface="+mn-cs"/>
            </a:rPr>
            <a:t>On the Job Training – Generic Core</a:t>
          </a:r>
          <a:r>
            <a:rPr lang="en-US" sz="1100">
              <a:solidFill>
                <a:schemeClr val="dk1"/>
              </a:solidFill>
              <a:effectLst/>
              <a:latin typeface="+mn-lt"/>
              <a:ea typeface="+mn-ea"/>
              <a:cs typeface="+mn-cs"/>
            </a:rPr>
            <a:t> was not used for BS (Employee Number: 88255) for “Ensuring the Validity of Tests” core training showed on her latest LPTPR Form-ULID-000604.</a:t>
          </a:r>
        </a:p>
        <a:p>
          <a:pPr lvl="1"/>
          <a:r>
            <a:rPr lang="en-US" sz="1100" b="1">
              <a:solidFill>
                <a:schemeClr val="dk1"/>
              </a:solidFill>
              <a:effectLst/>
              <a:latin typeface="+mn-lt"/>
              <a:ea typeface="+mn-ea"/>
              <a:cs typeface="+mn-cs"/>
            </a:rPr>
            <a:t>See section 6.1.4 </a:t>
          </a:r>
          <a:r>
            <a:rPr lang="en-US" sz="1100">
              <a:solidFill>
                <a:schemeClr val="dk1"/>
              </a:solidFill>
              <a:effectLst/>
              <a:latin typeface="+mn-lt"/>
              <a:ea typeface="+mn-ea"/>
              <a:cs typeface="+mn-cs"/>
            </a:rPr>
            <a:t>of SOP “</a:t>
          </a:r>
          <a:r>
            <a:rPr lang="en-US" sz="1100" u="sng">
              <a:solidFill>
                <a:schemeClr val="dk1"/>
              </a:solidFill>
              <a:effectLst/>
              <a:latin typeface="+mn-lt"/>
              <a:ea typeface="+mn-ea"/>
              <a:cs typeface="+mn-cs"/>
            </a:rPr>
            <a:t>Laboratory Personnel Requirements</a:t>
          </a:r>
          <a:r>
            <a:rPr lang="en-US" sz="1100">
              <a:solidFill>
                <a:schemeClr val="dk1"/>
              </a:solidFill>
              <a:effectLst/>
              <a:latin typeface="+mn-lt"/>
              <a:ea typeface="+mn-ea"/>
              <a:cs typeface="+mn-cs"/>
            </a:rPr>
            <a:t>” Standard Operation Procedures-ULID-000687 (DCS:00-LO-S0855) Issue/Version:19.0. </a:t>
          </a:r>
        </a:p>
        <a:p>
          <a:pPr lvl="0"/>
          <a:r>
            <a:rPr lang="en-US" sz="1100" b="1">
              <a:solidFill>
                <a:schemeClr val="dk1"/>
              </a:solidFill>
              <a:effectLst/>
              <a:latin typeface="+mn-lt"/>
              <a:ea typeface="+mn-ea"/>
              <a:cs typeface="+mn-cs"/>
            </a:rPr>
            <a:t>&gt;&gt;</a:t>
          </a:r>
          <a:r>
            <a:rPr lang="en-US" sz="1100" b="1" baseline="0">
              <a:solidFill>
                <a:schemeClr val="dk1"/>
              </a:solidFill>
              <a:effectLst/>
              <a:latin typeface="+mn-lt"/>
              <a:ea typeface="+mn-ea"/>
              <a:cs typeface="+mn-cs"/>
            </a:rPr>
            <a:t> </a:t>
          </a:r>
          <a:r>
            <a:rPr lang="en-US" sz="1100" b="1">
              <a:solidFill>
                <a:schemeClr val="dk1"/>
              </a:solidFill>
              <a:effectLst/>
              <a:latin typeface="+mn-lt"/>
              <a:ea typeface="+mn-ea"/>
              <a:cs typeface="+mn-cs"/>
            </a:rPr>
            <a:t>C– </a:t>
          </a:r>
          <a:r>
            <a:rPr lang="en-US" sz="1100">
              <a:solidFill>
                <a:schemeClr val="dk1"/>
              </a:solidFill>
              <a:effectLst/>
              <a:latin typeface="+mn-lt"/>
              <a:ea typeface="+mn-ea"/>
              <a:cs typeface="+mn-cs"/>
            </a:rPr>
            <a:t>there’s no evidence that version 16.1 of LPTPR Form-ULID-000604 was reviewed &amp; communicated for changes affecting lab staff competency – </a:t>
          </a:r>
        </a:p>
        <a:p>
          <a:pPr lvl="1"/>
          <a:r>
            <a:rPr lang="en-US" sz="1100" b="1">
              <a:solidFill>
                <a:schemeClr val="dk1"/>
              </a:solidFill>
              <a:effectLst/>
              <a:latin typeface="+mn-lt"/>
              <a:ea typeface="+mn-ea"/>
              <a:cs typeface="+mn-cs"/>
            </a:rPr>
            <a:t>see section 4.2.2 </a:t>
          </a:r>
          <a:r>
            <a:rPr lang="en-US" sz="1100">
              <a:solidFill>
                <a:schemeClr val="dk1"/>
              </a:solidFill>
              <a:effectLst/>
              <a:latin typeface="+mn-lt"/>
              <a:ea typeface="+mn-ea"/>
              <a:cs typeface="+mn-cs"/>
            </a:rPr>
            <a:t>of SOP “</a:t>
          </a:r>
          <a:r>
            <a:rPr lang="en-US" sz="1100" u="sng">
              <a:solidFill>
                <a:schemeClr val="dk1"/>
              </a:solidFill>
              <a:effectLst/>
              <a:latin typeface="+mn-lt"/>
              <a:ea typeface="+mn-ea"/>
              <a:cs typeface="+mn-cs"/>
            </a:rPr>
            <a:t>Laboratory Personnel Requirements</a:t>
          </a:r>
          <a:r>
            <a:rPr lang="en-US" sz="1100">
              <a:solidFill>
                <a:schemeClr val="dk1"/>
              </a:solidFill>
              <a:effectLst/>
              <a:latin typeface="+mn-lt"/>
              <a:ea typeface="+mn-ea"/>
              <a:cs typeface="+mn-cs"/>
            </a:rPr>
            <a:t>” Standard Operation Procedures-ULID-000687 (DCS:00-LO-S0855) Issue/Version:19.0.</a:t>
          </a:r>
        </a:p>
      </xdr:txBody>
    </xdr:sp>
    <xdr:clientData/>
  </xdr:two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1D3CAA2-F827-4B32-9E1D-1494BF460DCC}" name="Table2" displayName="Table2" ref="A4:D8" totalsRowShown="0">
  <autoFilter ref="A4:D8" xr:uid="{9AED5F9A-4A45-4603-95B2-D2D26EA875DA}"/>
  <tableColumns count="4">
    <tableColumn id="1" xr3:uid="{2A872128-6EE3-4B45-B0E8-FA27B731E673}" name="Name"/>
    <tableColumn id="2" xr3:uid="{B6599A5B-750E-40DC-A2A6-4939AE11FDF7}" name="Title/role"/>
    <tableColumn id="3" xr3:uid="{6ACC36C6-4649-4206-8CFA-8B859A7FF196}" name="Opening" dataDxfId="95"/>
    <tableColumn id="4" xr3:uid="{D0F2D061-3465-428E-B5DC-B9DC93BB55C2}" name="Closing " dataDxfId="94"/>
  </tableColumns>
  <tableStyleInfo name="TableStyleMedium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3F4D5A5-F955-460E-A981-A0C9878FC6A9}">
  <we:reference id="ee5ff867-b433-45a8-aa6c-c69d56b7dde7" version="1.1.0.0" store="EXCatalog" storeType="EXCatalog"/>
  <we:alternateReferences>
    <we:reference id="WA104381026" version="1.1.0.0" store="en-US" storeType="OMEX"/>
  </we:alternateReferences>
  <we:properties>
    <we:property name="insertIntoSheet" value="&quot;ISO 17065&quot;"/>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C68A10-1F7A-4308-A18B-0778B1438AA5}">
  <sheetPr codeName="Sheet6"/>
  <dimension ref="A1:L4"/>
  <sheetViews>
    <sheetView workbookViewId="0">
      <selection activeCell="B2" sqref="B2"/>
    </sheetView>
  </sheetViews>
  <sheetFormatPr defaultRowHeight="15" x14ac:dyDescent="0.25"/>
  <cols>
    <col min="1" max="1" width="15" bestFit="1" customWidth="1"/>
    <col min="2" max="2" width="26" bestFit="1" customWidth="1"/>
    <col min="3" max="12" width="18" customWidth="1"/>
  </cols>
  <sheetData>
    <row r="1" spans="1:12" ht="23.25" x14ac:dyDescent="0.35">
      <c r="A1" t="s">
        <v>780</v>
      </c>
      <c r="C1" s="37"/>
      <c r="D1" s="77" t="s">
        <v>781</v>
      </c>
      <c r="E1" s="77"/>
      <c r="F1" s="77"/>
      <c r="G1" s="77"/>
    </row>
    <row r="2" spans="1:12" x14ac:dyDescent="0.25">
      <c r="A2" s="30" t="s">
        <v>782</v>
      </c>
      <c r="B2" s="38">
        <v>45161</v>
      </c>
      <c r="C2" s="37"/>
      <c r="H2" s="30" t="s">
        <v>783</v>
      </c>
      <c r="I2" t="s">
        <v>772</v>
      </c>
    </row>
    <row r="3" spans="1:12" ht="45.75" thickBot="1" x14ac:dyDescent="0.3">
      <c r="A3" s="39" t="s">
        <v>784</v>
      </c>
      <c r="B3" s="40" t="s">
        <v>785</v>
      </c>
      <c r="C3" s="41" t="s">
        <v>786</v>
      </c>
      <c r="D3" s="42" t="s">
        <v>787</v>
      </c>
      <c r="E3" s="43" t="s">
        <v>788</v>
      </c>
      <c r="F3" s="44" t="s">
        <v>789</v>
      </c>
      <c r="G3" s="45" t="s">
        <v>790</v>
      </c>
      <c r="H3" s="42" t="s">
        <v>791</v>
      </c>
      <c r="I3" s="43" t="s">
        <v>792</v>
      </c>
      <c r="J3" s="44" t="s">
        <v>793</v>
      </c>
      <c r="K3" s="45" t="s">
        <v>794</v>
      </c>
      <c r="L3" s="46" t="s">
        <v>795</v>
      </c>
    </row>
    <row r="4" spans="1:12" ht="15.75" thickBot="1" x14ac:dyDescent="0.3">
      <c r="A4" s="73">
        <v>2023</v>
      </c>
      <c r="B4" s="74" t="s">
        <v>1216</v>
      </c>
      <c r="C4" s="75" t="str">
        <f xml:space="preserve"> IF( L4&lt; 86, "Low", IF( L4&gt;180, "High", "Medium"))</f>
        <v>Medium</v>
      </c>
      <c r="D4" s="74" t="s">
        <v>1214</v>
      </c>
      <c r="E4" s="74" t="s">
        <v>1215</v>
      </c>
      <c r="F4" s="74" t="s">
        <v>1214</v>
      </c>
      <c r="G4" s="74" t="s">
        <v>1214</v>
      </c>
      <c r="H4" s="74" t="s">
        <v>1215</v>
      </c>
      <c r="I4" s="74" t="s">
        <v>1214</v>
      </c>
      <c r="J4" s="74" t="s">
        <v>1214</v>
      </c>
      <c r="K4" s="74" t="s">
        <v>1214</v>
      </c>
      <c r="L4" s="76">
        <f>_xlfn.SWITCH(D4,"High", 5, "Medium", 2, "Low",1)*7.5 +_xlfn.SWITCH(E4,"High", 5, "Medium", 2, "Low",1)*5 + _xlfn.SWITCH(F4,"High", 5, "Medium", 2, "Low",1)*10+ _xlfn.SWITCH(G4,"High", 5, "Medium", 2, "Low",1)*6.5+_xlfn.SWITCH(H4,"High", 5, "Medium", 2, "Low",1)*5 + _xlfn.SWITCH(I4,"High", 5, "Medium", 2, "Low",1)*10 +_xlfn.SWITCH(J4,"High", 5, "Medium", 2, "Low",1)*10+_xlfn.SWITCH(K4,"High", 5, "Medium", 2, "Low",1)*6.5</f>
        <v>100.5</v>
      </c>
    </row>
  </sheetData>
  <mergeCells count="1">
    <mergeCell ref="D1:G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70B5AA-74A9-4AF7-BB64-9778F304B2A1}">
  <sheetPr codeName="Sheet5"/>
  <dimension ref="A1:K16"/>
  <sheetViews>
    <sheetView topLeftCell="A2" zoomScaleNormal="100" workbookViewId="0">
      <selection activeCell="B5" sqref="B5"/>
    </sheetView>
  </sheetViews>
  <sheetFormatPr defaultRowHeight="15" x14ac:dyDescent="0.25"/>
  <cols>
    <col min="1" max="1" width="26.42578125" customWidth="1"/>
    <col min="2" max="2" width="25.140625" bestFit="1" customWidth="1"/>
    <col min="3" max="3" width="11.7109375" style="35" bestFit="1" customWidth="1"/>
    <col min="4" max="4" width="12.42578125" style="35" bestFit="1" customWidth="1"/>
  </cols>
  <sheetData>
    <row r="1" spans="1:11" x14ac:dyDescent="0.25">
      <c r="A1" t="s">
        <v>779</v>
      </c>
      <c r="B1" t="s">
        <v>850</v>
      </c>
      <c r="C1" s="35" t="s">
        <v>778</v>
      </c>
      <c r="D1" s="36">
        <v>45155</v>
      </c>
    </row>
    <row r="2" spans="1:11" x14ac:dyDescent="0.25">
      <c r="C2" s="35" t="s">
        <v>777</v>
      </c>
      <c r="D2" s="36">
        <v>45156</v>
      </c>
    </row>
    <row r="4" spans="1:11" x14ac:dyDescent="0.25">
      <c r="A4" t="s">
        <v>776</v>
      </c>
      <c r="B4" t="s">
        <v>775</v>
      </c>
      <c r="C4" s="35" t="s">
        <v>774</v>
      </c>
      <c r="D4" s="35" t="s">
        <v>773</v>
      </c>
    </row>
    <row r="5" spans="1:11" x14ac:dyDescent="0.25">
      <c r="A5" s="47" t="s">
        <v>815</v>
      </c>
      <c r="B5" t="s">
        <v>816</v>
      </c>
      <c r="C5" s="35" t="s">
        <v>770</v>
      </c>
      <c r="D5" s="35" t="s">
        <v>770</v>
      </c>
    </row>
    <row r="6" spans="1:11" x14ac:dyDescent="0.25">
      <c r="A6" t="s">
        <v>772</v>
      </c>
      <c r="B6" t="s">
        <v>771</v>
      </c>
      <c r="C6" s="35" t="s">
        <v>770</v>
      </c>
      <c r="D6" s="35" t="s">
        <v>770</v>
      </c>
    </row>
    <row r="7" spans="1:11" x14ac:dyDescent="0.25">
      <c r="A7" t="s">
        <v>818</v>
      </c>
      <c r="B7" t="s">
        <v>819</v>
      </c>
      <c r="C7" s="35" t="s">
        <v>770</v>
      </c>
      <c r="D7" s="35" t="s">
        <v>770</v>
      </c>
    </row>
    <row r="8" spans="1:11" x14ac:dyDescent="0.25">
      <c r="A8" t="s">
        <v>817</v>
      </c>
      <c r="B8" t="s">
        <v>849</v>
      </c>
      <c r="C8" s="35" t="s">
        <v>770</v>
      </c>
      <c r="D8" s="35" t="s">
        <v>770</v>
      </c>
    </row>
    <row r="9" spans="1:11" x14ac:dyDescent="0.25">
      <c r="A9" s="47"/>
    </row>
    <row r="12" spans="1:11" x14ac:dyDescent="0.25">
      <c r="A12" s="48"/>
    </row>
    <row r="16" spans="1:11" x14ac:dyDescent="0.25">
      <c r="K16" t="s">
        <v>769</v>
      </c>
    </row>
  </sheetData>
  <pageMargins left="0.7" right="0.7" top="0.75" bottom="0.75" header="0.3" footer="0.3"/>
  <pageSetup orientation="portrait" verticalDpi="1200"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133217-09C3-499A-9637-02AA7A0868F7}">
  <sheetPr codeName="Sheet2"/>
  <dimension ref="A1:O32"/>
  <sheetViews>
    <sheetView tabSelected="1" zoomScale="90" zoomScaleNormal="90" workbookViewId="0">
      <pane xSplit="1" ySplit="2" topLeftCell="E3" activePane="bottomRight" state="frozen"/>
      <selection pane="topRight" activeCell="B1" sqref="B1"/>
      <selection pane="bottomLeft" activeCell="A2" sqref="A2"/>
      <selection pane="bottomRight" activeCell="J6" sqref="J6"/>
    </sheetView>
  </sheetViews>
  <sheetFormatPr defaultColWidth="9.140625" defaultRowHeight="15" x14ac:dyDescent="0.25"/>
  <cols>
    <col min="1" max="1" width="21.140625" customWidth="1"/>
    <col min="2" max="2" width="9.28515625" customWidth="1"/>
    <col min="3" max="3" width="19.5703125" customWidth="1"/>
    <col min="4" max="4" width="16.28515625" customWidth="1"/>
    <col min="5" max="5" width="19.5703125" customWidth="1"/>
    <col min="6" max="6" width="30.7109375" customWidth="1"/>
    <col min="7" max="7" width="40.140625" customWidth="1"/>
    <col min="8" max="8" width="50.5703125" customWidth="1"/>
    <col min="9" max="9" width="17.28515625" style="35" customWidth="1"/>
    <col min="10" max="10" width="42" customWidth="1"/>
    <col min="11" max="11" width="30.7109375" customWidth="1"/>
    <col min="12" max="12" width="34.85546875" customWidth="1"/>
    <col min="13" max="13" width="12.5703125" style="3" customWidth="1"/>
    <col min="14" max="14" width="27.5703125" customWidth="1"/>
    <col min="15" max="15" width="15.85546875" style="10" customWidth="1"/>
  </cols>
  <sheetData>
    <row r="1" spans="1:15" x14ac:dyDescent="0.25">
      <c r="A1" s="29" t="s">
        <v>798</v>
      </c>
      <c r="B1" s="29" t="s">
        <v>765</v>
      </c>
      <c r="D1" s="30" t="s">
        <v>799</v>
      </c>
      <c r="E1" s="29"/>
    </row>
    <row r="2" spans="1:15" s="3" customFormat="1" ht="65.25" customHeight="1" x14ac:dyDescent="0.25">
      <c r="A2" s="4" t="s">
        <v>56</v>
      </c>
      <c r="B2" s="5" t="s">
        <v>757</v>
      </c>
      <c r="C2" s="5" t="s">
        <v>70</v>
      </c>
      <c r="D2" s="54" t="s">
        <v>71</v>
      </c>
      <c r="E2" s="54" t="s">
        <v>69</v>
      </c>
      <c r="F2" s="5" t="s">
        <v>749</v>
      </c>
      <c r="G2" s="5" t="s">
        <v>72</v>
      </c>
      <c r="H2" s="5" t="s">
        <v>23</v>
      </c>
      <c r="I2" s="5" t="s">
        <v>55</v>
      </c>
      <c r="J2" s="5" t="s">
        <v>73</v>
      </c>
      <c r="K2" s="5" t="s">
        <v>761</v>
      </c>
      <c r="L2" s="5" t="s">
        <v>758</v>
      </c>
      <c r="M2" s="4" t="s">
        <v>58</v>
      </c>
      <c r="N2" s="4" t="s">
        <v>53</v>
      </c>
      <c r="O2" s="11" t="s">
        <v>61</v>
      </c>
    </row>
    <row r="3" spans="1:15" s="3" customFormat="1" ht="45" x14ac:dyDescent="0.25">
      <c r="A3" s="2" t="s">
        <v>25</v>
      </c>
      <c r="B3" s="1" t="s">
        <v>753</v>
      </c>
      <c r="C3" s="34" t="s">
        <v>91</v>
      </c>
      <c r="D3" s="55" t="s">
        <v>812</v>
      </c>
      <c r="E3" s="55" t="s">
        <v>813</v>
      </c>
      <c r="F3" s="33" t="s">
        <v>821</v>
      </c>
      <c r="G3" s="1" t="s">
        <v>805</v>
      </c>
      <c r="H3" s="33" t="s">
        <v>843</v>
      </c>
      <c r="I3" s="51">
        <v>5</v>
      </c>
      <c r="J3" s="1" t="s">
        <v>822</v>
      </c>
      <c r="K3" s="18" t="s">
        <v>75</v>
      </c>
      <c r="L3" s="1"/>
      <c r="M3" s="7" t="s">
        <v>60</v>
      </c>
      <c r="N3" s="9" t="s">
        <v>31</v>
      </c>
      <c r="O3" s="9" t="s">
        <v>63</v>
      </c>
    </row>
    <row r="4" spans="1:15" s="3" customFormat="1" ht="105" x14ac:dyDescent="0.25">
      <c r="A4" s="2" t="s">
        <v>26</v>
      </c>
      <c r="B4" s="1" t="s">
        <v>753</v>
      </c>
      <c r="C4" s="34" t="s">
        <v>91</v>
      </c>
      <c r="D4" s="34" t="s">
        <v>812</v>
      </c>
      <c r="E4" s="34" t="s">
        <v>813</v>
      </c>
      <c r="F4" s="33" t="s">
        <v>821</v>
      </c>
      <c r="G4" s="50" t="s">
        <v>814</v>
      </c>
      <c r="H4" s="33" t="s">
        <v>841</v>
      </c>
      <c r="I4" s="51">
        <v>5</v>
      </c>
      <c r="J4" s="1" t="s">
        <v>842</v>
      </c>
      <c r="K4" s="18" t="s">
        <v>75</v>
      </c>
      <c r="L4" s="1"/>
      <c r="M4" s="7" t="s">
        <v>57</v>
      </c>
      <c r="N4" s="9" t="s">
        <v>32</v>
      </c>
      <c r="O4" s="9"/>
    </row>
    <row r="5" spans="1:15" s="3" customFormat="1" ht="75" x14ac:dyDescent="0.25">
      <c r="A5" s="2" t="s">
        <v>24</v>
      </c>
      <c r="B5" s="1" t="s">
        <v>753</v>
      </c>
      <c r="C5" s="34" t="s">
        <v>91</v>
      </c>
      <c r="D5" s="34" t="s">
        <v>812</v>
      </c>
      <c r="E5" s="34" t="s">
        <v>813</v>
      </c>
      <c r="F5" s="33" t="s">
        <v>821</v>
      </c>
      <c r="G5" s="50" t="s">
        <v>806</v>
      </c>
      <c r="H5" s="33" t="s">
        <v>823</v>
      </c>
      <c r="I5" s="51">
        <v>3</v>
      </c>
      <c r="J5" s="1" t="s">
        <v>825</v>
      </c>
      <c r="K5" s="18" t="s">
        <v>75</v>
      </c>
      <c r="L5" s="1"/>
      <c r="M5" s="7" t="s">
        <v>60</v>
      </c>
      <c r="N5" s="7" t="s">
        <v>33</v>
      </c>
      <c r="O5" s="9"/>
    </row>
    <row r="6" spans="1:15" s="3" customFormat="1" ht="105" x14ac:dyDescent="0.25">
      <c r="A6" s="2" t="s">
        <v>2</v>
      </c>
      <c r="B6" s="1" t="s">
        <v>753</v>
      </c>
      <c r="C6" s="34" t="s">
        <v>91</v>
      </c>
      <c r="D6" s="34" t="s">
        <v>812</v>
      </c>
      <c r="E6" s="34" t="s">
        <v>813</v>
      </c>
      <c r="F6" s="18" t="s">
        <v>844</v>
      </c>
      <c r="G6" s="53" t="s">
        <v>807</v>
      </c>
      <c r="H6" s="18" t="s">
        <v>846</v>
      </c>
      <c r="I6" s="51">
        <v>6</v>
      </c>
      <c r="J6" s="1" t="s">
        <v>845</v>
      </c>
      <c r="K6" s="18" t="s">
        <v>76</v>
      </c>
      <c r="L6" s="1" t="s">
        <v>1217</v>
      </c>
      <c r="M6" s="7" t="s">
        <v>60</v>
      </c>
      <c r="N6" s="7" t="s">
        <v>28</v>
      </c>
      <c r="O6" s="9" t="s">
        <v>62</v>
      </c>
    </row>
    <row r="7" spans="1:15" s="3" customFormat="1" ht="90" x14ac:dyDescent="0.25">
      <c r="A7" s="2" t="s">
        <v>1</v>
      </c>
      <c r="B7" s="1" t="s">
        <v>753</v>
      </c>
      <c r="C7" s="34" t="s">
        <v>91</v>
      </c>
      <c r="D7" s="1" t="s">
        <v>812</v>
      </c>
      <c r="E7" s="1" t="s">
        <v>813</v>
      </c>
      <c r="F7" s="18" t="s">
        <v>808</v>
      </c>
      <c r="G7" s="1" t="s">
        <v>766</v>
      </c>
      <c r="H7" s="18"/>
      <c r="I7" s="51"/>
      <c r="J7" s="18"/>
      <c r="K7" s="18" t="s">
        <v>759</v>
      </c>
      <c r="L7" s="1"/>
      <c r="M7" s="7" t="s">
        <v>60</v>
      </c>
      <c r="N7" s="9" t="s">
        <v>29</v>
      </c>
      <c r="O7" s="9"/>
    </row>
    <row r="8" spans="1:15" s="3" customFormat="1" ht="90" x14ac:dyDescent="0.25">
      <c r="A8" s="2" t="s">
        <v>5</v>
      </c>
      <c r="B8" s="1" t="s">
        <v>753</v>
      </c>
      <c r="C8" s="34" t="s">
        <v>91</v>
      </c>
      <c r="D8" s="1" t="s">
        <v>812</v>
      </c>
      <c r="E8" s="1" t="s">
        <v>813</v>
      </c>
      <c r="F8" s="18" t="s">
        <v>808</v>
      </c>
      <c r="G8" s="18" t="s">
        <v>764</v>
      </c>
      <c r="H8" s="18"/>
      <c r="I8" s="51"/>
      <c r="J8" s="18"/>
      <c r="K8" s="18" t="s">
        <v>759</v>
      </c>
      <c r="L8" s="1"/>
      <c r="M8" s="7" t="s">
        <v>60</v>
      </c>
      <c r="N8" s="7" t="s">
        <v>39</v>
      </c>
      <c r="O8" s="9" t="s">
        <v>68</v>
      </c>
    </row>
    <row r="9" spans="1:15" s="3" customFormat="1" ht="90" x14ac:dyDescent="0.25">
      <c r="A9" s="2" t="s">
        <v>17</v>
      </c>
      <c r="B9" s="1" t="s">
        <v>753</v>
      </c>
      <c r="C9" s="34" t="s">
        <v>91</v>
      </c>
      <c r="D9" s="1" t="s">
        <v>812</v>
      </c>
      <c r="E9" s="1" t="s">
        <v>813</v>
      </c>
      <c r="F9" s="18" t="s">
        <v>808</v>
      </c>
      <c r="G9" s="18" t="s">
        <v>764</v>
      </c>
      <c r="H9" s="18"/>
      <c r="I9" s="51"/>
      <c r="J9" s="52"/>
      <c r="K9" s="18" t="s">
        <v>759</v>
      </c>
      <c r="L9" s="1"/>
      <c r="M9" s="7" t="s">
        <v>60</v>
      </c>
      <c r="N9" s="7" t="s">
        <v>30</v>
      </c>
      <c r="O9" s="9"/>
    </row>
    <row r="10" spans="1:15" s="3" customFormat="1" ht="31.5" x14ac:dyDescent="0.25">
      <c r="A10" s="2" t="s">
        <v>16</v>
      </c>
      <c r="B10" s="1" t="s">
        <v>753</v>
      </c>
      <c r="C10" s="34" t="s">
        <v>91</v>
      </c>
      <c r="D10" s="34" t="s">
        <v>812</v>
      </c>
      <c r="E10" s="34" t="s">
        <v>813</v>
      </c>
      <c r="F10" s="18" t="s">
        <v>821</v>
      </c>
      <c r="G10" s="18" t="s">
        <v>828</v>
      </c>
      <c r="H10" s="18" t="s">
        <v>829</v>
      </c>
      <c r="I10" s="51">
        <v>1</v>
      </c>
      <c r="J10" s="18"/>
      <c r="K10" s="18" t="s">
        <v>75</v>
      </c>
      <c r="L10" s="1"/>
      <c r="M10" s="7" t="s">
        <v>60</v>
      </c>
      <c r="N10" s="7" t="s">
        <v>34</v>
      </c>
      <c r="O10" s="9">
        <v>4.5</v>
      </c>
    </row>
    <row r="11" spans="1:15" s="3" customFormat="1" ht="90" x14ac:dyDescent="0.25">
      <c r="A11" s="2" t="s">
        <v>4</v>
      </c>
      <c r="B11" s="1" t="s">
        <v>753</v>
      </c>
      <c r="C11" s="34" t="s">
        <v>91</v>
      </c>
      <c r="D11" s="34" t="s">
        <v>812</v>
      </c>
      <c r="E11" s="34" t="s">
        <v>813</v>
      </c>
      <c r="F11" s="18" t="s">
        <v>831</v>
      </c>
      <c r="G11" s="18" t="s">
        <v>768</v>
      </c>
      <c r="H11" s="18" t="s">
        <v>832</v>
      </c>
      <c r="I11" s="51">
        <v>3</v>
      </c>
      <c r="J11" s="52" t="s">
        <v>833</v>
      </c>
      <c r="K11" s="18" t="s">
        <v>76</v>
      </c>
      <c r="L11" s="1" t="s">
        <v>1218</v>
      </c>
      <c r="M11" s="6" t="s">
        <v>57</v>
      </c>
      <c r="N11" s="6" t="s">
        <v>35</v>
      </c>
      <c r="O11" s="9"/>
    </row>
    <row r="12" spans="1:15" s="3" customFormat="1" ht="90" x14ac:dyDescent="0.25">
      <c r="A12" s="2" t="s">
        <v>7</v>
      </c>
      <c r="B12" s="1" t="s">
        <v>753</v>
      </c>
      <c r="C12" s="34" t="s">
        <v>91</v>
      </c>
      <c r="D12" s="1" t="s">
        <v>812</v>
      </c>
      <c r="E12" s="1" t="s">
        <v>813</v>
      </c>
      <c r="F12" s="18" t="s">
        <v>808</v>
      </c>
      <c r="G12" s="18" t="s">
        <v>764</v>
      </c>
      <c r="H12" s="18"/>
      <c r="I12" s="51"/>
      <c r="J12" s="52"/>
      <c r="K12" s="18" t="s">
        <v>759</v>
      </c>
      <c r="L12" s="1"/>
      <c r="M12" s="7" t="s">
        <v>60</v>
      </c>
      <c r="N12" s="7" t="s">
        <v>36</v>
      </c>
      <c r="O12" s="9"/>
    </row>
    <row r="13" spans="1:15" s="3" customFormat="1" ht="90" x14ac:dyDescent="0.25">
      <c r="A13" s="2" t="s">
        <v>19</v>
      </c>
      <c r="B13" s="1" t="s">
        <v>753</v>
      </c>
      <c r="C13" s="34" t="s">
        <v>91</v>
      </c>
      <c r="D13" s="1" t="s">
        <v>812</v>
      </c>
      <c r="E13" s="1" t="s">
        <v>813</v>
      </c>
      <c r="F13" s="18" t="s">
        <v>808</v>
      </c>
      <c r="G13" s="18" t="s">
        <v>764</v>
      </c>
      <c r="H13" s="18"/>
      <c r="I13" s="51"/>
      <c r="J13" s="18"/>
      <c r="K13" s="18" t="s">
        <v>759</v>
      </c>
      <c r="L13" s="1"/>
      <c r="M13" s="7" t="s">
        <v>60</v>
      </c>
      <c r="N13" s="7" t="s">
        <v>46</v>
      </c>
      <c r="O13" s="9" t="s">
        <v>65</v>
      </c>
    </row>
    <row r="14" spans="1:15" s="3" customFormat="1" ht="90" x14ac:dyDescent="0.25">
      <c r="A14" s="2" t="s">
        <v>9</v>
      </c>
      <c r="B14" s="1" t="s">
        <v>753</v>
      </c>
      <c r="C14" s="34" t="s">
        <v>91</v>
      </c>
      <c r="D14" s="1" t="s">
        <v>812</v>
      </c>
      <c r="E14" s="1" t="s">
        <v>813</v>
      </c>
      <c r="F14" s="18" t="s">
        <v>808</v>
      </c>
      <c r="G14" s="18" t="s">
        <v>764</v>
      </c>
      <c r="H14" s="18"/>
      <c r="I14" s="51"/>
      <c r="J14" s="18"/>
      <c r="K14" s="18" t="s">
        <v>759</v>
      </c>
      <c r="L14" s="1"/>
      <c r="M14" s="7" t="s">
        <v>60</v>
      </c>
      <c r="N14" s="7" t="s">
        <v>38</v>
      </c>
      <c r="O14" s="9"/>
    </row>
    <row r="15" spans="1:15" s="3" customFormat="1" ht="90" x14ac:dyDescent="0.25">
      <c r="A15" s="2" t="s">
        <v>10</v>
      </c>
      <c r="B15" s="1" t="s">
        <v>753</v>
      </c>
      <c r="C15" s="34" t="s">
        <v>91</v>
      </c>
      <c r="D15" s="1" t="s">
        <v>812</v>
      </c>
      <c r="E15" s="1" t="s">
        <v>813</v>
      </c>
      <c r="F15" s="18" t="s">
        <v>808</v>
      </c>
      <c r="G15" s="18" t="s">
        <v>764</v>
      </c>
      <c r="H15" s="18"/>
      <c r="I15" s="51"/>
      <c r="J15" s="18"/>
      <c r="K15" s="18" t="s">
        <v>759</v>
      </c>
      <c r="L15" s="1"/>
      <c r="M15" s="7" t="s">
        <v>60</v>
      </c>
      <c r="N15" s="7" t="s">
        <v>37</v>
      </c>
      <c r="O15" s="9"/>
    </row>
    <row r="16" spans="1:15" s="3" customFormat="1" ht="90" x14ac:dyDescent="0.25">
      <c r="A16" s="2" t="s">
        <v>11</v>
      </c>
      <c r="B16" s="1" t="s">
        <v>753</v>
      </c>
      <c r="C16" s="34" t="s">
        <v>91</v>
      </c>
      <c r="D16" s="1" t="s">
        <v>812</v>
      </c>
      <c r="E16" s="1" t="s">
        <v>813</v>
      </c>
      <c r="F16" s="18" t="s">
        <v>808</v>
      </c>
      <c r="G16" s="18" t="s">
        <v>764</v>
      </c>
      <c r="H16" s="18"/>
      <c r="I16" s="51"/>
      <c r="J16" s="18"/>
      <c r="K16" s="18" t="s">
        <v>759</v>
      </c>
      <c r="L16" s="1"/>
      <c r="M16" s="7" t="s">
        <v>60</v>
      </c>
      <c r="N16" s="7" t="s">
        <v>40</v>
      </c>
      <c r="O16" s="9"/>
    </row>
    <row r="17" spans="1:15" s="3" customFormat="1" ht="90" x14ac:dyDescent="0.25">
      <c r="A17" s="2" t="s">
        <v>12</v>
      </c>
      <c r="B17" s="1" t="s">
        <v>753</v>
      </c>
      <c r="C17" s="34" t="s">
        <v>91</v>
      </c>
      <c r="D17" s="1" t="s">
        <v>812</v>
      </c>
      <c r="E17" s="1" t="s">
        <v>813</v>
      </c>
      <c r="F17" s="18" t="s">
        <v>808</v>
      </c>
      <c r="G17" s="18" t="s">
        <v>764</v>
      </c>
      <c r="H17" s="18"/>
      <c r="I17" s="51"/>
      <c r="J17" s="18"/>
      <c r="K17" s="18" t="s">
        <v>759</v>
      </c>
      <c r="L17" s="18"/>
      <c r="M17" s="7" t="s">
        <v>60</v>
      </c>
      <c r="N17" s="7" t="s">
        <v>41</v>
      </c>
      <c r="O17" s="9" t="s">
        <v>66</v>
      </c>
    </row>
    <row r="18" spans="1:15" s="3" customFormat="1" ht="60" x14ac:dyDescent="0.25">
      <c r="A18" s="2" t="s">
        <v>13</v>
      </c>
      <c r="B18" s="1" t="s">
        <v>753</v>
      </c>
      <c r="C18" s="34" t="s">
        <v>811</v>
      </c>
      <c r="D18" s="34" t="s">
        <v>812</v>
      </c>
      <c r="E18" s="34" t="s">
        <v>813</v>
      </c>
      <c r="F18" s="18" t="s">
        <v>834</v>
      </c>
      <c r="G18" s="18" t="s">
        <v>836</v>
      </c>
      <c r="H18" s="18" t="s">
        <v>837</v>
      </c>
      <c r="I18" s="51">
        <v>2</v>
      </c>
      <c r="J18" s="18" t="s">
        <v>835</v>
      </c>
      <c r="K18" s="18" t="s">
        <v>75</v>
      </c>
      <c r="L18" s="1"/>
      <c r="M18" s="7" t="s">
        <v>60</v>
      </c>
      <c r="N18" s="7" t="s">
        <v>47</v>
      </c>
      <c r="O18" s="9"/>
    </row>
    <row r="19" spans="1:15" s="3" customFormat="1" ht="45" x14ac:dyDescent="0.25">
      <c r="A19" s="2" t="s">
        <v>21</v>
      </c>
      <c r="B19" s="1" t="s">
        <v>753</v>
      </c>
      <c r="C19" s="34" t="s">
        <v>811</v>
      </c>
      <c r="D19" s="34" t="s">
        <v>812</v>
      </c>
      <c r="E19" s="34" t="s">
        <v>813</v>
      </c>
      <c r="F19" s="33" t="s">
        <v>821</v>
      </c>
      <c r="G19" s="1" t="s">
        <v>800</v>
      </c>
      <c r="H19" s="18" t="s">
        <v>848</v>
      </c>
      <c r="I19" s="51">
        <v>4</v>
      </c>
      <c r="J19" s="18"/>
      <c r="K19" s="18" t="s">
        <v>75</v>
      </c>
      <c r="L19" s="1"/>
      <c r="M19" s="6" t="s">
        <v>57</v>
      </c>
      <c r="N19" s="6" t="s">
        <v>48</v>
      </c>
      <c r="O19" s="9"/>
    </row>
    <row r="20" spans="1:15" s="3" customFormat="1" ht="30" x14ac:dyDescent="0.25">
      <c r="A20" s="2" t="s">
        <v>6</v>
      </c>
      <c r="B20" s="1" t="s">
        <v>753</v>
      </c>
      <c r="C20" s="34" t="s">
        <v>811</v>
      </c>
      <c r="D20" s="34" t="s">
        <v>812</v>
      </c>
      <c r="E20" s="34" t="s">
        <v>813</v>
      </c>
      <c r="F20" s="18" t="s">
        <v>766</v>
      </c>
      <c r="G20" s="18" t="s">
        <v>766</v>
      </c>
      <c r="H20" s="18" t="s">
        <v>766</v>
      </c>
      <c r="I20" s="51" t="s">
        <v>766</v>
      </c>
      <c r="J20" s="18"/>
      <c r="K20" s="18" t="s">
        <v>760</v>
      </c>
      <c r="L20" s="1"/>
      <c r="M20" s="7" t="s">
        <v>60</v>
      </c>
      <c r="N20" s="7" t="s">
        <v>42</v>
      </c>
      <c r="O20" s="9"/>
    </row>
    <row r="21" spans="1:15" s="3" customFormat="1" ht="105" x14ac:dyDescent="0.25">
      <c r="A21" s="2" t="s">
        <v>3</v>
      </c>
      <c r="B21" s="1" t="s">
        <v>753</v>
      </c>
      <c r="C21" s="34" t="s">
        <v>811</v>
      </c>
      <c r="D21" s="34" t="s">
        <v>812</v>
      </c>
      <c r="E21" s="34" t="s">
        <v>813</v>
      </c>
      <c r="F21" s="33" t="s">
        <v>821</v>
      </c>
      <c r="G21" s="18" t="s">
        <v>820</v>
      </c>
      <c r="H21" s="18" t="s">
        <v>826</v>
      </c>
      <c r="I21" s="51">
        <v>2</v>
      </c>
      <c r="J21" s="1" t="s">
        <v>824</v>
      </c>
      <c r="K21" s="18" t="s">
        <v>75</v>
      </c>
      <c r="L21" s="1"/>
      <c r="M21" s="7" t="s">
        <v>60</v>
      </c>
      <c r="N21" s="7" t="s">
        <v>49</v>
      </c>
      <c r="O21" s="9" t="s">
        <v>64</v>
      </c>
    </row>
    <row r="22" spans="1:15" s="3" customFormat="1" ht="31.5" x14ac:dyDescent="0.25">
      <c r="A22" s="2" t="s">
        <v>18</v>
      </c>
      <c r="B22" s="1" t="s">
        <v>753</v>
      </c>
      <c r="C22" s="34" t="s">
        <v>811</v>
      </c>
      <c r="D22" s="34" t="s">
        <v>812</v>
      </c>
      <c r="E22" s="34" t="s">
        <v>813</v>
      </c>
      <c r="F22" s="18" t="s">
        <v>796</v>
      </c>
      <c r="G22" s="1" t="s">
        <v>802</v>
      </c>
      <c r="H22" s="18" t="s">
        <v>796</v>
      </c>
      <c r="I22" s="51">
        <v>9</v>
      </c>
      <c r="J22" s="1"/>
      <c r="K22" s="18" t="s">
        <v>75</v>
      </c>
      <c r="L22" s="1"/>
      <c r="M22" s="7" t="s">
        <v>57</v>
      </c>
      <c r="N22" s="7" t="s">
        <v>43</v>
      </c>
      <c r="O22" s="9" t="s">
        <v>67</v>
      </c>
    </row>
    <row r="23" spans="1:15" s="3" customFormat="1" ht="150" x14ac:dyDescent="0.25">
      <c r="A23" s="2" t="s">
        <v>8</v>
      </c>
      <c r="B23" s="1" t="s">
        <v>753</v>
      </c>
      <c r="C23" s="34" t="s">
        <v>811</v>
      </c>
      <c r="D23" s="34" t="s">
        <v>812</v>
      </c>
      <c r="E23" s="34" t="s">
        <v>813</v>
      </c>
      <c r="F23" s="18" t="s">
        <v>796</v>
      </c>
      <c r="G23" s="1" t="s">
        <v>803</v>
      </c>
      <c r="H23" s="18" t="s">
        <v>796</v>
      </c>
      <c r="I23" s="56"/>
      <c r="J23" s="18"/>
      <c r="K23" s="18" t="s">
        <v>75</v>
      </c>
      <c r="L23" s="1" t="s">
        <v>827</v>
      </c>
      <c r="M23" s="7" t="s">
        <v>57</v>
      </c>
      <c r="N23" s="7" t="s">
        <v>27</v>
      </c>
      <c r="O23" s="9"/>
    </row>
    <row r="24" spans="1:15" s="3" customFormat="1" ht="30" x14ac:dyDescent="0.25">
      <c r="A24" s="2" t="s">
        <v>14</v>
      </c>
      <c r="B24" s="1" t="s">
        <v>753</v>
      </c>
      <c r="C24" s="34" t="s">
        <v>811</v>
      </c>
      <c r="D24" s="34" t="s">
        <v>812</v>
      </c>
      <c r="E24" s="34" t="s">
        <v>813</v>
      </c>
      <c r="F24" s="33" t="s">
        <v>821</v>
      </c>
      <c r="G24" s="1" t="s">
        <v>801</v>
      </c>
      <c r="H24" s="18" t="s">
        <v>839</v>
      </c>
      <c r="I24" s="51">
        <v>3</v>
      </c>
      <c r="J24" s="18"/>
      <c r="K24" s="18" t="s">
        <v>75</v>
      </c>
      <c r="L24" s="1"/>
      <c r="M24" s="7" t="s">
        <v>57</v>
      </c>
      <c r="N24" s="7" t="s">
        <v>44</v>
      </c>
      <c r="O24" s="9"/>
    </row>
    <row r="25" spans="1:15" s="3" customFormat="1" ht="45" x14ac:dyDescent="0.25">
      <c r="A25" s="2" t="s">
        <v>0</v>
      </c>
      <c r="B25" s="1" t="s">
        <v>753</v>
      </c>
      <c r="C25" s="34" t="s">
        <v>811</v>
      </c>
      <c r="D25" s="34" t="s">
        <v>812</v>
      </c>
      <c r="E25" s="34" t="s">
        <v>813</v>
      </c>
      <c r="F25" s="18" t="s">
        <v>821</v>
      </c>
      <c r="G25" s="1" t="s">
        <v>804</v>
      </c>
      <c r="H25" s="49" t="s">
        <v>830</v>
      </c>
      <c r="I25" s="49">
        <v>0</v>
      </c>
      <c r="J25" s="50" t="s">
        <v>797</v>
      </c>
      <c r="K25" s="18" t="s">
        <v>759</v>
      </c>
      <c r="L25" s="1"/>
      <c r="M25" s="7" t="s">
        <v>57</v>
      </c>
      <c r="N25" s="7" t="s">
        <v>45</v>
      </c>
      <c r="O25" s="9"/>
    </row>
    <row r="26" spans="1:15" s="3" customFormat="1" ht="75" x14ac:dyDescent="0.25">
      <c r="A26" s="2" t="s">
        <v>50</v>
      </c>
      <c r="B26" s="1" t="s">
        <v>753</v>
      </c>
      <c r="C26" s="34" t="s">
        <v>811</v>
      </c>
      <c r="D26" s="34" t="s">
        <v>812</v>
      </c>
      <c r="E26" s="34" t="s">
        <v>813</v>
      </c>
      <c r="F26" s="33" t="s">
        <v>821</v>
      </c>
      <c r="G26" s="1" t="s">
        <v>809</v>
      </c>
      <c r="H26" s="3" t="s">
        <v>847</v>
      </c>
      <c r="I26" s="51">
        <v>2</v>
      </c>
      <c r="J26" s="18"/>
      <c r="K26" s="18" t="s">
        <v>75</v>
      </c>
      <c r="L26" s="1"/>
      <c r="M26" s="7" t="s">
        <v>60</v>
      </c>
      <c r="N26" s="7" t="s">
        <v>51</v>
      </c>
      <c r="O26" s="9"/>
    </row>
    <row r="27" spans="1:15" s="3" customFormat="1" ht="30" x14ac:dyDescent="0.25">
      <c r="A27" s="2" t="s">
        <v>15</v>
      </c>
      <c r="B27" s="1" t="s">
        <v>753</v>
      </c>
      <c r="C27" s="34" t="s">
        <v>811</v>
      </c>
      <c r="D27" s="34" t="s">
        <v>812</v>
      </c>
      <c r="E27" s="34" t="s">
        <v>813</v>
      </c>
      <c r="F27" s="33" t="s">
        <v>821</v>
      </c>
      <c r="G27" s="1" t="s">
        <v>810</v>
      </c>
      <c r="H27" s="18" t="s">
        <v>838</v>
      </c>
      <c r="I27" s="51">
        <v>1</v>
      </c>
      <c r="J27" s="18" t="s">
        <v>840</v>
      </c>
      <c r="K27" s="18" t="s">
        <v>75</v>
      </c>
      <c r="L27" s="1"/>
      <c r="M27" s="7" t="s">
        <v>60</v>
      </c>
      <c r="N27" s="7" t="s">
        <v>52</v>
      </c>
      <c r="O27" s="9"/>
    </row>
    <row r="28" spans="1:15" s="3" customFormat="1" ht="105" x14ac:dyDescent="0.25">
      <c r="A28" s="2" t="s">
        <v>20</v>
      </c>
      <c r="B28" s="1" t="s">
        <v>753</v>
      </c>
      <c r="C28" s="34" t="s">
        <v>811</v>
      </c>
      <c r="D28" s="1" t="s">
        <v>812</v>
      </c>
      <c r="E28" s="1" t="s">
        <v>813</v>
      </c>
      <c r="F28" s="18" t="s">
        <v>808</v>
      </c>
      <c r="G28" s="18" t="s">
        <v>766</v>
      </c>
      <c r="H28" s="18" t="s">
        <v>766</v>
      </c>
      <c r="I28" s="18" t="s">
        <v>766</v>
      </c>
      <c r="J28" s="18" t="s">
        <v>766</v>
      </c>
      <c r="K28" s="18" t="s">
        <v>759</v>
      </c>
      <c r="L28" s="1"/>
      <c r="N28" s="7" t="s">
        <v>762</v>
      </c>
      <c r="O28" s="9"/>
    </row>
    <row r="29" spans="1:15" s="3" customFormat="1" ht="105" x14ac:dyDescent="0.25">
      <c r="A29" s="2" t="s">
        <v>20</v>
      </c>
      <c r="B29" s="1" t="s">
        <v>753</v>
      </c>
      <c r="C29" s="34" t="s">
        <v>811</v>
      </c>
      <c r="D29" s="34" t="s">
        <v>812</v>
      </c>
      <c r="E29" s="34" t="s">
        <v>813</v>
      </c>
      <c r="F29" s="18" t="s">
        <v>808</v>
      </c>
      <c r="G29" s="18" t="s">
        <v>766</v>
      </c>
      <c r="H29" s="18" t="s">
        <v>766</v>
      </c>
      <c r="I29" s="51" t="s">
        <v>766</v>
      </c>
      <c r="J29" s="52" t="s">
        <v>766</v>
      </c>
      <c r="K29" s="18" t="s">
        <v>759</v>
      </c>
      <c r="L29" s="1"/>
      <c r="N29" s="7" t="s">
        <v>763</v>
      </c>
      <c r="O29" s="9"/>
    </row>
    <row r="30" spans="1:15" x14ac:dyDescent="0.25">
      <c r="N30" s="8"/>
    </row>
    <row r="31" spans="1:15" x14ac:dyDescent="0.25">
      <c r="N31" s="8"/>
    </row>
    <row r="32" spans="1:15" x14ac:dyDescent="0.25">
      <c r="N32" s="8"/>
    </row>
  </sheetData>
  <autoFilter ref="A2:O29" xr:uid="{67133217-09C3-499A-9637-02AA7A0868F7}"/>
  <phoneticPr fontId="11" type="noConversion"/>
  <conditionalFormatting sqref="F3:F5 H3:H4 F18:F27">
    <cfRule type="expression" dxfId="93" priority="306">
      <formula>COUNTBLANK($F3)</formula>
    </cfRule>
  </conditionalFormatting>
  <conditionalFormatting sqref="H19 H29">
    <cfRule type="expression" dxfId="92" priority="298">
      <formula>COUNTBLANK($H19)</formula>
    </cfRule>
  </conditionalFormatting>
  <conditionalFormatting sqref="F6 F11">
    <cfRule type="expression" dxfId="91" priority="291">
      <formula>COUNTBLANK($F6)</formula>
    </cfRule>
  </conditionalFormatting>
  <conditionalFormatting sqref="G21 F19 H19:J19 G8:G9 G11:G17 I26:J26">
    <cfRule type="expression" dxfId="90" priority="290">
      <formula>COUNTBLANK($G8)</formula>
    </cfRule>
  </conditionalFormatting>
  <conditionalFormatting sqref="H5:H6 H11">
    <cfRule type="expression" dxfId="89" priority="289">
      <formula>COUNTBLANK($H5)</formula>
    </cfRule>
  </conditionalFormatting>
  <conditionalFormatting sqref="I3:I6">
    <cfRule type="expression" dxfId="88" priority="288">
      <formula>COUNTBLANK($I3)</formula>
    </cfRule>
  </conditionalFormatting>
  <conditionalFormatting sqref="I11">
    <cfRule type="expression" dxfId="86" priority="286">
      <formula>COUNTBLANK($I11)</formula>
    </cfRule>
  </conditionalFormatting>
  <conditionalFormatting sqref="K3:K29">
    <cfRule type="expression" dxfId="85" priority="191">
      <formula>COUNTBLANK($K3)</formula>
    </cfRule>
  </conditionalFormatting>
  <conditionalFormatting sqref="F29">
    <cfRule type="expression" dxfId="84" priority="181">
      <formula>COUNTBLANK($F29)</formula>
    </cfRule>
  </conditionalFormatting>
  <conditionalFormatting sqref="G28:G29">
    <cfRule type="expression" dxfId="83" priority="180">
      <formula>COUNTBLANK($G28)</formula>
    </cfRule>
  </conditionalFormatting>
  <conditionalFormatting sqref="H28:J28">
    <cfRule type="expression" dxfId="82" priority="179">
      <formula>COUNTBLANK($H28)</formula>
    </cfRule>
  </conditionalFormatting>
  <conditionalFormatting sqref="A3 A25 A27">
    <cfRule type="expression" dxfId="81" priority="142">
      <formula>COUNTBLANK($F3:$H3)</formula>
    </cfRule>
  </conditionalFormatting>
  <conditionalFormatting sqref="A3 A28:A29">
    <cfRule type="expression" dxfId="80" priority="140">
      <formula>$K3="Not Audited"</formula>
    </cfRule>
    <cfRule type="expression" dxfId="79" priority="141">
      <formula>$K3="Not Applicable"</formula>
    </cfRule>
  </conditionalFormatting>
  <conditionalFormatting sqref="A11:A13 A6:A9 A28:A29">
    <cfRule type="expression" dxfId="78" priority="139">
      <formula>COUNTBLANK($F6:$I6)</formula>
    </cfRule>
  </conditionalFormatting>
  <conditionalFormatting sqref="A6:A9 A11:A13">
    <cfRule type="expression" dxfId="77" priority="137">
      <formula>$K6="Not Audited"</formula>
    </cfRule>
    <cfRule type="expression" dxfId="76" priority="138">
      <formula>$K6="Not Applicable"</formula>
    </cfRule>
  </conditionalFormatting>
  <conditionalFormatting sqref="A10">
    <cfRule type="expression" dxfId="75" priority="136">
      <formula>COUNTBLANK($F10:$H10)</formula>
    </cfRule>
  </conditionalFormatting>
  <conditionalFormatting sqref="A10">
    <cfRule type="expression" dxfId="74" priority="134">
      <formula>$K10="Not Audited"</formula>
    </cfRule>
    <cfRule type="expression" dxfId="73" priority="135">
      <formula>$K10="Not Applicable"</formula>
    </cfRule>
  </conditionalFormatting>
  <conditionalFormatting sqref="A15">
    <cfRule type="expression" dxfId="72" priority="133">
      <formula>COUNTBLANK($F15:$H15)</formula>
    </cfRule>
  </conditionalFormatting>
  <conditionalFormatting sqref="A15">
    <cfRule type="expression" dxfId="71" priority="131">
      <formula>$K15="Not Audited"</formula>
    </cfRule>
    <cfRule type="expression" dxfId="70" priority="132">
      <formula>$K15="Not Applicable"</formula>
    </cfRule>
  </conditionalFormatting>
  <conditionalFormatting sqref="A14">
    <cfRule type="expression" dxfId="69" priority="130">
      <formula>COUNTBLANK($F14:$H14)</formula>
    </cfRule>
  </conditionalFormatting>
  <conditionalFormatting sqref="A14">
    <cfRule type="expression" dxfId="68" priority="128">
      <formula>$K14="Not Audited"</formula>
    </cfRule>
    <cfRule type="expression" dxfId="67" priority="129">
      <formula>$K14="Not Applicable"</formula>
    </cfRule>
  </conditionalFormatting>
  <conditionalFormatting sqref="A16:A17">
    <cfRule type="expression" dxfId="66" priority="127">
      <formula>COUNTBLANK($F16:$H16)</formula>
    </cfRule>
  </conditionalFormatting>
  <conditionalFormatting sqref="A16:A17">
    <cfRule type="expression" dxfId="65" priority="125">
      <formula>$K16="Not Audited"</formula>
    </cfRule>
    <cfRule type="expression" dxfId="64" priority="126">
      <formula>$K16="Not Applicable"</formula>
    </cfRule>
  </conditionalFormatting>
  <conditionalFormatting sqref="A18">
    <cfRule type="expression" dxfId="63" priority="124">
      <formula>COUNTBLANK($F18:$H18)</formula>
    </cfRule>
  </conditionalFormatting>
  <conditionalFormatting sqref="A18">
    <cfRule type="expression" dxfId="62" priority="122">
      <formula>$K18="Not Audited"</formula>
    </cfRule>
    <cfRule type="expression" dxfId="61" priority="123">
      <formula>$K18="Not Applicable"</formula>
    </cfRule>
  </conditionalFormatting>
  <conditionalFormatting sqref="A19:A21">
    <cfRule type="expression" dxfId="60" priority="121">
      <formula>COUNTBLANK($F19:$H19)</formula>
    </cfRule>
  </conditionalFormatting>
  <conditionalFormatting sqref="A19:A21">
    <cfRule type="expression" dxfId="59" priority="119">
      <formula>$K19="Not Audited"</formula>
    </cfRule>
    <cfRule type="expression" dxfId="58" priority="120">
      <formula>$K19="Not Applicable"</formula>
    </cfRule>
  </conditionalFormatting>
  <conditionalFormatting sqref="A22:A24">
    <cfRule type="expression" dxfId="57" priority="118">
      <formula>COUNTBLANK($F22:$H22)</formula>
    </cfRule>
  </conditionalFormatting>
  <conditionalFormatting sqref="A22:A24">
    <cfRule type="expression" dxfId="56" priority="116">
      <formula>$K22="Not Audited"</formula>
    </cfRule>
    <cfRule type="expression" dxfId="55" priority="117">
      <formula>$K22="Not Applicable"</formula>
    </cfRule>
  </conditionalFormatting>
  <conditionalFormatting sqref="A25:A27">
    <cfRule type="expression" dxfId="54" priority="113">
      <formula>$K25="Not Audited"</formula>
    </cfRule>
    <cfRule type="expression" dxfId="53" priority="114">
      <formula>$K25="Not Applicable"</formula>
    </cfRule>
  </conditionalFormatting>
  <conditionalFormatting sqref="A4">
    <cfRule type="expression" dxfId="52" priority="112">
      <formula>COUNTBLANK($F4:$H4)</formula>
    </cfRule>
  </conditionalFormatting>
  <conditionalFormatting sqref="A4">
    <cfRule type="expression" dxfId="51" priority="110">
      <formula>$K4="Not Audited"</formula>
    </cfRule>
    <cfRule type="expression" dxfId="50" priority="111">
      <formula>$K4="Not Applicable"</formula>
    </cfRule>
  </conditionalFormatting>
  <conditionalFormatting sqref="A5">
    <cfRule type="expression" dxfId="49" priority="109">
      <formula>COUNTBLANK($F5:$H5)</formula>
    </cfRule>
  </conditionalFormatting>
  <conditionalFormatting sqref="A5">
    <cfRule type="expression" dxfId="48" priority="107">
      <formula>$K5="Not Audited"</formula>
    </cfRule>
    <cfRule type="expression" dxfId="47" priority="108">
      <formula>$K5="Not Applicable"</formula>
    </cfRule>
  </conditionalFormatting>
  <conditionalFormatting sqref="F7:F9">
    <cfRule type="expression" dxfId="46" priority="103">
      <formula>COUNTBLANK($F7)</formula>
    </cfRule>
  </conditionalFormatting>
  <conditionalFormatting sqref="H18">
    <cfRule type="expression" dxfId="45" priority="98">
      <formula>COUNTBLANK($F18)</formula>
    </cfRule>
  </conditionalFormatting>
  <conditionalFormatting sqref="G18">
    <cfRule type="expression" dxfId="40" priority="89">
      <formula>COUNTBLANK($F18)</formula>
    </cfRule>
  </conditionalFormatting>
  <conditionalFormatting sqref="J18">
    <cfRule type="expression" dxfId="39" priority="87">
      <formula>COUNTBLANK($F18)</formula>
    </cfRule>
  </conditionalFormatting>
  <conditionalFormatting sqref="H22:H23">
    <cfRule type="expression" dxfId="38" priority="86">
      <formula>COUNTBLANK($F22)</formula>
    </cfRule>
  </conditionalFormatting>
  <conditionalFormatting sqref="I25">
    <cfRule type="expression" dxfId="37" priority="83">
      <formula>COUNTBLANK($F25)</formula>
    </cfRule>
  </conditionalFormatting>
  <conditionalFormatting sqref="H25">
    <cfRule type="expression" dxfId="36" priority="81">
      <formula>COUNTBLANK($F25)</formula>
    </cfRule>
  </conditionalFormatting>
  <conditionalFormatting sqref="H24:J24">
    <cfRule type="expression" dxfId="35" priority="80">
      <formula>COUNTBLANK($H24)</formula>
    </cfRule>
  </conditionalFormatting>
  <conditionalFormatting sqref="G6">
    <cfRule type="expression" dxfId="33" priority="76">
      <formula>COUNTBLANK($G6)</formula>
    </cfRule>
  </conditionalFormatting>
  <conditionalFormatting sqref="I29">
    <cfRule type="expression" dxfId="32" priority="74">
      <formula>COUNTBLANK($I29)</formula>
    </cfRule>
  </conditionalFormatting>
  <conditionalFormatting sqref="H21:I21">
    <cfRule type="expression" dxfId="31" priority="73">
      <formula>COUNTBLANK($H21)</formula>
    </cfRule>
  </conditionalFormatting>
  <conditionalFormatting sqref="F10:J10">
    <cfRule type="expression" dxfId="30" priority="33">
      <formula>COUNTBLANK($F10)</formula>
    </cfRule>
  </conditionalFormatting>
  <conditionalFormatting sqref="G19 G26:G27">
    <cfRule type="expression" dxfId="29" priority="18">
      <formula>COUNTBLANK($C19)</formula>
    </cfRule>
  </conditionalFormatting>
  <conditionalFormatting sqref="G22:G25">
    <cfRule type="expression" dxfId="28" priority="16">
      <formula>COUNTBLANK($C22)</formula>
    </cfRule>
  </conditionalFormatting>
  <conditionalFormatting sqref="G3">
    <cfRule type="expression" dxfId="27" priority="15">
      <formula>COUNTBLANK($C3)</formula>
    </cfRule>
  </conditionalFormatting>
  <conditionalFormatting sqref="G5">
    <cfRule type="expression" dxfId="26" priority="14">
      <formula>COUNTBLANK($C5)</formula>
    </cfRule>
  </conditionalFormatting>
  <conditionalFormatting sqref="G4">
    <cfRule type="expression" dxfId="25" priority="13">
      <formula>COUNTBLANK($C4)</formula>
    </cfRule>
  </conditionalFormatting>
  <conditionalFormatting sqref="G7">
    <cfRule type="expression" dxfId="24" priority="12">
      <formula>COUNTBLANK($C7)</formula>
    </cfRule>
  </conditionalFormatting>
  <conditionalFormatting sqref="F12">
    <cfRule type="expression" dxfId="23" priority="11">
      <formula>COUNTBLANK($F12)</formula>
    </cfRule>
  </conditionalFormatting>
  <conditionalFormatting sqref="F13">
    <cfRule type="expression" dxfId="22" priority="10">
      <formula>COUNTBLANK($F13)</formula>
    </cfRule>
  </conditionalFormatting>
  <conditionalFormatting sqref="F14">
    <cfRule type="expression" dxfId="21" priority="9">
      <formula>COUNTBLANK($F14)</formula>
    </cfRule>
  </conditionalFormatting>
  <conditionalFormatting sqref="F15">
    <cfRule type="expression" dxfId="20" priority="8">
      <formula>COUNTBLANK($F15)</formula>
    </cfRule>
  </conditionalFormatting>
  <conditionalFormatting sqref="F16">
    <cfRule type="expression" dxfId="19" priority="7">
      <formula>COUNTBLANK($F16)</formula>
    </cfRule>
  </conditionalFormatting>
  <conditionalFormatting sqref="F17">
    <cfRule type="expression" dxfId="18" priority="6">
      <formula>COUNTBLANK($F17)</formula>
    </cfRule>
  </conditionalFormatting>
  <conditionalFormatting sqref="F28">
    <cfRule type="expression" dxfId="17" priority="4">
      <formula>COUNTBLANK($F28)</formula>
    </cfRule>
  </conditionalFormatting>
  <conditionalFormatting sqref="A26">
    <cfRule type="expression" dxfId="16" priority="340">
      <formula>COUNTBLANK($F26:$G26)</formula>
    </cfRule>
  </conditionalFormatting>
  <conditionalFormatting sqref="H27:J27">
    <cfRule type="expression" dxfId="15" priority="341">
      <formula>COUNTBLANK(#REF!)</formula>
    </cfRule>
  </conditionalFormatting>
  <conditionalFormatting sqref="G20:H20">
    <cfRule type="expression" dxfId="14" priority="3">
      <formula>COUNTBLANK($F20)</formula>
    </cfRule>
  </conditionalFormatting>
  <conditionalFormatting sqref="I20">
    <cfRule type="expression" dxfId="13" priority="2">
      <formula>COUNTBLANK($F20)</formula>
    </cfRule>
  </conditionalFormatting>
  <conditionalFormatting sqref="I18">
    <cfRule type="expression" dxfId="0" priority="1">
      <formula>COUNTBLANK($G18)</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ellIs" priority="330" operator="equal" id="{DD9D8C0B-E118-4EDA-86CB-C24BB53513E3}">
            <xm:f>Sheet1!$A$7</xm:f>
            <x14:dxf>
              <fill>
                <patternFill>
                  <bgColor theme="5"/>
                </patternFill>
              </fill>
            </x14:dxf>
          </x14:cfRule>
          <x14:cfRule type="cellIs" priority="331" operator="equal" id="{03FA0D5D-273B-4B2A-92F7-11943347B225}">
            <xm:f>Sheet1!$A$6</xm:f>
            <x14:dxf>
              <fill>
                <patternFill>
                  <bgColor rgb="FF00B0F0"/>
                </patternFill>
              </fill>
            </x14:dxf>
          </x14:cfRule>
          <x14:cfRule type="cellIs" priority="332" operator="equal" id="{B3323DCA-6455-4080-96AD-FFC5D7B6922A}">
            <xm:f>Sheet1!$A$5</xm:f>
            <x14:dxf>
              <fill>
                <patternFill>
                  <bgColor rgb="FFFF0000"/>
                </patternFill>
              </fill>
            </x14:dxf>
          </x14:cfRule>
          <x14:cfRule type="cellIs" priority="333" operator="equal" id="{24C2B7C9-4BA8-45FA-877F-4B96336261BE}">
            <xm:f>Sheet1!$A$4</xm:f>
            <x14:dxf>
              <fill>
                <patternFill>
                  <bgColor rgb="FFFFFF00"/>
                </patternFill>
              </fill>
            </x14:dxf>
          </x14:cfRule>
          <x14:cfRule type="cellIs" priority="334" operator="equal" id="{94BBB2C3-4911-4C16-A6DC-80F592447786}">
            <xm:f>Sheet1!$A$3</xm:f>
            <x14:dxf>
              <fill>
                <patternFill>
                  <bgColor theme="9" tint="0.59996337778862885"/>
                </patternFill>
              </fill>
            </x14:dxf>
          </x14:cfRule>
          <x14:cfRule type="cellIs" priority="335" operator="equal" id="{01CDB396-BAD4-4854-B364-72E95820D3D4}">
            <xm:f>Sheet1!$A$2</xm:f>
            <x14:dxf>
              <fill>
                <patternFill>
                  <bgColor theme="9" tint="0.39994506668294322"/>
                </patternFill>
              </fill>
            </x14:dxf>
          </x14:cfRule>
          <xm:sqref>K4:K29</xm:sqref>
        </x14:conditionalFormatting>
        <x14:conditionalFormatting xmlns:xm="http://schemas.microsoft.com/office/excel/2006/main">
          <x14:cfRule type="cellIs" priority="192" operator="equal" id="{6F7E0579-96B6-4271-94CE-452DB74F50BE}">
            <xm:f>Sheet1!$A$7</xm:f>
            <x14:dxf>
              <fill>
                <patternFill>
                  <bgColor theme="5"/>
                </patternFill>
              </fill>
            </x14:dxf>
          </x14:cfRule>
          <x14:cfRule type="cellIs" priority="193" operator="equal" id="{40A3F120-6DBC-481C-B9F8-331116964E9B}">
            <xm:f>Sheet1!$A$6</xm:f>
            <x14:dxf>
              <fill>
                <patternFill>
                  <bgColor rgb="FF00B0F0"/>
                </patternFill>
              </fill>
            </x14:dxf>
          </x14:cfRule>
          <x14:cfRule type="cellIs" priority="194" operator="equal" id="{09A92345-2D60-4171-8CB9-95F7B4A7A710}">
            <xm:f>Sheet1!$A$5</xm:f>
            <x14:dxf>
              <fill>
                <patternFill>
                  <bgColor rgb="FFFF0000"/>
                </patternFill>
              </fill>
            </x14:dxf>
          </x14:cfRule>
          <x14:cfRule type="cellIs" priority="195" operator="equal" id="{14677CC0-D33D-40C9-90B0-3A0741EA278E}">
            <xm:f>Sheet1!$A$4</xm:f>
            <x14:dxf>
              <fill>
                <patternFill>
                  <bgColor rgb="FFFFFF00"/>
                </patternFill>
              </fill>
            </x14:dxf>
          </x14:cfRule>
          <x14:cfRule type="cellIs" priority="196" operator="equal" id="{359CCB9F-78E6-455B-8564-87B1BAD49624}">
            <xm:f>Sheet1!$A$3</xm:f>
            <x14:dxf>
              <fill>
                <patternFill>
                  <bgColor theme="9" tint="0.59996337778862885"/>
                </patternFill>
              </fill>
            </x14:dxf>
          </x14:cfRule>
          <x14:cfRule type="cellIs" priority="197" operator="equal" id="{0319C9EB-2A94-4E34-BB8A-56755EEEE381}">
            <xm:f>Sheet1!$A$2</xm:f>
            <x14:dxf>
              <fill>
                <patternFill>
                  <bgColor theme="9" tint="0.39994506668294322"/>
                </patternFill>
              </fill>
            </x14:dxf>
          </x14:cfRule>
          <xm:sqref>K3:K29</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B44858EE-115E-4222-AA8A-271C04ED7B29}">
          <x14:formula1>
            <xm:f>Sheet1!$D$2:$D$281</xm:f>
          </x14:formula1>
          <xm:sqref>D3:D29</xm:sqref>
        </x14:dataValidation>
        <x14:dataValidation type="list" allowBlank="1" showInputMessage="1" showErrorMessage="1" xr:uid="{63349FC6-0271-45C2-A85A-93EDFEA99842}">
          <x14:formula1>
            <xm:f>Sheet1!$E$2:$E$48</xm:f>
          </x14:formula1>
          <xm:sqref>E3:E29</xm:sqref>
        </x14:dataValidation>
        <x14:dataValidation type="list" allowBlank="1" showInputMessage="1" showErrorMessage="1" xr:uid="{2D588283-03E5-4277-B5F1-6958C8D538CD}">
          <x14:formula1>
            <xm:f>Sheet1!$B$2:$B$6</xm:f>
          </x14:formula1>
          <xm:sqref>B3:B29</xm:sqref>
        </x14:dataValidation>
        <x14:dataValidation type="list" allowBlank="1" showInputMessage="1" showErrorMessage="1" xr:uid="{C12E3E95-256F-4AC2-A325-D543E4E043D6}">
          <x14:formula1>
            <xm:f>Sheet1!$A$2:$A$7</xm:f>
          </x14:formula1>
          <xm:sqref>K3:K29</xm:sqref>
        </x14:dataValidation>
        <x14:dataValidation type="list" allowBlank="1" showInputMessage="1" showErrorMessage="1" xr:uid="{B22EDFE0-A8F6-43CD-BFC9-154F557DB09C}">
          <x14:formula1>
            <xm:f>_xlfn.IFS(B3=Sheet1!$B$2,Sheet1!$C$2:$C$114,B3=Sheet1!$B$3,Sheet1!$C$115:$C$239, B3=Sheet1!$B$4,Sheet1!$C$240:$C$297,B3=Sheet1!$B$5,Sheet1!$C$298:$C$347,B3=Sheet1!$B$6,Sheet1!$C$2:$C$347)</xm:f>
          </x14:formula1>
          <xm:sqref>C3:C29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35E50-F37F-4C8E-80BC-0A5AEA09FF02}">
  <sheetPr codeName="Sheet3"/>
  <dimension ref="A1:A6"/>
  <sheetViews>
    <sheetView workbookViewId="0">
      <selection activeCell="A2" sqref="A2"/>
    </sheetView>
  </sheetViews>
  <sheetFormatPr defaultRowHeight="15" x14ac:dyDescent="0.25"/>
  <cols>
    <col min="1" max="1" width="86.85546875" customWidth="1"/>
  </cols>
  <sheetData>
    <row r="1" spans="1:1" x14ac:dyDescent="0.25">
      <c r="A1" t="s">
        <v>59</v>
      </c>
    </row>
    <row r="2" spans="1:1" x14ac:dyDescent="0.25">
      <c r="A2" t="s">
        <v>54</v>
      </c>
    </row>
    <row r="4" spans="1:1" ht="274.5" customHeight="1" x14ac:dyDescent="0.25">
      <c r="A4" s="3" t="s">
        <v>767</v>
      </c>
    </row>
    <row r="6" spans="1:1" ht="60" x14ac:dyDescent="0.25">
      <c r="A6" s="3" t="s">
        <v>750</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141B35-16C8-4F86-9D70-25193E43A88E}">
  <dimension ref="A1:S186"/>
  <sheetViews>
    <sheetView showGridLines="0" workbookViewId="0"/>
  </sheetViews>
  <sheetFormatPr defaultRowHeight="15" x14ac:dyDescent="0.25"/>
  <cols>
    <col min="1" max="1" width="27.42578125" style="59" customWidth="1"/>
    <col min="2" max="2" width="14.7109375" style="59" customWidth="1"/>
    <col min="3" max="3" width="17.42578125" style="59" customWidth="1"/>
    <col min="4" max="4" width="13.5703125" style="59" customWidth="1"/>
    <col min="5" max="5" width="13.85546875" style="59" customWidth="1"/>
    <col min="6" max="6" width="15.7109375" style="59" customWidth="1"/>
    <col min="7" max="7" width="9.85546875" style="59" customWidth="1"/>
    <col min="8" max="8" width="13.140625" style="59" customWidth="1"/>
    <col min="9" max="9" width="12.85546875" style="59" customWidth="1"/>
    <col min="10" max="10" width="14.28515625" style="59" customWidth="1"/>
    <col min="11" max="11" width="13.85546875" style="59" customWidth="1"/>
    <col min="12" max="12" width="35.28515625" style="59" customWidth="1"/>
    <col min="13" max="13" width="6.42578125" style="59" customWidth="1"/>
    <col min="14" max="14" width="95.28515625" style="59" customWidth="1"/>
    <col min="15" max="15" width="13.5703125" style="59" customWidth="1"/>
    <col min="16" max="16" width="21.5703125" style="59" customWidth="1"/>
    <col min="17" max="17" width="9.28515625" style="59" customWidth="1"/>
    <col min="18" max="18" width="10" style="59" customWidth="1"/>
    <col min="19" max="19" width="95.28515625" style="59" customWidth="1"/>
    <col min="20" max="20" width="0.7109375" style="59" customWidth="1"/>
    <col min="21" max="16384" width="9.140625" style="59"/>
  </cols>
  <sheetData>
    <row r="1" spans="1:19" ht="19.5" customHeight="1" x14ac:dyDescent="0.25">
      <c r="A1" s="57" t="s">
        <v>851</v>
      </c>
      <c r="B1" s="58" t="s">
        <v>852</v>
      </c>
      <c r="C1" s="57" t="s">
        <v>853</v>
      </c>
      <c r="D1" s="58" t="s">
        <v>854</v>
      </c>
    </row>
    <row r="2" spans="1:19" ht="19.5" customHeight="1" x14ac:dyDescent="0.25">
      <c r="A2" s="57" t="s">
        <v>855</v>
      </c>
      <c r="B2" s="58" t="s">
        <v>852</v>
      </c>
      <c r="C2" s="57" t="s">
        <v>856</v>
      </c>
      <c r="D2" s="58" t="s">
        <v>852</v>
      </c>
    </row>
    <row r="3" spans="1:19" ht="19.5" customHeight="1" x14ac:dyDescent="0.25">
      <c r="A3" s="57" t="s">
        <v>857</v>
      </c>
      <c r="B3" s="58" t="s">
        <v>852</v>
      </c>
      <c r="C3" s="57" t="s">
        <v>858</v>
      </c>
      <c r="D3" s="58" t="s">
        <v>852</v>
      </c>
    </row>
    <row r="4" spans="1:19" ht="19.5" customHeight="1" x14ac:dyDescent="0.25">
      <c r="A4" s="57" t="s">
        <v>859</v>
      </c>
      <c r="B4" s="58" t="s">
        <v>860</v>
      </c>
      <c r="C4" s="57" t="s">
        <v>861</v>
      </c>
      <c r="D4" s="58" t="s">
        <v>852</v>
      </c>
    </row>
    <row r="5" spans="1:19" ht="19.5" customHeight="1" x14ac:dyDescent="0.25">
      <c r="A5" s="57" t="s">
        <v>862</v>
      </c>
      <c r="B5" s="58" t="s">
        <v>852</v>
      </c>
      <c r="C5" s="57" t="s">
        <v>863</v>
      </c>
      <c r="D5" s="58" t="s">
        <v>852</v>
      </c>
    </row>
    <row r="6" spans="1:19" ht="19.5" customHeight="1" x14ac:dyDescent="0.25">
      <c r="A6" s="57" t="s">
        <v>864</v>
      </c>
      <c r="B6" s="58" t="s">
        <v>852</v>
      </c>
      <c r="C6" s="57" t="s">
        <v>865</v>
      </c>
      <c r="D6" s="58" t="s">
        <v>852</v>
      </c>
    </row>
    <row r="7" spans="1:19" x14ac:dyDescent="0.25">
      <c r="A7" s="60" t="s">
        <v>866</v>
      </c>
    </row>
    <row r="9" spans="1:19" ht="22.5" x14ac:dyDescent="0.25">
      <c r="A9" s="61" t="s">
        <v>861</v>
      </c>
      <c r="B9" s="61" t="s">
        <v>863</v>
      </c>
      <c r="C9" s="61" t="s">
        <v>867</v>
      </c>
      <c r="D9" s="61" t="s">
        <v>868</v>
      </c>
      <c r="E9" s="61" t="s">
        <v>853</v>
      </c>
      <c r="F9" s="61" t="s">
        <v>851</v>
      </c>
      <c r="G9" s="61" t="s">
        <v>855</v>
      </c>
      <c r="H9" s="61" t="s">
        <v>869</v>
      </c>
      <c r="I9" s="61" t="s">
        <v>870</v>
      </c>
      <c r="J9" s="61" t="s">
        <v>871</v>
      </c>
      <c r="K9" s="61" t="s">
        <v>872</v>
      </c>
      <c r="L9" s="61" t="s">
        <v>873</v>
      </c>
      <c r="M9" s="61" t="s">
        <v>874</v>
      </c>
      <c r="N9" s="61" t="s">
        <v>875</v>
      </c>
      <c r="O9" s="61" t="s">
        <v>864</v>
      </c>
      <c r="P9" s="61" t="s">
        <v>876</v>
      </c>
      <c r="Q9" s="61" t="s">
        <v>858</v>
      </c>
      <c r="R9" s="61" t="s">
        <v>877</v>
      </c>
      <c r="S9" s="62" t="s">
        <v>878</v>
      </c>
    </row>
    <row r="10" spans="1:19" x14ac:dyDescent="0.25">
      <c r="A10" s="63" t="s">
        <v>323</v>
      </c>
      <c r="B10" s="63" t="s">
        <v>405</v>
      </c>
      <c r="C10" s="63" t="s">
        <v>879</v>
      </c>
      <c r="D10" s="63" t="s">
        <v>880</v>
      </c>
      <c r="E10" s="63" t="s">
        <v>854</v>
      </c>
      <c r="F10" s="63" t="s">
        <v>881</v>
      </c>
      <c r="G10" s="63" t="s">
        <v>882</v>
      </c>
      <c r="H10" s="63" t="s">
        <v>883</v>
      </c>
      <c r="I10" s="64">
        <v>42005</v>
      </c>
      <c r="J10" s="64">
        <v>42628</v>
      </c>
      <c r="K10" s="64">
        <v>44071</v>
      </c>
      <c r="L10" s="65"/>
      <c r="M10" s="63" t="s">
        <v>884</v>
      </c>
      <c r="N10" s="63" t="s">
        <v>885</v>
      </c>
      <c r="O10" s="63" t="s">
        <v>886</v>
      </c>
      <c r="P10" s="63" t="s">
        <v>887</v>
      </c>
      <c r="Q10" s="63" t="s">
        <v>888</v>
      </c>
      <c r="R10" s="63" t="s">
        <v>860</v>
      </c>
      <c r="S10" s="66" t="s">
        <v>889</v>
      </c>
    </row>
    <row r="11" spans="1:19" x14ac:dyDescent="0.25">
      <c r="A11" s="67" t="s">
        <v>323</v>
      </c>
      <c r="B11" s="67" t="s">
        <v>405</v>
      </c>
      <c r="C11" s="67" t="s">
        <v>879</v>
      </c>
      <c r="D11" s="67" t="s">
        <v>880</v>
      </c>
      <c r="E11" s="67" t="s">
        <v>854</v>
      </c>
      <c r="F11" s="67" t="s">
        <v>881</v>
      </c>
      <c r="G11" s="67" t="s">
        <v>890</v>
      </c>
      <c r="H11" s="67" t="s">
        <v>883</v>
      </c>
      <c r="I11" s="68">
        <v>42005</v>
      </c>
      <c r="J11" s="68">
        <v>42628</v>
      </c>
      <c r="K11" s="68">
        <v>44071</v>
      </c>
      <c r="L11" s="69"/>
      <c r="M11" s="67" t="s">
        <v>884</v>
      </c>
      <c r="N11" s="67" t="s">
        <v>891</v>
      </c>
      <c r="O11" s="67" t="s">
        <v>886</v>
      </c>
      <c r="P11" s="67" t="s">
        <v>887</v>
      </c>
      <c r="Q11" s="67" t="s">
        <v>888</v>
      </c>
      <c r="R11" s="67" t="s">
        <v>860</v>
      </c>
      <c r="S11" s="70" t="s">
        <v>889</v>
      </c>
    </row>
    <row r="12" spans="1:19" x14ac:dyDescent="0.25">
      <c r="A12" s="63" t="s">
        <v>323</v>
      </c>
      <c r="B12" s="63" t="s">
        <v>405</v>
      </c>
      <c r="C12" s="63" t="s">
        <v>879</v>
      </c>
      <c r="D12" s="63" t="s">
        <v>880</v>
      </c>
      <c r="E12" s="63" t="s">
        <v>854</v>
      </c>
      <c r="F12" s="63" t="s">
        <v>892</v>
      </c>
      <c r="G12" s="63" t="s">
        <v>893</v>
      </c>
      <c r="H12" s="63" t="s">
        <v>883</v>
      </c>
      <c r="I12" s="65"/>
      <c r="J12" s="64">
        <v>41960</v>
      </c>
      <c r="K12" s="64">
        <v>44071</v>
      </c>
      <c r="L12" s="65"/>
      <c r="M12" s="63" t="s">
        <v>894</v>
      </c>
      <c r="N12" s="63" t="s">
        <v>895</v>
      </c>
      <c r="O12" s="63" t="s">
        <v>886</v>
      </c>
      <c r="P12" s="63" t="s">
        <v>887</v>
      </c>
      <c r="Q12" s="63" t="s">
        <v>888</v>
      </c>
      <c r="R12" s="63" t="s">
        <v>860</v>
      </c>
      <c r="S12" s="66" t="s">
        <v>896</v>
      </c>
    </row>
    <row r="13" spans="1:19" x14ac:dyDescent="0.25">
      <c r="A13" s="67" t="s">
        <v>323</v>
      </c>
      <c r="B13" s="67" t="s">
        <v>405</v>
      </c>
      <c r="C13" s="67" t="s">
        <v>879</v>
      </c>
      <c r="D13" s="67" t="s">
        <v>880</v>
      </c>
      <c r="E13" s="67" t="s">
        <v>854</v>
      </c>
      <c r="F13" s="67" t="s">
        <v>892</v>
      </c>
      <c r="G13" s="67" t="s">
        <v>897</v>
      </c>
      <c r="H13" s="67" t="s">
        <v>883</v>
      </c>
      <c r="I13" s="69"/>
      <c r="J13" s="68">
        <v>41960</v>
      </c>
      <c r="K13" s="68">
        <v>42641</v>
      </c>
      <c r="L13" s="69"/>
      <c r="M13" s="67" t="s">
        <v>894</v>
      </c>
      <c r="N13" s="67" t="s">
        <v>898</v>
      </c>
      <c r="O13" s="67" t="s">
        <v>886</v>
      </c>
      <c r="P13" s="67" t="s">
        <v>887</v>
      </c>
      <c r="Q13" s="67" t="s">
        <v>888</v>
      </c>
      <c r="R13" s="67" t="s">
        <v>860</v>
      </c>
      <c r="S13" s="70" t="s">
        <v>896</v>
      </c>
    </row>
    <row r="14" spans="1:19" x14ac:dyDescent="0.25">
      <c r="A14" s="63" t="s">
        <v>323</v>
      </c>
      <c r="B14" s="63" t="s">
        <v>405</v>
      </c>
      <c r="C14" s="63" t="s">
        <v>879</v>
      </c>
      <c r="D14" s="63" t="s">
        <v>880</v>
      </c>
      <c r="E14" s="63" t="s">
        <v>854</v>
      </c>
      <c r="F14" s="63" t="s">
        <v>892</v>
      </c>
      <c r="G14" s="63" t="s">
        <v>899</v>
      </c>
      <c r="H14" s="63" t="s">
        <v>883</v>
      </c>
      <c r="I14" s="65"/>
      <c r="J14" s="64">
        <v>41852</v>
      </c>
      <c r="K14" s="64">
        <v>42641</v>
      </c>
      <c r="L14" s="65"/>
      <c r="M14" s="63" t="s">
        <v>894</v>
      </c>
      <c r="N14" s="63" t="s">
        <v>900</v>
      </c>
      <c r="O14" s="63" t="s">
        <v>886</v>
      </c>
      <c r="P14" s="63" t="s">
        <v>887</v>
      </c>
      <c r="Q14" s="63" t="s">
        <v>888</v>
      </c>
      <c r="R14" s="63" t="s">
        <v>860</v>
      </c>
      <c r="S14" s="66" t="s">
        <v>901</v>
      </c>
    </row>
    <row r="15" spans="1:19" x14ac:dyDescent="0.25">
      <c r="A15" s="67" t="s">
        <v>323</v>
      </c>
      <c r="B15" s="67" t="s">
        <v>405</v>
      </c>
      <c r="C15" s="67" t="s">
        <v>879</v>
      </c>
      <c r="D15" s="67" t="s">
        <v>880</v>
      </c>
      <c r="E15" s="67" t="s">
        <v>854</v>
      </c>
      <c r="F15" s="67" t="s">
        <v>902</v>
      </c>
      <c r="G15" s="67" t="s">
        <v>903</v>
      </c>
      <c r="H15" s="67" t="s">
        <v>883</v>
      </c>
      <c r="I15" s="69"/>
      <c r="J15" s="68">
        <v>41852</v>
      </c>
      <c r="K15" s="68">
        <v>42641</v>
      </c>
      <c r="L15" s="69"/>
      <c r="M15" s="67" t="s">
        <v>894</v>
      </c>
      <c r="N15" s="67" t="s">
        <v>898</v>
      </c>
      <c r="O15" s="67" t="s">
        <v>886</v>
      </c>
      <c r="P15" s="67" t="s">
        <v>887</v>
      </c>
      <c r="Q15" s="67" t="s">
        <v>888</v>
      </c>
      <c r="R15" s="67" t="s">
        <v>860</v>
      </c>
      <c r="S15" s="70" t="s">
        <v>901</v>
      </c>
    </row>
    <row r="16" spans="1:19" ht="22.5" x14ac:dyDescent="0.25">
      <c r="A16" s="63" t="s">
        <v>323</v>
      </c>
      <c r="B16" s="63" t="s">
        <v>405</v>
      </c>
      <c r="C16" s="63" t="s">
        <v>879</v>
      </c>
      <c r="D16" s="63" t="s">
        <v>880</v>
      </c>
      <c r="E16" s="63" t="s">
        <v>854</v>
      </c>
      <c r="F16" s="63" t="s">
        <v>904</v>
      </c>
      <c r="G16" s="63" t="s">
        <v>905</v>
      </c>
      <c r="H16" s="63" t="s">
        <v>883</v>
      </c>
      <c r="I16" s="65"/>
      <c r="J16" s="64">
        <v>41857</v>
      </c>
      <c r="K16" s="64">
        <v>44071</v>
      </c>
      <c r="L16" s="65"/>
      <c r="M16" s="63" t="s">
        <v>906</v>
      </c>
      <c r="N16" s="63" t="s">
        <v>907</v>
      </c>
      <c r="O16" s="63" t="s">
        <v>886</v>
      </c>
      <c r="P16" s="63" t="s">
        <v>887</v>
      </c>
      <c r="Q16" s="63" t="s">
        <v>888</v>
      </c>
      <c r="R16" s="63" t="s">
        <v>860</v>
      </c>
      <c r="S16" s="66" t="s">
        <v>908</v>
      </c>
    </row>
    <row r="17" spans="1:19" ht="22.5" x14ac:dyDescent="0.25">
      <c r="A17" s="67" t="s">
        <v>323</v>
      </c>
      <c r="B17" s="67" t="s">
        <v>405</v>
      </c>
      <c r="C17" s="67" t="s">
        <v>879</v>
      </c>
      <c r="D17" s="67" t="s">
        <v>880</v>
      </c>
      <c r="E17" s="67" t="s">
        <v>854</v>
      </c>
      <c r="F17" s="67" t="s">
        <v>904</v>
      </c>
      <c r="G17" s="67" t="s">
        <v>909</v>
      </c>
      <c r="H17" s="67" t="s">
        <v>883</v>
      </c>
      <c r="I17" s="69"/>
      <c r="J17" s="68">
        <v>41857</v>
      </c>
      <c r="K17" s="68">
        <v>44071</v>
      </c>
      <c r="L17" s="69"/>
      <c r="M17" s="67" t="s">
        <v>906</v>
      </c>
      <c r="N17" s="67" t="s">
        <v>910</v>
      </c>
      <c r="O17" s="67" t="s">
        <v>886</v>
      </c>
      <c r="P17" s="67" t="s">
        <v>887</v>
      </c>
      <c r="Q17" s="67" t="s">
        <v>888</v>
      </c>
      <c r="R17" s="67" t="s">
        <v>860</v>
      </c>
      <c r="S17" s="70" t="s">
        <v>911</v>
      </c>
    </row>
    <row r="18" spans="1:19" x14ac:dyDescent="0.25">
      <c r="A18" s="63" t="s">
        <v>323</v>
      </c>
      <c r="B18" s="63" t="s">
        <v>405</v>
      </c>
      <c r="C18" s="63" t="s">
        <v>879</v>
      </c>
      <c r="D18" s="63" t="s">
        <v>880</v>
      </c>
      <c r="E18" s="63" t="s">
        <v>854</v>
      </c>
      <c r="F18" s="63" t="s">
        <v>904</v>
      </c>
      <c r="G18" s="63" t="s">
        <v>912</v>
      </c>
      <c r="H18" s="63" t="s">
        <v>883</v>
      </c>
      <c r="I18" s="65"/>
      <c r="J18" s="64">
        <v>41794</v>
      </c>
      <c r="K18" s="64">
        <v>44071</v>
      </c>
      <c r="L18" s="65"/>
      <c r="M18" s="63" t="s">
        <v>906</v>
      </c>
      <c r="N18" s="63" t="s">
        <v>913</v>
      </c>
      <c r="O18" s="63" t="s">
        <v>886</v>
      </c>
      <c r="P18" s="63" t="s">
        <v>887</v>
      </c>
      <c r="Q18" s="63" t="s">
        <v>888</v>
      </c>
      <c r="R18" s="63" t="s">
        <v>860</v>
      </c>
      <c r="S18" s="66" t="s">
        <v>914</v>
      </c>
    </row>
    <row r="19" spans="1:19" ht="22.5" x14ac:dyDescent="0.25">
      <c r="A19" s="67" t="s">
        <v>323</v>
      </c>
      <c r="B19" s="67" t="s">
        <v>405</v>
      </c>
      <c r="C19" s="67" t="s">
        <v>879</v>
      </c>
      <c r="D19" s="67" t="s">
        <v>880</v>
      </c>
      <c r="E19" s="67" t="s">
        <v>854</v>
      </c>
      <c r="F19" s="67" t="s">
        <v>904</v>
      </c>
      <c r="G19" s="67" t="s">
        <v>915</v>
      </c>
      <c r="H19" s="67" t="s">
        <v>883</v>
      </c>
      <c r="I19" s="69"/>
      <c r="J19" s="68">
        <v>41841</v>
      </c>
      <c r="K19" s="68">
        <v>44071</v>
      </c>
      <c r="L19" s="69"/>
      <c r="M19" s="67" t="s">
        <v>906</v>
      </c>
      <c r="N19" s="67" t="s">
        <v>916</v>
      </c>
      <c r="O19" s="67" t="s">
        <v>886</v>
      </c>
      <c r="P19" s="67" t="s">
        <v>887</v>
      </c>
      <c r="Q19" s="67" t="s">
        <v>888</v>
      </c>
      <c r="R19" s="67" t="s">
        <v>860</v>
      </c>
      <c r="S19" s="70" t="s">
        <v>917</v>
      </c>
    </row>
    <row r="20" spans="1:19" x14ac:dyDescent="0.25">
      <c r="A20" s="63" t="s">
        <v>323</v>
      </c>
      <c r="B20" s="63" t="s">
        <v>405</v>
      </c>
      <c r="C20" s="63" t="s">
        <v>879</v>
      </c>
      <c r="D20" s="63" t="s">
        <v>880</v>
      </c>
      <c r="E20" s="63" t="s">
        <v>854</v>
      </c>
      <c r="F20" s="63" t="s">
        <v>918</v>
      </c>
      <c r="G20" s="63" t="s">
        <v>919</v>
      </c>
      <c r="H20" s="63" t="s">
        <v>883</v>
      </c>
      <c r="I20" s="65"/>
      <c r="J20" s="64">
        <v>42075</v>
      </c>
      <c r="K20" s="64">
        <v>42113</v>
      </c>
      <c r="L20" s="65"/>
      <c r="M20" s="63" t="s">
        <v>920</v>
      </c>
      <c r="N20" s="63" t="s">
        <v>921</v>
      </c>
      <c r="O20" s="63" t="s">
        <v>886</v>
      </c>
      <c r="P20" s="63" t="s">
        <v>887</v>
      </c>
      <c r="Q20" s="63" t="s">
        <v>888</v>
      </c>
      <c r="R20" s="63" t="s">
        <v>860</v>
      </c>
      <c r="S20" s="66" t="s">
        <v>922</v>
      </c>
    </row>
    <row r="21" spans="1:19" x14ac:dyDescent="0.25">
      <c r="A21" s="67" t="s">
        <v>323</v>
      </c>
      <c r="B21" s="67" t="s">
        <v>405</v>
      </c>
      <c r="C21" s="67" t="s">
        <v>879</v>
      </c>
      <c r="D21" s="67" t="s">
        <v>880</v>
      </c>
      <c r="E21" s="67" t="s">
        <v>854</v>
      </c>
      <c r="F21" s="67" t="s">
        <v>918</v>
      </c>
      <c r="G21" s="67" t="s">
        <v>919</v>
      </c>
      <c r="H21" s="67" t="s">
        <v>923</v>
      </c>
      <c r="I21" s="68">
        <v>42114</v>
      </c>
      <c r="J21" s="68">
        <v>42114</v>
      </c>
      <c r="K21" s="68">
        <v>44566</v>
      </c>
      <c r="L21" s="69"/>
      <c r="M21" s="67" t="s">
        <v>884</v>
      </c>
      <c r="N21" s="67" t="s">
        <v>921</v>
      </c>
      <c r="O21" s="67" t="s">
        <v>886</v>
      </c>
      <c r="P21" s="67" t="s">
        <v>887</v>
      </c>
      <c r="Q21" s="67" t="s">
        <v>888</v>
      </c>
      <c r="R21" s="67" t="s">
        <v>860</v>
      </c>
      <c r="S21" s="71"/>
    </row>
    <row r="22" spans="1:19" x14ac:dyDescent="0.25">
      <c r="A22" s="63" t="s">
        <v>323</v>
      </c>
      <c r="B22" s="63" t="s">
        <v>405</v>
      </c>
      <c r="C22" s="63" t="s">
        <v>879</v>
      </c>
      <c r="D22" s="63" t="s">
        <v>880</v>
      </c>
      <c r="E22" s="63" t="s">
        <v>854</v>
      </c>
      <c r="F22" s="63" t="s">
        <v>918</v>
      </c>
      <c r="G22" s="63" t="s">
        <v>924</v>
      </c>
      <c r="H22" s="63" t="s">
        <v>923</v>
      </c>
      <c r="I22" s="64">
        <v>42114</v>
      </c>
      <c r="J22" s="64">
        <v>42114</v>
      </c>
      <c r="K22" s="64">
        <v>44566</v>
      </c>
      <c r="L22" s="65"/>
      <c r="M22" s="63" t="s">
        <v>884</v>
      </c>
      <c r="N22" s="63" t="s">
        <v>925</v>
      </c>
      <c r="O22" s="63" t="s">
        <v>886</v>
      </c>
      <c r="P22" s="63" t="s">
        <v>887</v>
      </c>
      <c r="Q22" s="63" t="s">
        <v>888</v>
      </c>
      <c r="R22" s="63" t="s">
        <v>860</v>
      </c>
      <c r="S22" s="72"/>
    </row>
    <row r="23" spans="1:19" x14ac:dyDescent="0.25">
      <c r="A23" s="67" t="s">
        <v>323</v>
      </c>
      <c r="B23" s="67" t="s">
        <v>405</v>
      </c>
      <c r="C23" s="67" t="s">
        <v>879</v>
      </c>
      <c r="D23" s="67" t="s">
        <v>880</v>
      </c>
      <c r="E23" s="67" t="s">
        <v>854</v>
      </c>
      <c r="F23" s="67" t="s">
        <v>918</v>
      </c>
      <c r="G23" s="67" t="s">
        <v>926</v>
      </c>
      <c r="H23" s="67" t="s">
        <v>927</v>
      </c>
      <c r="I23" s="68">
        <v>43320</v>
      </c>
      <c r="J23" s="68">
        <v>43320</v>
      </c>
      <c r="K23" s="68">
        <v>44566</v>
      </c>
      <c r="L23" s="69"/>
      <c r="M23" s="67" t="s">
        <v>928</v>
      </c>
      <c r="N23" s="67" t="s">
        <v>929</v>
      </c>
      <c r="O23" s="67" t="s">
        <v>886</v>
      </c>
      <c r="P23" s="67" t="s">
        <v>887</v>
      </c>
      <c r="Q23" s="67" t="s">
        <v>888</v>
      </c>
      <c r="R23" s="67" t="s">
        <v>860</v>
      </c>
      <c r="S23" s="71"/>
    </row>
    <row r="24" spans="1:19" x14ac:dyDescent="0.25">
      <c r="A24" s="63" t="s">
        <v>323</v>
      </c>
      <c r="B24" s="63" t="s">
        <v>405</v>
      </c>
      <c r="C24" s="63" t="s">
        <v>879</v>
      </c>
      <c r="D24" s="63" t="s">
        <v>880</v>
      </c>
      <c r="E24" s="63" t="s">
        <v>854</v>
      </c>
      <c r="F24" s="63" t="s">
        <v>918</v>
      </c>
      <c r="G24" s="63" t="s">
        <v>930</v>
      </c>
      <c r="H24" s="63" t="s">
        <v>927</v>
      </c>
      <c r="I24" s="64">
        <v>43320</v>
      </c>
      <c r="J24" s="64">
        <v>43320</v>
      </c>
      <c r="K24" s="64">
        <v>44566</v>
      </c>
      <c r="L24" s="65"/>
      <c r="M24" s="63" t="s">
        <v>928</v>
      </c>
      <c r="N24" s="63" t="s">
        <v>931</v>
      </c>
      <c r="O24" s="63" t="s">
        <v>886</v>
      </c>
      <c r="P24" s="63" t="s">
        <v>887</v>
      </c>
      <c r="Q24" s="63" t="s">
        <v>888</v>
      </c>
      <c r="R24" s="63" t="s">
        <v>860</v>
      </c>
      <c r="S24" s="72"/>
    </row>
    <row r="25" spans="1:19" x14ac:dyDescent="0.25">
      <c r="A25" s="67" t="s">
        <v>323</v>
      </c>
      <c r="B25" s="67" t="s">
        <v>405</v>
      </c>
      <c r="C25" s="67" t="s">
        <v>879</v>
      </c>
      <c r="D25" s="67" t="s">
        <v>880</v>
      </c>
      <c r="E25" s="67" t="s">
        <v>854</v>
      </c>
      <c r="F25" s="67" t="s">
        <v>918</v>
      </c>
      <c r="G25" s="67" t="s">
        <v>932</v>
      </c>
      <c r="H25" s="67" t="s">
        <v>883</v>
      </c>
      <c r="I25" s="68">
        <v>42614</v>
      </c>
      <c r="J25" s="68">
        <v>42614</v>
      </c>
      <c r="K25" s="68">
        <v>44071</v>
      </c>
      <c r="L25" s="69"/>
      <c r="M25" s="67" t="s">
        <v>933</v>
      </c>
      <c r="N25" s="67" t="s">
        <v>934</v>
      </c>
      <c r="O25" s="67" t="s">
        <v>886</v>
      </c>
      <c r="P25" s="67" t="s">
        <v>887</v>
      </c>
      <c r="Q25" s="67" t="s">
        <v>888</v>
      </c>
      <c r="R25" s="67" t="s">
        <v>860</v>
      </c>
      <c r="S25" s="70" t="s">
        <v>935</v>
      </c>
    </row>
    <row r="26" spans="1:19" x14ac:dyDescent="0.25">
      <c r="A26" s="63" t="s">
        <v>323</v>
      </c>
      <c r="B26" s="63" t="s">
        <v>405</v>
      </c>
      <c r="C26" s="63" t="s">
        <v>879</v>
      </c>
      <c r="D26" s="63" t="s">
        <v>880</v>
      </c>
      <c r="E26" s="63" t="s">
        <v>854</v>
      </c>
      <c r="F26" s="63" t="s">
        <v>918</v>
      </c>
      <c r="G26" s="63" t="s">
        <v>936</v>
      </c>
      <c r="H26" s="63" t="s">
        <v>883</v>
      </c>
      <c r="I26" s="64">
        <v>42614</v>
      </c>
      <c r="J26" s="64">
        <v>42614</v>
      </c>
      <c r="K26" s="64">
        <v>44071</v>
      </c>
      <c r="L26" s="65"/>
      <c r="M26" s="63" t="s">
        <v>933</v>
      </c>
      <c r="N26" s="63" t="s">
        <v>937</v>
      </c>
      <c r="O26" s="63" t="s">
        <v>886</v>
      </c>
      <c r="P26" s="63" t="s">
        <v>887</v>
      </c>
      <c r="Q26" s="63" t="s">
        <v>888</v>
      </c>
      <c r="R26" s="63" t="s">
        <v>860</v>
      </c>
      <c r="S26" s="66" t="s">
        <v>935</v>
      </c>
    </row>
    <row r="27" spans="1:19" x14ac:dyDescent="0.25">
      <c r="A27" s="67" t="s">
        <v>323</v>
      </c>
      <c r="B27" s="67" t="s">
        <v>405</v>
      </c>
      <c r="C27" s="67" t="s">
        <v>879</v>
      </c>
      <c r="D27" s="67" t="s">
        <v>880</v>
      </c>
      <c r="E27" s="67" t="s">
        <v>854</v>
      </c>
      <c r="F27" s="67" t="s">
        <v>918</v>
      </c>
      <c r="G27" s="67" t="s">
        <v>938</v>
      </c>
      <c r="H27" s="67" t="s">
        <v>883</v>
      </c>
      <c r="I27" s="68">
        <v>42956</v>
      </c>
      <c r="J27" s="68">
        <v>42956</v>
      </c>
      <c r="K27" s="68">
        <v>44071</v>
      </c>
      <c r="L27" s="69"/>
      <c r="M27" s="67" t="s">
        <v>939</v>
      </c>
      <c r="N27" s="67" t="s">
        <v>940</v>
      </c>
      <c r="O27" s="67" t="s">
        <v>886</v>
      </c>
      <c r="P27" s="67" t="s">
        <v>887</v>
      </c>
      <c r="Q27" s="67" t="s">
        <v>888</v>
      </c>
      <c r="R27" s="67" t="s">
        <v>860</v>
      </c>
      <c r="S27" s="71"/>
    </row>
    <row r="28" spans="1:19" x14ac:dyDescent="0.25">
      <c r="A28" s="63" t="s">
        <v>323</v>
      </c>
      <c r="B28" s="63" t="s">
        <v>405</v>
      </c>
      <c r="C28" s="63" t="s">
        <v>879</v>
      </c>
      <c r="D28" s="63" t="s">
        <v>880</v>
      </c>
      <c r="E28" s="63" t="s">
        <v>854</v>
      </c>
      <c r="F28" s="63" t="s">
        <v>918</v>
      </c>
      <c r="G28" s="63" t="s">
        <v>941</v>
      </c>
      <c r="H28" s="63" t="s">
        <v>883</v>
      </c>
      <c r="I28" s="64">
        <v>43145</v>
      </c>
      <c r="J28" s="64">
        <v>43145</v>
      </c>
      <c r="K28" s="64">
        <v>44071</v>
      </c>
      <c r="L28" s="65"/>
      <c r="M28" s="63" t="s">
        <v>942</v>
      </c>
      <c r="N28" s="63" t="s">
        <v>943</v>
      </c>
      <c r="O28" s="63" t="s">
        <v>886</v>
      </c>
      <c r="P28" s="63" t="s">
        <v>887</v>
      </c>
      <c r="Q28" s="63" t="s">
        <v>888</v>
      </c>
      <c r="R28" s="63" t="s">
        <v>860</v>
      </c>
      <c r="S28" s="66" t="s">
        <v>944</v>
      </c>
    </row>
    <row r="29" spans="1:19" x14ac:dyDescent="0.25">
      <c r="A29" s="67" t="s">
        <v>323</v>
      </c>
      <c r="B29" s="67" t="s">
        <v>405</v>
      </c>
      <c r="C29" s="67" t="s">
        <v>879</v>
      </c>
      <c r="D29" s="67" t="s">
        <v>880</v>
      </c>
      <c r="E29" s="67" t="s">
        <v>854</v>
      </c>
      <c r="F29" s="67" t="s">
        <v>918</v>
      </c>
      <c r="G29" s="67" t="s">
        <v>945</v>
      </c>
      <c r="H29" s="67" t="s">
        <v>883</v>
      </c>
      <c r="I29" s="69"/>
      <c r="J29" s="68">
        <v>41297</v>
      </c>
      <c r="K29" s="68">
        <v>42113</v>
      </c>
      <c r="L29" s="67" t="s">
        <v>946</v>
      </c>
      <c r="M29" s="67" t="s">
        <v>947</v>
      </c>
      <c r="N29" s="67" t="s">
        <v>948</v>
      </c>
      <c r="O29" s="67" t="s">
        <v>886</v>
      </c>
      <c r="P29" s="67" t="s">
        <v>887</v>
      </c>
      <c r="Q29" s="67" t="s">
        <v>888</v>
      </c>
      <c r="R29" s="67" t="s">
        <v>860</v>
      </c>
      <c r="S29" s="70" t="s">
        <v>946</v>
      </c>
    </row>
    <row r="30" spans="1:19" x14ac:dyDescent="0.25">
      <c r="A30" s="63" t="s">
        <v>323</v>
      </c>
      <c r="B30" s="63" t="s">
        <v>405</v>
      </c>
      <c r="C30" s="63" t="s">
        <v>879</v>
      </c>
      <c r="D30" s="63" t="s">
        <v>880</v>
      </c>
      <c r="E30" s="63" t="s">
        <v>854</v>
      </c>
      <c r="F30" s="63" t="s">
        <v>918</v>
      </c>
      <c r="G30" s="63" t="s">
        <v>945</v>
      </c>
      <c r="H30" s="63" t="s">
        <v>923</v>
      </c>
      <c r="I30" s="64">
        <v>42114</v>
      </c>
      <c r="J30" s="64">
        <v>42114</v>
      </c>
      <c r="K30" s="64">
        <v>44566</v>
      </c>
      <c r="L30" s="65"/>
      <c r="M30" s="63" t="s">
        <v>884</v>
      </c>
      <c r="N30" s="63" t="s">
        <v>948</v>
      </c>
      <c r="O30" s="63" t="s">
        <v>886</v>
      </c>
      <c r="P30" s="63" t="s">
        <v>887</v>
      </c>
      <c r="Q30" s="63" t="s">
        <v>888</v>
      </c>
      <c r="R30" s="63" t="s">
        <v>860</v>
      </c>
      <c r="S30" s="72"/>
    </row>
    <row r="31" spans="1:19" x14ac:dyDescent="0.25">
      <c r="A31" s="67" t="s">
        <v>323</v>
      </c>
      <c r="B31" s="67" t="s">
        <v>405</v>
      </c>
      <c r="C31" s="67" t="s">
        <v>879</v>
      </c>
      <c r="D31" s="67" t="s">
        <v>880</v>
      </c>
      <c r="E31" s="67" t="s">
        <v>854</v>
      </c>
      <c r="F31" s="67" t="s">
        <v>918</v>
      </c>
      <c r="G31" s="67" t="s">
        <v>949</v>
      </c>
      <c r="H31" s="67" t="s">
        <v>923</v>
      </c>
      <c r="I31" s="68">
        <v>42114</v>
      </c>
      <c r="J31" s="68">
        <v>42114</v>
      </c>
      <c r="K31" s="68">
        <v>44566</v>
      </c>
      <c r="L31" s="69"/>
      <c r="M31" s="67" t="s">
        <v>884</v>
      </c>
      <c r="N31" s="67" t="s">
        <v>950</v>
      </c>
      <c r="O31" s="67" t="s">
        <v>886</v>
      </c>
      <c r="P31" s="67" t="s">
        <v>887</v>
      </c>
      <c r="Q31" s="67" t="s">
        <v>888</v>
      </c>
      <c r="R31" s="67" t="s">
        <v>860</v>
      </c>
      <c r="S31" s="71"/>
    </row>
    <row r="32" spans="1:19" x14ac:dyDescent="0.25">
      <c r="A32" s="63" t="s">
        <v>323</v>
      </c>
      <c r="B32" s="63" t="s">
        <v>405</v>
      </c>
      <c r="C32" s="63" t="s">
        <v>879</v>
      </c>
      <c r="D32" s="63" t="s">
        <v>880</v>
      </c>
      <c r="E32" s="63" t="s">
        <v>854</v>
      </c>
      <c r="F32" s="63" t="s">
        <v>918</v>
      </c>
      <c r="G32" s="63" t="s">
        <v>951</v>
      </c>
      <c r="H32" s="63" t="s">
        <v>883</v>
      </c>
      <c r="I32" s="65"/>
      <c r="J32" s="64">
        <v>41297</v>
      </c>
      <c r="K32" s="64">
        <v>42113</v>
      </c>
      <c r="L32" s="63" t="s">
        <v>952</v>
      </c>
      <c r="M32" s="63" t="s">
        <v>947</v>
      </c>
      <c r="N32" s="63" t="s">
        <v>953</v>
      </c>
      <c r="O32" s="63" t="s">
        <v>886</v>
      </c>
      <c r="P32" s="63" t="s">
        <v>887</v>
      </c>
      <c r="Q32" s="63" t="s">
        <v>888</v>
      </c>
      <c r="R32" s="63" t="s">
        <v>860</v>
      </c>
      <c r="S32" s="66" t="s">
        <v>952</v>
      </c>
    </row>
    <row r="33" spans="1:19" x14ac:dyDescent="0.25">
      <c r="A33" s="67" t="s">
        <v>323</v>
      </c>
      <c r="B33" s="67" t="s">
        <v>405</v>
      </c>
      <c r="C33" s="67" t="s">
        <v>879</v>
      </c>
      <c r="D33" s="67" t="s">
        <v>880</v>
      </c>
      <c r="E33" s="67" t="s">
        <v>854</v>
      </c>
      <c r="F33" s="67" t="s">
        <v>918</v>
      </c>
      <c r="G33" s="67" t="s">
        <v>951</v>
      </c>
      <c r="H33" s="67" t="s">
        <v>923</v>
      </c>
      <c r="I33" s="68">
        <v>42114</v>
      </c>
      <c r="J33" s="68">
        <v>42114</v>
      </c>
      <c r="K33" s="68">
        <v>44566</v>
      </c>
      <c r="L33" s="69"/>
      <c r="M33" s="67" t="s">
        <v>884</v>
      </c>
      <c r="N33" s="67" t="s">
        <v>953</v>
      </c>
      <c r="O33" s="67" t="s">
        <v>886</v>
      </c>
      <c r="P33" s="67" t="s">
        <v>887</v>
      </c>
      <c r="Q33" s="67" t="s">
        <v>888</v>
      </c>
      <c r="R33" s="67" t="s">
        <v>860</v>
      </c>
      <c r="S33" s="71"/>
    </row>
    <row r="34" spans="1:19" x14ac:dyDescent="0.25">
      <c r="A34" s="63" t="s">
        <v>323</v>
      </c>
      <c r="B34" s="63" t="s">
        <v>405</v>
      </c>
      <c r="C34" s="63" t="s">
        <v>879</v>
      </c>
      <c r="D34" s="63" t="s">
        <v>880</v>
      </c>
      <c r="E34" s="63" t="s">
        <v>854</v>
      </c>
      <c r="F34" s="63" t="s">
        <v>918</v>
      </c>
      <c r="G34" s="63" t="s">
        <v>954</v>
      </c>
      <c r="H34" s="63" t="s">
        <v>923</v>
      </c>
      <c r="I34" s="64">
        <v>42114</v>
      </c>
      <c r="J34" s="64">
        <v>42114</v>
      </c>
      <c r="K34" s="64">
        <v>44566</v>
      </c>
      <c r="L34" s="65"/>
      <c r="M34" s="63" t="s">
        <v>884</v>
      </c>
      <c r="N34" s="63" t="s">
        <v>955</v>
      </c>
      <c r="O34" s="63" t="s">
        <v>886</v>
      </c>
      <c r="P34" s="63" t="s">
        <v>887</v>
      </c>
      <c r="Q34" s="63" t="s">
        <v>888</v>
      </c>
      <c r="R34" s="63" t="s">
        <v>860</v>
      </c>
      <c r="S34" s="72"/>
    </row>
    <row r="35" spans="1:19" x14ac:dyDescent="0.25">
      <c r="A35" s="67" t="s">
        <v>323</v>
      </c>
      <c r="B35" s="67" t="s">
        <v>405</v>
      </c>
      <c r="C35" s="67" t="s">
        <v>879</v>
      </c>
      <c r="D35" s="67" t="s">
        <v>880</v>
      </c>
      <c r="E35" s="67" t="s">
        <v>854</v>
      </c>
      <c r="F35" s="67" t="s">
        <v>918</v>
      </c>
      <c r="G35" s="67" t="s">
        <v>956</v>
      </c>
      <c r="H35" s="67" t="s">
        <v>883</v>
      </c>
      <c r="I35" s="69"/>
      <c r="J35" s="68">
        <v>41382</v>
      </c>
      <c r="K35" s="68">
        <v>42113</v>
      </c>
      <c r="L35" s="67" t="s">
        <v>957</v>
      </c>
      <c r="M35" s="67" t="s">
        <v>958</v>
      </c>
      <c r="N35" s="67" t="s">
        <v>959</v>
      </c>
      <c r="O35" s="67" t="s">
        <v>886</v>
      </c>
      <c r="P35" s="67" t="s">
        <v>887</v>
      </c>
      <c r="Q35" s="67" t="s">
        <v>888</v>
      </c>
      <c r="R35" s="67" t="s">
        <v>860</v>
      </c>
      <c r="S35" s="70" t="s">
        <v>957</v>
      </c>
    </row>
    <row r="36" spans="1:19" x14ac:dyDescent="0.25">
      <c r="A36" s="63" t="s">
        <v>323</v>
      </c>
      <c r="B36" s="63" t="s">
        <v>405</v>
      </c>
      <c r="C36" s="63" t="s">
        <v>879</v>
      </c>
      <c r="D36" s="63" t="s">
        <v>880</v>
      </c>
      <c r="E36" s="63" t="s">
        <v>854</v>
      </c>
      <c r="F36" s="63" t="s">
        <v>918</v>
      </c>
      <c r="G36" s="63" t="s">
        <v>956</v>
      </c>
      <c r="H36" s="63" t="s">
        <v>923</v>
      </c>
      <c r="I36" s="64">
        <v>42114</v>
      </c>
      <c r="J36" s="64">
        <v>42114</v>
      </c>
      <c r="K36" s="64">
        <v>44566</v>
      </c>
      <c r="L36" s="65"/>
      <c r="M36" s="63" t="s">
        <v>884</v>
      </c>
      <c r="N36" s="63" t="s">
        <v>959</v>
      </c>
      <c r="O36" s="63" t="s">
        <v>886</v>
      </c>
      <c r="P36" s="63" t="s">
        <v>887</v>
      </c>
      <c r="Q36" s="63" t="s">
        <v>888</v>
      </c>
      <c r="R36" s="63" t="s">
        <v>860</v>
      </c>
      <c r="S36" s="72"/>
    </row>
    <row r="37" spans="1:19" x14ac:dyDescent="0.25">
      <c r="A37" s="67" t="s">
        <v>323</v>
      </c>
      <c r="B37" s="67" t="s">
        <v>405</v>
      </c>
      <c r="C37" s="67" t="s">
        <v>879</v>
      </c>
      <c r="D37" s="67" t="s">
        <v>880</v>
      </c>
      <c r="E37" s="67" t="s">
        <v>854</v>
      </c>
      <c r="F37" s="67" t="s">
        <v>918</v>
      </c>
      <c r="G37" s="67" t="s">
        <v>960</v>
      </c>
      <c r="H37" s="67" t="s">
        <v>923</v>
      </c>
      <c r="I37" s="68">
        <v>42114</v>
      </c>
      <c r="J37" s="68">
        <v>42114</v>
      </c>
      <c r="K37" s="68">
        <v>44566</v>
      </c>
      <c r="L37" s="69"/>
      <c r="M37" s="67" t="s">
        <v>884</v>
      </c>
      <c r="N37" s="67" t="s">
        <v>961</v>
      </c>
      <c r="O37" s="67" t="s">
        <v>886</v>
      </c>
      <c r="P37" s="67" t="s">
        <v>887</v>
      </c>
      <c r="Q37" s="67" t="s">
        <v>888</v>
      </c>
      <c r="R37" s="67" t="s">
        <v>860</v>
      </c>
      <c r="S37" s="71"/>
    </row>
    <row r="38" spans="1:19" x14ac:dyDescent="0.25">
      <c r="A38" s="63" t="s">
        <v>323</v>
      </c>
      <c r="B38" s="63" t="s">
        <v>405</v>
      </c>
      <c r="C38" s="63" t="s">
        <v>879</v>
      </c>
      <c r="D38" s="63" t="s">
        <v>880</v>
      </c>
      <c r="E38" s="63" t="s">
        <v>854</v>
      </c>
      <c r="F38" s="63" t="s">
        <v>918</v>
      </c>
      <c r="G38" s="63" t="s">
        <v>962</v>
      </c>
      <c r="H38" s="63" t="s">
        <v>883</v>
      </c>
      <c r="I38" s="65"/>
      <c r="J38" s="64">
        <v>42114</v>
      </c>
      <c r="K38" s="64">
        <v>42810</v>
      </c>
      <c r="L38" s="65"/>
      <c r="M38" s="63" t="s">
        <v>920</v>
      </c>
      <c r="N38" s="63" t="s">
        <v>963</v>
      </c>
      <c r="O38" s="63" t="s">
        <v>886</v>
      </c>
      <c r="P38" s="63" t="s">
        <v>887</v>
      </c>
      <c r="Q38" s="63" t="s">
        <v>888</v>
      </c>
      <c r="R38" s="63" t="s">
        <v>860</v>
      </c>
      <c r="S38" s="66" t="s">
        <v>964</v>
      </c>
    </row>
    <row r="39" spans="1:19" x14ac:dyDescent="0.25">
      <c r="A39" s="67" t="s">
        <v>323</v>
      </c>
      <c r="B39" s="67" t="s">
        <v>405</v>
      </c>
      <c r="C39" s="67" t="s">
        <v>879</v>
      </c>
      <c r="D39" s="67" t="s">
        <v>880</v>
      </c>
      <c r="E39" s="67" t="s">
        <v>854</v>
      </c>
      <c r="F39" s="67" t="s">
        <v>918</v>
      </c>
      <c r="G39" s="67" t="s">
        <v>962</v>
      </c>
      <c r="H39" s="67" t="s">
        <v>923</v>
      </c>
      <c r="I39" s="68">
        <v>42811</v>
      </c>
      <c r="J39" s="68">
        <v>42811</v>
      </c>
      <c r="K39" s="68">
        <v>44566</v>
      </c>
      <c r="L39" s="69"/>
      <c r="M39" s="67" t="s">
        <v>965</v>
      </c>
      <c r="N39" s="67" t="s">
        <v>963</v>
      </c>
      <c r="O39" s="67" t="s">
        <v>886</v>
      </c>
      <c r="P39" s="67" t="s">
        <v>887</v>
      </c>
      <c r="Q39" s="67" t="s">
        <v>888</v>
      </c>
      <c r="R39" s="67" t="s">
        <v>860</v>
      </c>
      <c r="S39" s="71"/>
    </row>
    <row r="40" spans="1:19" x14ac:dyDescent="0.25">
      <c r="A40" s="63" t="s">
        <v>323</v>
      </c>
      <c r="B40" s="63" t="s">
        <v>405</v>
      </c>
      <c r="C40" s="63" t="s">
        <v>879</v>
      </c>
      <c r="D40" s="63" t="s">
        <v>880</v>
      </c>
      <c r="E40" s="63" t="s">
        <v>854</v>
      </c>
      <c r="F40" s="63" t="s">
        <v>918</v>
      </c>
      <c r="G40" s="63" t="s">
        <v>966</v>
      </c>
      <c r="H40" s="63" t="s">
        <v>883</v>
      </c>
      <c r="I40" s="65"/>
      <c r="J40" s="64">
        <v>42114</v>
      </c>
      <c r="K40" s="64">
        <v>42810</v>
      </c>
      <c r="L40" s="65"/>
      <c r="M40" s="63" t="s">
        <v>920</v>
      </c>
      <c r="N40" s="63" t="s">
        <v>967</v>
      </c>
      <c r="O40" s="63" t="s">
        <v>886</v>
      </c>
      <c r="P40" s="63" t="s">
        <v>887</v>
      </c>
      <c r="Q40" s="63" t="s">
        <v>888</v>
      </c>
      <c r="R40" s="63" t="s">
        <v>860</v>
      </c>
      <c r="S40" s="66" t="s">
        <v>964</v>
      </c>
    </row>
    <row r="41" spans="1:19" x14ac:dyDescent="0.25">
      <c r="A41" s="67" t="s">
        <v>323</v>
      </c>
      <c r="B41" s="67" t="s">
        <v>405</v>
      </c>
      <c r="C41" s="67" t="s">
        <v>879</v>
      </c>
      <c r="D41" s="67" t="s">
        <v>880</v>
      </c>
      <c r="E41" s="67" t="s">
        <v>854</v>
      </c>
      <c r="F41" s="67" t="s">
        <v>918</v>
      </c>
      <c r="G41" s="67" t="s">
        <v>966</v>
      </c>
      <c r="H41" s="67" t="s">
        <v>923</v>
      </c>
      <c r="I41" s="68">
        <v>42811</v>
      </c>
      <c r="J41" s="68">
        <v>42811</v>
      </c>
      <c r="K41" s="68">
        <v>44566</v>
      </c>
      <c r="L41" s="69"/>
      <c r="M41" s="67" t="s">
        <v>965</v>
      </c>
      <c r="N41" s="67" t="s">
        <v>967</v>
      </c>
      <c r="O41" s="67" t="s">
        <v>886</v>
      </c>
      <c r="P41" s="67" t="s">
        <v>887</v>
      </c>
      <c r="Q41" s="67" t="s">
        <v>888</v>
      </c>
      <c r="R41" s="67" t="s">
        <v>860</v>
      </c>
      <c r="S41" s="71"/>
    </row>
    <row r="42" spans="1:19" x14ac:dyDescent="0.25">
      <c r="A42" s="63" t="s">
        <v>323</v>
      </c>
      <c r="B42" s="63" t="s">
        <v>405</v>
      </c>
      <c r="C42" s="63" t="s">
        <v>879</v>
      </c>
      <c r="D42" s="63" t="s">
        <v>880</v>
      </c>
      <c r="E42" s="63" t="s">
        <v>854</v>
      </c>
      <c r="F42" s="63" t="s">
        <v>918</v>
      </c>
      <c r="G42" s="63" t="s">
        <v>968</v>
      </c>
      <c r="H42" s="63" t="s">
        <v>883</v>
      </c>
      <c r="I42" s="65"/>
      <c r="J42" s="64">
        <v>41382</v>
      </c>
      <c r="K42" s="64">
        <v>42113</v>
      </c>
      <c r="L42" s="63" t="s">
        <v>969</v>
      </c>
      <c r="M42" s="63" t="s">
        <v>958</v>
      </c>
      <c r="N42" s="63" t="s">
        <v>970</v>
      </c>
      <c r="O42" s="63" t="s">
        <v>886</v>
      </c>
      <c r="P42" s="63" t="s">
        <v>887</v>
      </c>
      <c r="Q42" s="63" t="s">
        <v>888</v>
      </c>
      <c r="R42" s="63" t="s">
        <v>860</v>
      </c>
      <c r="S42" s="66" t="s">
        <v>969</v>
      </c>
    </row>
    <row r="43" spans="1:19" x14ac:dyDescent="0.25">
      <c r="A43" s="67" t="s">
        <v>323</v>
      </c>
      <c r="B43" s="67" t="s">
        <v>405</v>
      </c>
      <c r="C43" s="67" t="s">
        <v>879</v>
      </c>
      <c r="D43" s="67" t="s">
        <v>880</v>
      </c>
      <c r="E43" s="67" t="s">
        <v>854</v>
      </c>
      <c r="F43" s="67" t="s">
        <v>918</v>
      </c>
      <c r="G43" s="67" t="s">
        <v>968</v>
      </c>
      <c r="H43" s="67" t="s">
        <v>923</v>
      </c>
      <c r="I43" s="68">
        <v>42114</v>
      </c>
      <c r="J43" s="68">
        <v>42114</v>
      </c>
      <c r="K43" s="68">
        <v>44566</v>
      </c>
      <c r="L43" s="69"/>
      <c r="M43" s="67" t="s">
        <v>884</v>
      </c>
      <c r="N43" s="67" t="s">
        <v>970</v>
      </c>
      <c r="O43" s="67" t="s">
        <v>886</v>
      </c>
      <c r="P43" s="67" t="s">
        <v>887</v>
      </c>
      <c r="Q43" s="67" t="s">
        <v>888</v>
      </c>
      <c r="R43" s="67" t="s">
        <v>860</v>
      </c>
      <c r="S43" s="71"/>
    </row>
    <row r="44" spans="1:19" x14ac:dyDescent="0.25">
      <c r="A44" s="63" t="s">
        <v>323</v>
      </c>
      <c r="B44" s="63" t="s">
        <v>405</v>
      </c>
      <c r="C44" s="63" t="s">
        <v>879</v>
      </c>
      <c r="D44" s="63" t="s">
        <v>880</v>
      </c>
      <c r="E44" s="63" t="s">
        <v>854</v>
      </c>
      <c r="F44" s="63" t="s">
        <v>918</v>
      </c>
      <c r="G44" s="63" t="s">
        <v>971</v>
      </c>
      <c r="H44" s="63" t="s">
        <v>923</v>
      </c>
      <c r="I44" s="64">
        <v>42114</v>
      </c>
      <c r="J44" s="64">
        <v>42114</v>
      </c>
      <c r="K44" s="64">
        <v>44566</v>
      </c>
      <c r="L44" s="65"/>
      <c r="M44" s="63" t="s">
        <v>884</v>
      </c>
      <c r="N44" s="63" t="s">
        <v>972</v>
      </c>
      <c r="O44" s="63" t="s">
        <v>886</v>
      </c>
      <c r="P44" s="63" t="s">
        <v>887</v>
      </c>
      <c r="Q44" s="63" t="s">
        <v>888</v>
      </c>
      <c r="R44" s="63" t="s">
        <v>860</v>
      </c>
      <c r="S44" s="72"/>
    </row>
    <row r="45" spans="1:19" x14ac:dyDescent="0.25">
      <c r="A45" s="67" t="s">
        <v>323</v>
      </c>
      <c r="B45" s="67" t="s">
        <v>405</v>
      </c>
      <c r="C45" s="67" t="s">
        <v>879</v>
      </c>
      <c r="D45" s="67" t="s">
        <v>880</v>
      </c>
      <c r="E45" s="67" t="s">
        <v>854</v>
      </c>
      <c r="F45" s="67" t="s">
        <v>918</v>
      </c>
      <c r="G45" s="67" t="s">
        <v>973</v>
      </c>
      <c r="H45" s="67" t="s">
        <v>883</v>
      </c>
      <c r="I45" s="69"/>
      <c r="J45" s="68">
        <v>41382</v>
      </c>
      <c r="K45" s="68">
        <v>42113</v>
      </c>
      <c r="L45" s="67" t="s">
        <v>974</v>
      </c>
      <c r="M45" s="67" t="s">
        <v>958</v>
      </c>
      <c r="N45" s="67" t="s">
        <v>975</v>
      </c>
      <c r="O45" s="67" t="s">
        <v>886</v>
      </c>
      <c r="P45" s="67" t="s">
        <v>887</v>
      </c>
      <c r="Q45" s="67" t="s">
        <v>888</v>
      </c>
      <c r="R45" s="67" t="s">
        <v>860</v>
      </c>
      <c r="S45" s="70" t="s">
        <v>974</v>
      </c>
    </row>
    <row r="46" spans="1:19" x14ac:dyDescent="0.25">
      <c r="A46" s="63" t="s">
        <v>323</v>
      </c>
      <c r="B46" s="63" t="s">
        <v>405</v>
      </c>
      <c r="C46" s="63" t="s">
        <v>879</v>
      </c>
      <c r="D46" s="63" t="s">
        <v>880</v>
      </c>
      <c r="E46" s="63" t="s">
        <v>854</v>
      </c>
      <c r="F46" s="63" t="s">
        <v>918</v>
      </c>
      <c r="G46" s="63" t="s">
        <v>973</v>
      </c>
      <c r="H46" s="63" t="s">
        <v>923</v>
      </c>
      <c r="I46" s="64">
        <v>42114</v>
      </c>
      <c r="J46" s="64">
        <v>42114</v>
      </c>
      <c r="K46" s="64">
        <v>44566</v>
      </c>
      <c r="L46" s="65"/>
      <c r="M46" s="63" t="s">
        <v>884</v>
      </c>
      <c r="N46" s="63" t="s">
        <v>975</v>
      </c>
      <c r="O46" s="63" t="s">
        <v>886</v>
      </c>
      <c r="P46" s="63" t="s">
        <v>887</v>
      </c>
      <c r="Q46" s="63" t="s">
        <v>888</v>
      </c>
      <c r="R46" s="63" t="s">
        <v>860</v>
      </c>
      <c r="S46" s="72"/>
    </row>
    <row r="47" spans="1:19" x14ac:dyDescent="0.25">
      <c r="A47" s="67" t="s">
        <v>323</v>
      </c>
      <c r="B47" s="67" t="s">
        <v>405</v>
      </c>
      <c r="C47" s="67" t="s">
        <v>879</v>
      </c>
      <c r="D47" s="67" t="s">
        <v>880</v>
      </c>
      <c r="E47" s="67" t="s">
        <v>854</v>
      </c>
      <c r="F47" s="67" t="s">
        <v>918</v>
      </c>
      <c r="G47" s="67" t="s">
        <v>976</v>
      </c>
      <c r="H47" s="67" t="s">
        <v>923</v>
      </c>
      <c r="I47" s="68">
        <v>42114</v>
      </c>
      <c r="J47" s="68">
        <v>42114</v>
      </c>
      <c r="K47" s="68">
        <v>44566</v>
      </c>
      <c r="L47" s="69"/>
      <c r="M47" s="67" t="s">
        <v>884</v>
      </c>
      <c r="N47" s="67" t="s">
        <v>977</v>
      </c>
      <c r="O47" s="67" t="s">
        <v>886</v>
      </c>
      <c r="P47" s="67" t="s">
        <v>887</v>
      </c>
      <c r="Q47" s="67" t="s">
        <v>888</v>
      </c>
      <c r="R47" s="67" t="s">
        <v>860</v>
      </c>
      <c r="S47" s="71"/>
    </row>
    <row r="48" spans="1:19" x14ac:dyDescent="0.25">
      <c r="A48" s="63" t="s">
        <v>323</v>
      </c>
      <c r="B48" s="63" t="s">
        <v>405</v>
      </c>
      <c r="C48" s="63" t="s">
        <v>879</v>
      </c>
      <c r="D48" s="63" t="s">
        <v>880</v>
      </c>
      <c r="E48" s="63" t="s">
        <v>854</v>
      </c>
      <c r="F48" s="63" t="s">
        <v>918</v>
      </c>
      <c r="G48" s="63" t="s">
        <v>978</v>
      </c>
      <c r="H48" s="63" t="s">
        <v>883</v>
      </c>
      <c r="I48" s="65"/>
      <c r="J48" s="64">
        <v>41382</v>
      </c>
      <c r="K48" s="64">
        <v>42113</v>
      </c>
      <c r="L48" s="63" t="s">
        <v>979</v>
      </c>
      <c r="M48" s="63" t="s">
        <v>958</v>
      </c>
      <c r="N48" s="63" t="s">
        <v>980</v>
      </c>
      <c r="O48" s="63" t="s">
        <v>886</v>
      </c>
      <c r="P48" s="63" t="s">
        <v>887</v>
      </c>
      <c r="Q48" s="63" t="s">
        <v>888</v>
      </c>
      <c r="R48" s="63" t="s">
        <v>860</v>
      </c>
      <c r="S48" s="66" t="s">
        <v>979</v>
      </c>
    </row>
    <row r="49" spans="1:19" x14ac:dyDescent="0.25">
      <c r="A49" s="67" t="s">
        <v>323</v>
      </c>
      <c r="B49" s="67" t="s">
        <v>405</v>
      </c>
      <c r="C49" s="67" t="s">
        <v>879</v>
      </c>
      <c r="D49" s="67" t="s">
        <v>880</v>
      </c>
      <c r="E49" s="67" t="s">
        <v>854</v>
      </c>
      <c r="F49" s="67" t="s">
        <v>918</v>
      </c>
      <c r="G49" s="67" t="s">
        <v>978</v>
      </c>
      <c r="H49" s="67" t="s">
        <v>923</v>
      </c>
      <c r="I49" s="68">
        <v>42114</v>
      </c>
      <c r="J49" s="68">
        <v>42114</v>
      </c>
      <c r="K49" s="68">
        <v>44566</v>
      </c>
      <c r="L49" s="69"/>
      <c r="M49" s="67" t="s">
        <v>884</v>
      </c>
      <c r="N49" s="67" t="s">
        <v>980</v>
      </c>
      <c r="O49" s="67" t="s">
        <v>886</v>
      </c>
      <c r="P49" s="67" t="s">
        <v>887</v>
      </c>
      <c r="Q49" s="67" t="s">
        <v>888</v>
      </c>
      <c r="R49" s="67" t="s">
        <v>860</v>
      </c>
      <c r="S49" s="71"/>
    </row>
    <row r="50" spans="1:19" x14ac:dyDescent="0.25">
      <c r="A50" s="63" t="s">
        <v>323</v>
      </c>
      <c r="B50" s="63" t="s">
        <v>405</v>
      </c>
      <c r="C50" s="63" t="s">
        <v>879</v>
      </c>
      <c r="D50" s="63" t="s">
        <v>880</v>
      </c>
      <c r="E50" s="63" t="s">
        <v>854</v>
      </c>
      <c r="F50" s="63" t="s">
        <v>918</v>
      </c>
      <c r="G50" s="63" t="s">
        <v>981</v>
      </c>
      <c r="H50" s="63" t="s">
        <v>923</v>
      </c>
      <c r="I50" s="64">
        <v>42114</v>
      </c>
      <c r="J50" s="64">
        <v>42114</v>
      </c>
      <c r="K50" s="64">
        <v>44566</v>
      </c>
      <c r="L50" s="65"/>
      <c r="M50" s="63" t="s">
        <v>884</v>
      </c>
      <c r="N50" s="63" t="s">
        <v>982</v>
      </c>
      <c r="O50" s="63" t="s">
        <v>886</v>
      </c>
      <c r="P50" s="63" t="s">
        <v>887</v>
      </c>
      <c r="Q50" s="63" t="s">
        <v>888</v>
      </c>
      <c r="R50" s="63" t="s">
        <v>860</v>
      </c>
      <c r="S50" s="72"/>
    </row>
    <row r="51" spans="1:19" x14ac:dyDescent="0.25">
      <c r="A51" s="67" t="s">
        <v>323</v>
      </c>
      <c r="B51" s="67" t="s">
        <v>405</v>
      </c>
      <c r="C51" s="67" t="s">
        <v>879</v>
      </c>
      <c r="D51" s="67" t="s">
        <v>880</v>
      </c>
      <c r="E51" s="67" t="s">
        <v>854</v>
      </c>
      <c r="F51" s="67" t="s">
        <v>918</v>
      </c>
      <c r="G51" s="67" t="s">
        <v>983</v>
      </c>
      <c r="H51" s="67" t="s">
        <v>883</v>
      </c>
      <c r="I51" s="69"/>
      <c r="J51" s="68">
        <v>41382</v>
      </c>
      <c r="K51" s="68">
        <v>42113</v>
      </c>
      <c r="L51" s="67" t="s">
        <v>984</v>
      </c>
      <c r="M51" s="67" t="s">
        <v>958</v>
      </c>
      <c r="N51" s="67" t="s">
        <v>985</v>
      </c>
      <c r="O51" s="67" t="s">
        <v>886</v>
      </c>
      <c r="P51" s="67" t="s">
        <v>887</v>
      </c>
      <c r="Q51" s="67" t="s">
        <v>888</v>
      </c>
      <c r="R51" s="67" t="s">
        <v>860</v>
      </c>
      <c r="S51" s="70" t="s">
        <v>984</v>
      </c>
    </row>
    <row r="52" spans="1:19" x14ac:dyDescent="0.25">
      <c r="A52" s="63" t="s">
        <v>323</v>
      </c>
      <c r="B52" s="63" t="s">
        <v>405</v>
      </c>
      <c r="C52" s="63" t="s">
        <v>879</v>
      </c>
      <c r="D52" s="63" t="s">
        <v>880</v>
      </c>
      <c r="E52" s="63" t="s">
        <v>854</v>
      </c>
      <c r="F52" s="63" t="s">
        <v>918</v>
      </c>
      <c r="G52" s="63" t="s">
        <v>983</v>
      </c>
      <c r="H52" s="63" t="s">
        <v>923</v>
      </c>
      <c r="I52" s="64">
        <v>42114</v>
      </c>
      <c r="J52" s="64">
        <v>42114</v>
      </c>
      <c r="K52" s="64">
        <v>44566</v>
      </c>
      <c r="L52" s="65"/>
      <c r="M52" s="63" t="s">
        <v>884</v>
      </c>
      <c r="N52" s="63" t="s">
        <v>985</v>
      </c>
      <c r="O52" s="63" t="s">
        <v>886</v>
      </c>
      <c r="P52" s="63" t="s">
        <v>887</v>
      </c>
      <c r="Q52" s="63" t="s">
        <v>888</v>
      </c>
      <c r="R52" s="63" t="s">
        <v>860</v>
      </c>
      <c r="S52" s="72"/>
    </row>
    <row r="53" spans="1:19" x14ac:dyDescent="0.25">
      <c r="A53" s="67" t="s">
        <v>323</v>
      </c>
      <c r="B53" s="67" t="s">
        <v>405</v>
      </c>
      <c r="C53" s="67" t="s">
        <v>879</v>
      </c>
      <c r="D53" s="67" t="s">
        <v>880</v>
      </c>
      <c r="E53" s="67" t="s">
        <v>854</v>
      </c>
      <c r="F53" s="67" t="s">
        <v>918</v>
      </c>
      <c r="G53" s="67" t="s">
        <v>986</v>
      </c>
      <c r="H53" s="67" t="s">
        <v>923</v>
      </c>
      <c r="I53" s="68">
        <v>42114</v>
      </c>
      <c r="J53" s="68">
        <v>42114</v>
      </c>
      <c r="K53" s="68">
        <v>44566</v>
      </c>
      <c r="L53" s="69"/>
      <c r="M53" s="67" t="s">
        <v>884</v>
      </c>
      <c r="N53" s="67" t="s">
        <v>987</v>
      </c>
      <c r="O53" s="67" t="s">
        <v>886</v>
      </c>
      <c r="P53" s="67" t="s">
        <v>887</v>
      </c>
      <c r="Q53" s="67" t="s">
        <v>888</v>
      </c>
      <c r="R53" s="67" t="s">
        <v>860</v>
      </c>
      <c r="S53" s="71"/>
    </row>
    <row r="54" spans="1:19" x14ac:dyDescent="0.25">
      <c r="A54" s="63" t="s">
        <v>323</v>
      </c>
      <c r="B54" s="63" t="s">
        <v>405</v>
      </c>
      <c r="C54" s="63" t="s">
        <v>879</v>
      </c>
      <c r="D54" s="63" t="s">
        <v>880</v>
      </c>
      <c r="E54" s="63" t="s">
        <v>854</v>
      </c>
      <c r="F54" s="63" t="s">
        <v>918</v>
      </c>
      <c r="G54" s="63" t="s">
        <v>988</v>
      </c>
      <c r="H54" s="63" t="s">
        <v>883</v>
      </c>
      <c r="I54" s="65"/>
      <c r="J54" s="64">
        <v>42114</v>
      </c>
      <c r="K54" s="64">
        <v>42810</v>
      </c>
      <c r="L54" s="65"/>
      <c r="M54" s="63" t="s">
        <v>920</v>
      </c>
      <c r="N54" s="63" t="s">
        <v>989</v>
      </c>
      <c r="O54" s="63" t="s">
        <v>886</v>
      </c>
      <c r="P54" s="63" t="s">
        <v>887</v>
      </c>
      <c r="Q54" s="63" t="s">
        <v>888</v>
      </c>
      <c r="R54" s="63" t="s">
        <v>860</v>
      </c>
      <c r="S54" s="66" t="s">
        <v>964</v>
      </c>
    </row>
    <row r="55" spans="1:19" x14ac:dyDescent="0.25">
      <c r="A55" s="67" t="s">
        <v>323</v>
      </c>
      <c r="B55" s="67" t="s">
        <v>405</v>
      </c>
      <c r="C55" s="67" t="s">
        <v>879</v>
      </c>
      <c r="D55" s="67" t="s">
        <v>880</v>
      </c>
      <c r="E55" s="67" t="s">
        <v>854</v>
      </c>
      <c r="F55" s="67" t="s">
        <v>918</v>
      </c>
      <c r="G55" s="67" t="s">
        <v>988</v>
      </c>
      <c r="H55" s="67" t="s">
        <v>923</v>
      </c>
      <c r="I55" s="68">
        <v>42811</v>
      </c>
      <c r="J55" s="68">
        <v>42811</v>
      </c>
      <c r="K55" s="68">
        <v>44566</v>
      </c>
      <c r="L55" s="69"/>
      <c r="M55" s="67" t="s">
        <v>965</v>
      </c>
      <c r="N55" s="67" t="s">
        <v>989</v>
      </c>
      <c r="O55" s="67" t="s">
        <v>886</v>
      </c>
      <c r="P55" s="67" t="s">
        <v>887</v>
      </c>
      <c r="Q55" s="67" t="s">
        <v>888</v>
      </c>
      <c r="R55" s="67" t="s">
        <v>860</v>
      </c>
      <c r="S55" s="71"/>
    </row>
    <row r="56" spans="1:19" x14ac:dyDescent="0.25">
      <c r="A56" s="63" t="s">
        <v>323</v>
      </c>
      <c r="B56" s="63" t="s">
        <v>405</v>
      </c>
      <c r="C56" s="63" t="s">
        <v>879</v>
      </c>
      <c r="D56" s="63" t="s">
        <v>880</v>
      </c>
      <c r="E56" s="63" t="s">
        <v>854</v>
      </c>
      <c r="F56" s="63" t="s">
        <v>918</v>
      </c>
      <c r="G56" s="63" t="s">
        <v>990</v>
      </c>
      <c r="H56" s="63" t="s">
        <v>923</v>
      </c>
      <c r="I56" s="64">
        <v>42811</v>
      </c>
      <c r="J56" s="64">
        <v>42811</v>
      </c>
      <c r="K56" s="64">
        <v>44566</v>
      </c>
      <c r="L56" s="65"/>
      <c r="M56" s="63" t="s">
        <v>965</v>
      </c>
      <c r="N56" s="63" t="s">
        <v>991</v>
      </c>
      <c r="O56" s="63" t="s">
        <v>886</v>
      </c>
      <c r="P56" s="63" t="s">
        <v>887</v>
      </c>
      <c r="Q56" s="63" t="s">
        <v>888</v>
      </c>
      <c r="R56" s="63" t="s">
        <v>860</v>
      </c>
      <c r="S56" s="72"/>
    </row>
    <row r="57" spans="1:19" x14ac:dyDescent="0.25">
      <c r="A57" s="67" t="s">
        <v>323</v>
      </c>
      <c r="B57" s="67" t="s">
        <v>405</v>
      </c>
      <c r="C57" s="67" t="s">
        <v>879</v>
      </c>
      <c r="D57" s="67" t="s">
        <v>880</v>
      </c>
      <c r="E57" s="67" t="s">
        <v>854</v>
      </c>
      <c r="F57" s="67" t="s">
        <v>918</v>
      </c>
      <c r="G57" s="67" t="s">
        <v>992</v>
      </c>
      <c r="H57" s="67" t="s">
        <v>883</v>
      </c>
      <c r="I57" s="68">
        <v>42739</v>
      </c>
      <c r="J57" s="68">
        <v>42739</v>
      </c>
      <c r="K57" s="68">
        <v>42751</v>
      </c>
      <c r="L57" s="69"/>
      <c r="M57" s="67" t="s">
        <v>884</v>
      </c>
      <c r="N57" s="67" t="s">
        <v>993</v>
      </c>
      <c r="O57" s="67" t="s">
        <v>886</v>
      </c>
      <c r="P57" s="67" t="s">
        <v>887</v>
      </c>
      <c r="Q57" s="67" t="s">
        <v>888</v>
      </c>
      <c r="R57" s="67" t="s">
        <v>860</v>
      </c>
      <c r="S57" s="70" t="s">
        <v>994</v>
      </c>
    </row>
    <row r="58" spans="1:19" x14ac:dyDescent="0.25">
      <c r="A58" s="63" t="s">
        <v>323</v>
      </c>
      <c r="B58" s="63" t="s">
        <v>405</v>
      </c>
      <c r="C58" s="63" t="s">
        <v>879</v>
      </c>
      <c r="D58" s="63" t="s">
        <v>880</v>
      </c>
      <c r="E58" s="63" t="s">
        <v>854</v>
      </c>
      <c r="F58" s="63" t="s">
        <v>918</v>
      </c>
      <c r="G58" s="63" t="s">
        <v>992</v>
      </c>
      <c r="H58" s="63" t="s">
        <v>923</v>
      </c>
      <c r="I58" s="64">
        <v>42752</v>
      </c>
      <c r="J58" s="64">
        <v>42752</v>
      </c>
      <c r="K58" s="64">
        <v>44566</v>
      </c>
      <c r="L58" s="65"/>
      <c r="M58" s="63" t="s">
        <v>965</v>
      </c>
      <c r="N58" s="63" t="s">
        <v>993</v>
      </c>
      <c r="O58" s="63" t="s">
        <v>886</v>
      </c>
      <c r="P58" s="63" t="s">
        <v>887</v>
      </c>
      <c r="Q58" s="63" t="s">
        <v>888</v>
      </c>
      <c r="R58" s="63" t="s">
        <v>860</v>
      </c>
      <c r="S58" s="72"/>
    </row>
    <row r="59" spans="1:19" x14ac:dyDescent="0.25">
      <c r="A59" s="67" t="s">
        <v>323</v>
      </c>
      <c r="B59" s="67" t="s">
        <v>405</v>
      </c>
      <c r="C59" s="67" t="s">
        <v>879</v>
      </c>
      <c r="D59" s="67" t="s">
        <v>880</v>
      </c>
      <c r="E59" s="67" t="s">
        <v>854</v>
      </c>
      <c r="F59" s="67" t="s">
        <v>918</v>
      </c>
      <c r="G59" s="67" t="s">
        <v>995</v>
      </c>
      <c r="H59" s="67" t="s">
        <v>883</v>
      </c>
      <c r="I59" s="69"/>
      <c r="J59" s="68">
        <v>41137</v>
      </c>
      <c r="K59" s="68">
        <v>42113</v>
      </c>
      <c r="L59" s="67" t="s">
        <v>852</v>
      </c>
      <c r="M59" s="67" t="s">
        <v>958</v>
      </c>
      <c r="N59" s="67" t="s">
        <v>996</v>
      </c>
      <c r="O59" s="67" t="s">
        <v>886</v>
      </c>
      <c r="P59" s="67" t="s">
        <v>887</v>
      </c>
      <c r="Q59" s="67" t="s">
        <v>888</v>
      </c>
      <c r="R59" s="67" t="s">
        <v>860</v>
      </c>
      <c r="S59" s="70" t="s">
        <v>852</v>
      </c>
    </row>
    <row r="60" spans="1:19" x14ac:dyDescent="0.25">
      <c r="A60" s="63" t="s">
        <v>323</v>
      </c>
      <c r="B60" s="63" t="s">
        <v>405</v>
      </c>
      <c r="C60" s="63" t="s">
        <v>879</v>
      </c>
      <c r="D60" s="63" t="s">
        <v>880</v>
      </c>
      <c r="E60" s="63" t="s">
        <v>854</v>
      </c>
      <c r="F60" s="63" t="s">
        <v>918</v>
      </c>
      <c r="G60" s="63" t="s">
        <v>995</v>
      </c>
      <c r="H60" s="63" t="s">
        <v>923</v>
      </c>
      <c r="I60" s="64">
        <v>42114</v>
      </c>
      <c r="J60" s="64">
        <v>42114</v>
      </c>
      <c r="K60" s="64">
        <v>44566</v>
      </c>
      <c r="L60" s="65"/>
      <c r="M60" s="63" t="s">
        <v>884</v>
      </c>
      <c r="N60" s="63" t="s">
        <v>996</v>
      </c>
      <c r="O60" s="63" t="s">
        <v>886</v>
      </c>
      <c r="P60" s="63" t="s">
        <v>887</v>
      </c>
      <c r="Q60" s="63" t="s">
        <v>888</v>
      </c>
      <c r="R60" s="63" t="s">
        <v>860</v>
      </c>
      <c r="S60" s="72"/>
    </row>
    <row r="61" spans="1:19" x14ac:dyDescent="0.25">
      <c r="A61" s="67" t="s">
        <v>323</v>
      </c>
      <c r="B61" s="67" t="s">
        <v>405</v>
      </c>
      <c r="C61" s="67" t="s">
        <v>879</v>
      </c>
      <c r="D61" s="67" t="s">
        <v>880</v>
      </c>
      <c r="E61" s="67" t="s">
        <v>854</v>
      </c>
      <c r="F61" s="67" t="s">
        <v>918</v>
      </c>
      <c r="G61" s="67" t="s">
        <v>997</v>
      </c>
      <c r="H61" s="67" t="s">
        <v>883</v>
      </c>
      <c r="I61" s="69"/>
      <c r="J61" s="68">
        <v>41382</v>
      </c>
      <c r="K61" s="68">
        <v>42113</v>
      </c>
      <c r="L61" s="67" t="s">
        <v>998</v>
      </c>
      <c r="M61" s="67" t="s">
        <v>958</v>
      </c>
      <c r="N61" s="67" t="s">
        <v>999</v>
      </c>
      <c r="O61" s="67" t="s">
        <v>886</v>
      </c>
      <c r="P61" s="67" t="s">
        <v>887</v>
      </c>
      <c r="Q61" s="67" t="s">
        <v>888</v>
      </c>
      <c r="R61" s="67" t="s">
        <v>860</v>
      </c>
      <c r="S61" s="70" t="s">
        <v>998</v>
      </c>
    </row>
    <row r="62" spans="1:19" x14ac:dyDescent="0.25">
      <c r="A62" s="63" t="s">
        <v>323</v>
      </c>
      <c r="B62" s="63" t="s">
        <v>405</v>
      </c>
      <c r="C62" s="63" t="s">
        <v>879</v>
      </c>
      <c r="D62" s="63" t="s">
        <v>880</v>
      </c>
      <c r="E62" s="63" t="s">
        <v>854</v>
      </c>
      <c r="F62" s="63" t="s">
        <v>918</v>
      </c>
      <c r="G62" s="63" t="s">
        <v>997</v>
      </c>
      <c r="H62" s="63" t="s">
        <v>923</v>
      </c>
      <c r="I62" s="64">
        <v>42114</v>
      </c>
      <c r="J62" s="64">
        <v>42114</v>
      </c>
      <c r="K62" s="64">
        <v>44566</v>
      </c>
      <c r="L62" s="65"/>
      <c r="M62" s="63" t="s">
        <v>884</v>
      </c>
      <c r="N62" s="63" t="s">
        <v>999</v>
      </c>
      <c r="O62" s="63" t="s">
        <v>886</v>
      </c>
      <c r="P62" s="63" t="s">
        <v>887</v>
      </c>
      <c r="Q62" s="63" t="s">
        <v>888</v>
      </c>
      <c r="R62" s="63" t="s">
        <v>860</v>
      </c>
      <c r="S62" s="72"/>
    </row>
    <row r="63" spans="1:19" x14ac:dyDescent="0.25">
      <c r="A63" s="67" t="s">
        <v>323</v>
      </c>
      <c r="B63" s="67" t="s">
        <v>405</v>
      </c>
      <c r="C63" s="67" t="s">
        <v>879</v>
      </c>
      <c r="D63" s="67" t="s">
        <v>880</v>
      </c>
      <c r="E63" s="67" t="s">
        <v>854</v>
      </c>
      <c r="F63" s="67" t="s">
        <v>918</v>
      </c>
      <c r="G63" s="67" t="s">
        <v>1000</v>
      </c>
      <c r="H63" s="67" t="s">
        <v>923</v>
      </c>
      <c r="I63" s="68">
        <v>42114</v>
      </c>
      <c r="J63" s="68">
        <v>42114</v>
      </c>
      <c r="K63" s="68">
        <v>44566</v>
      </c>
      <c r="L63" s="69"/>
      <c r="M63" s="67" t="s">
        <v>884</v>
      </c>
      <c r="N63" s="67" t="s">
        <v>1001</v>
      </c>
      <c r="O63" s="67" t="s">
        <v>886</v>
      </c>
      <c r="P63" s="67" t="s">
        <v>887</v>
      </c>
      <c r="Q63" s="67" t="s">
        <v>888</v>
      </c>
      <c r="R63" s="67" t="s">
        <v>860</v>
      </c>
      <c r="S63" s="71"/>
    </row>
    <row r="64" spans="1:19" x14ac:dyDescent="0.25">
      <c r="A64" s="63" t="s">
        <v>323</v>
      </c>
      <c r="B64" s="63" t="s">
        <v>405</v>
      </c>
      <c r="C64" s="63" t="s">
        <v>879</v>
      </c>
      <c r="D64" s="63" t="s">
        <v>880</v>
      </c>
      <c r="E64" s="63" t="s">
        <v>854</v>
      </c>
      <c r="F64" s="63" t="s">
        <v>918</v>
      </c>
      <c r="G64" s="63" t="s">
        <v>1002</v>
      </c>
      <c r="H64" s="63" t="s">
        <v>883</v>
      </c>
      <c r="I64" s="65"/>
      <c r="J64" s="64">
        <v>41137</v>
      </c>
      <c r="K64" s="64">
        <v>42113</v>
      </c>
      <c r="L64" s="63" t="s">
        <v>852</v>
      </c>
      <c r="M64" s="63" t="s">
        <v>958</v>
      </c>
      <c r="N64" s="63" t="s">
        <v>1003</v>
      </c>
      <c r="O64" s="63" t="s">
        <v>886</v>
      </c>
      <c r="P64" s="63" t="s">
        <v>887</v>
      </c>
      <c r="Q64" s="63" t="s">
        <v>888</v>
      </c>
      <c r="R64" s="63" t="s">
        <v>860</v>
      </c>
      <c r="S64" s="66" t="s">
        <v>852</v>
      </c>
    </row>
    <row r="65" spans="1:19" x14ac:dyDescent="0.25">
      <c r="A65" s="67" t="s">
        <v>323</v>
      </c>
      <c r="B65" s="67" t="s">
        <v>405</v>
      </c>
      <c r="C65" s="67" t="s">
        <v>879</v>
      </c>
      <c r="D65" s="67" t="s">
        <v>880</v>
      </c>
      <c r="E65" s="67" t="s">
        <v>854</v>
      </c>
      <c r="F65" s="67" t="s">
        <v>918</v>
      </c>
      <c r="G65" s="67" t="s">
        <v>1002</v>
      </c>
      <c r="H65" s="67" t="s">
        <v>923</v>
      </c>
      <c r="I65" s="68">
        <v>42114</v>
      </c>
      <c r="J65" s="68">
        <v>42114</v>
      </c>
      <c r="K65" s="68">
        <v>44566</v>
      </c>
      <c r="L65" s="69"/>
      <c r="M65" s="67" t="s">
        <v>884</v>
      </c>
      <c r="N65" s="67" t="s">
        <v>1003</v>
      </c>
      <c r="O65" s="67" t="s">
        <v>886</v>
      </c>
      <c r="P65" s="67" t="s">
        <v>887</v>
      </c>
      <c r="Q65" s="67" t="s">
        <v>888</v>
      </c>
      <c r="R65" s="67" t="s">
        <v>860</v>
      </c>
      <c r="S65" s="71"/>
    </row>
    <row r="66" spans="1:19" x14ac:dyDescent="0.25">
      <c r="A66" s="63" t="s">
        <v>323</v>
      </c>
      <c r="B66" s="63" t="s">
        <v>405</v>
      </c>
      <c r="C66" s="63" t="s">
        <v>879</v>
      </c>
      <c r="D66" s="63" t="s">
        <v>880</v>
      </c>
      <c r="E66" s="63" t="s">
        <v>854</v>
      </c>
      <c r="F66" s="63" t="s">
        <v>918</v>
      </c>
      <c r="G66" s="63" t="s">
        <v>1004</v>
      </c>
      <c r="H66" s="63" t="s">
        <v>923</v>
      </c>
      <c r="I66" s="64">
        <v>42114</v>
      </c>
      <c r="J66" s="64">
        <v>42114</v>
      </c>
      <c r="K66" s="64">
        <v>44566</v>
      </c>
      <c r="L66" s="65"/>
      <c r="M66" s="63" t="s">
        <v>884</v>
      </c>
      <c r="N66" s="63" t="s">
        <v>1005</v>
      </c>
      <c r="O66" s="63" t="s">
        <v>886</v>
      </c>
      <c r="P66" s="63" t="s">
        <v>887</v>
      </c>
      <c r="Q66" s="63" t="s">
        <v>888</v>
      </c>
      <c r="R66" s="63" t="s">
        <v>860</v>
      </c>
      <c r="S66" s="72"/>
    </row>
    <row r="67" spans="1:19" x14ac:dyDescent="0.25">
      <c r="A67" s="67" t="s">
        <v>323</v>
      </c>
      <c r="B67" s="67" t="s">
        <v>405</v>
      </c>
      <c r="C67" s="67" t="s">
        <v>879</v>
      </c>
      <c r="D67" s="67" t="s">
        <v>880</v>
      </c>
      <c r="E67" s="67" t="s">
        <v>854</v>
      </c>
      <c r="F67" s="67" t="s">
        <v>918</v>
      </c>
      <c r="G67" s="67" t="s">
        <v>1006</v>
      </c>
      <c r="H67" s="67" t="s">
        <v>883</v>
      </c>
      <c r="I67" s="69"/>
      <c r="J67" s="68">
        <v>41136</v>
      </c>
      <c r="K67" s="68">
        <v>42113</v>
      </c>
      <c r="L67" s="67" t="s">
        <v>1007</v>
      </c>
      <c r="M67" s="67" t="s">
        <v>958</v>
      </c>
      <c r="N67" s="67" t="s">
        <v>1008</v>
      </c>
      <c r="O67" s="67" t="s">
        <v>886</v>
      </c>
      <c r="P67" s="67" t="s">
        <v>887</v>
      </c>
      <c r="Q67" s="67" t="s">
        <v>888</v>
      </c>
      <c r="R67" s="67" t="s">
        <v>860</v>
      </c>
      <c r="S67" s="70" t="s">
        <v>1007</v>
      </c>
    </row>
    <row r="68" spans="1:19" x14ac:dyDescent="0.25">
      <c r="A68" s="63" t="s">
        <v>323</v>
      </c>
      <c r="B68" s="63" t="s">
        <v>405</v>
      </c>
      <c r="C68" s="63" t="s">
        <v>879</v>
      </c>
      <c r="D68" s="63" t="s">
        <v>880</v>
      </c>
      <c r="E68" s="63" t="s">
        <v>854</v>
      </c>
      <c r="F68" s="63" t="s">
        <v>918</v>
      </c>
      <c r="G68" s="63" t="s">
        <v>1006</v>
      </c>
      <c r="H68" s="63" t="s">
        <v>923</v>
      </c>
      <c r="I68" s="64">
        <v>42114</v>
      </c>
      <c r="J68" s="64">
        <v>42114</v>
      </c>
      <c r="K68" s="64">
        <v>44566</v>
      </c>
      <c r="L68" s="65"/>
      <c r="M68" s="63" t="s">
        <v>884</v>
      </c>
      <c r="N68" s="63" t="s">
        <v>1008</v>
      </c>
      <c r="O68" s="63" t="s">
        <v>886</v>
      </c>
      <c r="P68" s="63" t="s">
        <v>887</v>
      </c>
      <c r="Q68" s="63" t="s">
        <v>888</v>
      </c>
      <c r="R68" s="63" t="s">
        <v>860</v>
      </c>
      <c r="S68" s="72"/>
    </row>
    <row r="69" spans="1:19" x14ac:dyDescent="0.25">
      <c r="A69" s="67" t="s">
        <v>323</v>
      </c>
      <c r="B69" s="67" t="s">
        <v>405</v>
      </c>
      <c r="C69" s="67" t="s">
        <v>879</v>
      </c>
      <c r="D69" s="67" t="s">
        <v>880</v>
      </c>
      <c r="E69" s="67" t="s">
        <v>854</v>
      </c>
      <c r="F69" s="67" t="s">
        <v>918</v>
      </c>
      <c r="G69" s="67" t="s">
        <v>1009</v>
      </c>
      <c r="H69" s="67" t="s">
        <v>923</v>
      </c>
      <c r="I69" s="68">
        <v>42114</v>
      </c>
      <c r="J69" s="68">
        <v>42114</v>
      </c>
      <c r="K69" s="68">
        <v>44566</v>
      </c>
      <c r="L69" s="69"/>
      <c r="M69" s="67" t="s">
        <v>884</v>
      </c>
      <c r="N69" s="67" t="s">
        <v>1010</v>
      </c>
      <c r="O69" s="67" t="s">
        <v>886</v>
      </c>
      <c r="P69" s="67" t="s">
        <v>887</v>
      </c>
      <c r="Q69" s="67" t="s">
        <v>888</v>
      </c>
      <c r="R69" s="67" t="s">
        <v>860</v>
      </c>
      <c r="S69" s="71"/>
    </row>
    <row r="70" spans="1:19" x14ac:dyDescent="0.25">
      <c r="A70" s="63" t="s">
        <v>323</v>
      </c>
      <c r="B70" s="63" t="s">
        <v>405</v>
      </c>
      <c r="C70" s="63" t="s">
        <v>879</v>
      </c>
      <c r="D70" s="63" t="s">
        <v>880</v>
      </c>
      <c r="E70" s="63" t="s">
        <v>854</v>
      </c>
      <c r="F70" s="63" t="s">
        <v>918</v>
      </c>
      <c r="G70" s="63" t="s">
        <v>1011</v>
      </c>
      <c r="H70" s="63" t="s">
        <v>883</v>
      </c>
      <c r="I70" s="65"/>
      <c r="J70" s="64">
        <v>41136</v>
      </c>
      <c r="K70" s="64">
        <v>42113</v>
      </c>
      <c r="L70" s="63" t="s">
        <v>852</v>
      </c>
      <c r="M70" s="63" t="s">
        <v>958</v>
      </c>
      <c r="N70" s="63" t="s">
        <v>1012</v>
      </c>
      <c r="O70" s="63" t="s">
        <v>886</v>
      </c>
      <c r="P70" s="63" t="s">
        <v>887</v>
      </c>
      <c r="Q70" s="63" t="s">
        <v>888</v>
      </c>
      <c r="R70" s="63" t="s">
        <v>860</v>
      </c>
      <c r="S70" s="66" t="s">
        <v>852</v>
      </c>
    </row>
    <row r="71" spans="1:19" x14ac:dyDescent="0.25">
      <c r="A71" s="67" t="s">
        <v>323</v>
      </c>
      <c r="B71" s="67" t="s">
        <v>405</v>
      </c>
      <c r="C71" s="67" t="s">
        <v>879</v>
      </c>
      <c r="D71" s="67" t="s">
        <v>880</v>
      </c>
      <c r="E71" s="67" t="s">
        <v>854</v>
      </c>
      <c r="F71" s="67" t="s">
        <v>918</v>
      </c>
      <c r="G71" s="67" t="s">
        <v>1011</v>
      </c>
      <c r="H71" s="67" t="s">
        <v>923</v>
      </c>
      <c r="I71" s="68">
        <v>42114</v>
      </c>
      <c r="J71" s="68">
        <v>42114</v>
      </c>
      <c r="K71" s="68">
        <v>44566</v>
      </c>
      <c r="L71" s="69"/>
      <c r="M71" s="67" t="s">
        <v>884</v>
      </c>
      <c r="N71" s="67" t="s">
        <v>1012</v>
      </c>
      <c r="O71" s="67" t="s">
        <v>886</v>
      </c>
      <c r="P71" s="67" t="s">
        <v>887</v>
      </c>
      <c r="Q71" s="67" t="s">
        <v>888</v>
      </c>
      <c r="R71" s="67" t="s">
        <v>860</v>
      </c>
      <c r="S71" s="71"/>
    </row>
    <row r="72" spans="1:19" x14ac:dyDescent="0.25">
      <c r="A72" s="63" t="s">
        <v>323</v>
      </c>
      <c r="B72" s="63" t="s">
        <v>405</v>
      </c>
      <c r="C72" s="63" t="s">
        <v>879</v>
      </c>
      <c r="D72" s="63" t="s">
        <v>880</v>
      </c>
      <c r="E72" s="63" t="s">
        <v>854</v>
      </c>
      <c r="F72" s="63" t="s">
        <v>918</v>
      </c>
      <c r="G72" s="63" t="s">
        <v>1013</v>
      </c>
      <c r="H72" s="63" t="s">
        <v>923</v>
      </c>
      <c r="I72" s="64">
        <v>42114</v>
      </c>
      <c r="J72" s="64">
        <v>42114</v>
      </c>
      <c r="K72" s="64">
        <v>44566</v>
      </c>
      <c r="L72" s="65"/>
      <c r="M72" s="63" t="s">
        <v>884</v>
      </c>
      <c r="N72" s="63" t="s">
        <v>1014</v>
      </c>
      <c r="O72" s="63" t="s">
        <v>886</v>
      </c>
      <c r="P72" s="63" t="s">
        <v>887</v>
      </c>
      <c r="Q72" s="63" t="s">
        <v>888</v>
      </c>
      <c r="R72" s="63" t="s">
        <v>860</v>
      </c>
      <c r="S72" s="72"/>
    </row>
    <row r="73" spans="1:19" x14ac:dyDescent="0.25">
      <c r="A73" s="67" t="s">
        <v>323</v>
      </c>
      <c r="B73" s="67" t="s">
        <v>405</v>
      </c>
      <c r="C73" s="67" t="s">
        <v>879</v>
      </c>
      <c r="D73" s="67" t="s">
        <v>880</v>
      </c>
      <c r="E73" s="67" t="s">
        <v>854</v>
      </c>
      <c r="F73" s="67" t="s">
        <v>918</v>
      </c>
      <c r="G73" s="67" t="s">
        <v>1015</v>
      </c>
      <c r="H73" s="67" t="s">
        <v>883</v>
      </c>
      <c r="I73" s="69"/>
      <c r="J73" s="68">
        <v>42065</v>
      </c>
      <c r="K73" s="68">
        <v>42810</v>
      </c>
      <c r="L73" s="69"/>
      <c r="M73" s="67" t="s">
        <v>884</v>
      </c>
      <c r="N73" s="67" t="s">
        <v>1016</v>
      </c>
      <c r="O73" s="67" t="s">
        <v>886</v>
      </c>
      <c r="P73" s="67" t="s">
        <v>887</v>
      </c>
      <c r="Q73" s="67" t="s">
        <v>888</v>
      </c>
      <c r="R73" s="67" t="s">
        <v>860</v>
      </c>
      <c r="S73" s="70" t="s">
        <v>1017</v>
      </c>
    </row>
    <row r="74" spans="1:19" x14ac:dyDescent="0.25">
      <c r="A74" s="63" t="s">
        <v>323</v>
      </c>
      <c r="B74" s="63" t="s">
        <v>405</v>
      </c>
      <c r="C74" s="63" t="s">
        <v>879</v>
      </c>
      <c r="D74" s="63" t="s">
        <v>880</v>
      </c>
      <c r="E74" s="63" t="s">
        <v>854</v>
      </c>
      <c r="F74" s="63" t="s">
        <v>918</v>
      </c>
      <c r="G74" s="63" t="s">
        <v>1015</v>
      </c>
      <c r="H74" s="63" t="s">
        <v>923</v>
      </c>
      <c r="I74" s="64">
        <v>42811</v>
      </c>
      <c r="J74" s="64">
        <v>42811</v>
      </c>
      <c r="K74" s="64">
        <v>44566</v>
      </c>
      <c r="L74" s="65"/>
      <c r="M74" s="63" t="s">
        <v>965</v>
      </c>
      <c r="N74" s="63" t="s">
        <v>1016</v>
      </c>
      <c r="O74" s="63" t="s">
        <v>886</v>
      </c>
      <c r="P74" s="63" t="s">
        <v>887</v>
      </c>
      <c r="Q74" s="63" t="s">
        <v>888</v>
      </c>
      <c r="R74" s="63" t="s">
        <v>860</v>
      </c>
      <c r="S74" s="72"/>
    </row>
    <row r="75" spans="1:19" x14ac:dyDescent="0.25">
      <c r="A75" s="67" t="s">
        <v>323</v>
      </c>
      <c r="B75" s="67" t="s">
        <v>405</v>
      </c>
      <c r="C75" s="67" t="s">
        <v>879</v>
      </c>
      <c r="D75" s="67" t="s">
        <v>880</v>
      </c>
      <c r="E75" s="67" t="s">
        <v>854</v>
      </c>
      <c r="F75" s="67" t="s">
        <v>918</v>
      </c>
      <c r="G75" s="67" t="s">
        <v>1018</v>
      </c>
      <c r="H75" s="67" t="s">
        <v>923</v>
      </c>
      <c r="I75" s="68">
        <v>42811</v>
      </c>
      <c r="J75" s="68">
        <v>42811</v>
      </c>
      <c r="K75" s="68">
        <v>44566</v>
      </c>
      <c r="L75" s="69"/>
      <c r="M75" s="67" t="s">
        <v>965</v>
      </c>
      <c r="N75" s="67" t="s">
        <v>1019</v>
      </c>
      <c r="O75" s="67" t="s">
        <v>886</v>
      </c>
      <c r="P75" s="67" t="s">
        <v>887</v>
      </c>
      <c r="Q75" s="67" t="s">
        <v>888</v>
      </c>
      <c r="R75" s="67" t="s">
        <v>860</v>
      </c>
      <c r="S75" s="71"/>
    </row>
    <row r="76" spans="1:19" x14ac:dyDescent="0.25">
      <c r="A76" s="63" t="s">
        <v>323</v>
      </c>
      <c r="B76" s="63" t="s">
        <v>405</v>
      </c>
      <c r="C76" s="63" t="s">
        <v>879</v>
      </c>
      <c r="D76" s="63" t="s">
        <v>880</v>
      </c>
      <c r="E76" s="63" t="s">
        <v>854</v>
      </c>
      <c r="F76" s="63" t="s">
        <v>918</v>
      </c>
      <c r="G76" s="63" t="s">
        <v>1020</v>
      </c>
      <c r="H76" s="63" t="s">
        <v>883</v>
      </c>
      <c r="I76" s="65"/>
      <c r="J76" s="64">
        <v>42114</v>
      </c>
      <c r="K76" s="64">
        <v>42810</v>
      </c>
      <c r="L76" s="65"/>
      <c r="M76" s="63" t="s">
        <v>920</v>
      </c>
      <c r="N76" s="63" t="s">
        <v>1021</v>
      </c>
      <c r="O76" s="63" t="s">
        <v>886</v>
      </c>
      <c r="P76" s="63" t="s">
        <v>887</v>
      </c>
      <c r="Q76" s="63" t="s">
        <v>888</v>
      </c>
      <c r="R76" s="63" t="s">
        <v>860</v>
      </c>
      <c r="S76" s="66" t="s">
        <v>964</v>
      </c>
    </row>
    <row r="77" spans="1:19" x14ac:dyDescent="0.25">
      <c r="A77" s="67" t="s">
        <v>323</v>
      </c>
      <c r="B77" s="67" t="s">
        <v>405</v>
      </c>
      <c r="C77" s="67" t="s">
        <v>879</v>
      </c>
      <c r="D77" s="67" t="s">
        <v>880</v>
      </c>
      <c r="E77" s="67" t="s">
        <v>854</v>
      </c>
      <c r="F77" s="67" t="s">
        <v>918</v>
      </c>
      <c r="G77" s="67" t="s">
        <v>1020</v>
      </c>
      <c r="H77" s="67" t="s">
        <v>923</v>
      </c>
      <c r="I77" s="68">
        <v>42811</v>
      </c>
      <c r="J77" s="68">
        <v>42811</v>
      </c>
      <c r="K77" s="68">
        <v>44566</v>
      </c>
      <c r="L77" s="69"/>
      <c r="M77" s="67" t="s">
        <v>965</v>
      </c>
      <c r="N77" s="67" t="s">
        <v>1021</v>
      </c>
      <c r="O77" s="67" t="s">
        <v>886</v>
      </c>
      <c r="P77" s="67" t="s">
        <v>887</v>
      </c>
      <c r="Q77" s="67" t="s">
        <v>888</v>
      </c>
      <c r="R77" s="67" t="s">
        <v>860</v>
      </c>
      <c r="S77" s="71"/>
    </row>
    <row r="78" spans="1:19" x14ac:dyDescent="0.25">
      <c r="A78" s="63" t="s">
        <v>323</v>
      </c>
      <c r="B78" s="63" t="s">
        <v>405</v>
      </c>
      <c r="C78" s="63" t="s">
        <v>879</v>
      </c>
      <c r="D78" s="63" t="s">
        <v>880</v>
      </c>
      <c r="E78" s="63" t="s">
        <v>854</v>
      </c>
      <c r="F78" s="63" t="s">
        <v>918</v>
      </c>
      <c r="G78" s="63" t="s">
        <v>1022</v>
      </c>
      <c r="H78" s="63" t="s">
        <v>923</v>
      </c>
      <c r="I78" s="64">
        <v>42811</v>
      </c>
      <c r="J78" s="64">
        <v>42811</v>
      </c>
      <c r="K78" s="64">
        <v>44566</v>
      </c>
      <c r="L78" s="65"/>
      <c r="M78" s="63" t="s">
        <v>965</v>
      </c>
      <c r="N78" s="63" t="s">
        <v>1023</v>
      </c>
      <c r="O78" s="63" t="s">
        <v>886</v>
      </c>
      <c r="P78" s="63" t="s">
        <v>887</v>
      </c>
      <c r="Q78" s="63" t="s">
        <v>888</v>
      </c>
      <c r="R78" s="63" t="s">
        <v>860</v>
      </c>
      <c r="S78" s="72"/>
    </row>
    <row r="79" spans="1:19" x14ac:dyDescent="0.25">
      <c r="A79" s="67" t="s">
        <v>323</v>
      </c>
      <c r="B79" s="67" t="s">
        <v>405</v>
      </c>
      <c r="C79" s="67" t="s">
        <v>879</v>
      </c>
      <c r="D79" s="67" t="s">
        <v>880</v>
      </c>
      <c r="E79" s="67" t="s">
        <v>854</v>
      </c>
      <c r="F79" s="67" t="s">
        <v>918</v>
      </c>
      <c r="G79" s="67" t="s">
        <v>1024</v>
      </c>
      <c r="H79" s="67" t="s">
        <v>883</v>
      </c>
      <c r="I79" s="69"/>
      <c r="J79" s="68">
        <v>42114</v>
      </c>
      <c r="K79" s="68">
        <v>42810</v>
      </c>
      <c r="L79" s="69"/>
      <c r="M79" s="67" t="s">
        <v>920</v>
      </c>
      <c r="N79" s="67" t="s">
        <v>1025</v>
      </c>
      <c r="O79" s="67" t="s">
        <v>886</v>
      </c>
      <c r="P79" s="67" t="s">
        <v>887</v>
      </c>
      <c r="Q79" s="67" t="s">
        <v>888</v>
      </c>
      <c r="R79" s="67" t="s">
        <v>860</v>
      </c>
      <c r="S79" s="70" t="s">
        <v>1026</v>
      </c>
    </row>
    <row r="80" spans="1:19" x14ac:dyDescent="0.25">
      <c r="A80" s="63" t="s">
        <v>323</v>
      </c>
      <c r="B80" s="63" t="s">
        <v>405</v>
      </c>
      <c r="C80" s="63" t="s">
        <v>879</v>
      </c>
      <c r="D80" s="63" t="s">
        <v>880</v>
      </c>
      <c r="E80" s="63" t="s">
        <v>854</v>
      </c>
      <c r="F80" s="63" t="s">
        <v>918</v>
      </c>
      <c r="G80" s="63" t="s">
        <v>1024</v>
      </c>
      <c r="H80" s="63" t="s">
        <v>923</v>
      </c>
      <c r="I80" s="64">
        <v>42811</v>
      </c>
      <c r="J80" s="64">
        <v>42811</v>
      </c>
      <c r="K80" s="64">
        <v>44566</v>
      </c>
      <c r="L80" s="65"/>
      <c r="M80" s="63" t="s">
        <v>965</v>
      </c>
      <c r="N80" s="63" t="s">
        <v>1025</v>
      </c>
      <c r="O80" s="63" t="s">
        <v>886</v>
      </c>
      <c r="P80" s="63" t="s">
        <v>887</v>
      </c>
      <c r="Q80" s="63" t="s">
        <v>888</v>
      </c>
      <c r="R80" s="63" t="s">
        <v>860</v>
      </c>
      <c r="S80" s="72"/>
    </row>
    <row r="81" spans="1:19" x14ac:dyDescent="0.25">
      <c r="A81" s="67" t="s">
        <v>323</v>
      </c>
      <c r="B81" s="67" t="s">
        <v>405</v>
      </c>
      <c r="C81" s="67" t="s">
        <v>879</v>
      </c>
      <c r="D81" s="67" t="s">
        <v>880</v>
      </c>
      <c r="E81" s="67" t="s">
        <v>854</v>
      </c>
      <c r="F81" s="67" t="s">
        <v>918</v>
      </c>
      <c r="G81" s="67" t="s">
        <v>1027</v>
      </c>
      <c r="H81" s="67" t="s">
        <v>923</v>
      </c>
      <c r="I81" s="68">
        <v>42811</v>
      </c>
      <c r="J81" s="68">
        <v>42811</v>
      </c>
      <c r="K81" s="68">
        <v>44566</v>
      </c>
      <c r="L81" s="69"/>
      <c r="M81" s="67" t="s">
        <v>965</v>
      </c>
      <c r="N81" s="67" t="s">
        <v>1028</v>
      </c>
      <c r="O81" s="67" t="s">
        <v>886</v>
      </c>
      <c r="P81" s="67" t="s">
        <v>887</v>
      </c>
      <c r="Q81" s="67" t="s">
        <v>888</v>
      </c>
      <c r="R81" s="67" t="s">
        <v>860</v>
      </c>
      <c r="S81" s="71"/>
    </row>
    <row r="82" spans="1:19" x14ac:dyDescent="0.25">
      <c r="A82" s="63" t="s">
        <v>323</v>
      </c>
      <c r="B82" s="63" t="s">
        <v>405</v>
      </c>
      <c r="C82" s="63" t="s">
        <v>879</v>
      </c>
      <c r="D82" s="63" t="s">
        <v>880</v>
      </c>
      <c r="E82" s="63" t="s">
        <v>854</v>
      </c>
      <c r="F82" s="63" t="s">
        <v>918</v>
      </c>
      <c r="G82" s="63" t="s">
        <v>1029</v>
      </c>
      <c r="H82" s="63" t="s">
        <v>883</v>
      </c>
      <c r="I82" s="65"/>
      <c r="J82" s="64">
        <v>42114</v>
      </c>
      <c r="K82" s="64">
        <v>42810</v>
      </c>
      <c r="L82" s="65"/>
      <c r="M82" s="63" t="s">
        <v>920</v>
      </c>
      <c r="N82" s="63" t="s">
        <v>1030</v>
      </c>
      <c r="O82" s="63" t="s">
        <v>886</v>
      </c>
      <c r="P82" s="63" t="s">
        <v>887</v>
      </c>
      <c r="Q82" s="63" t="s">
        <v>888</v>
      </c>
      <c r="R82" s="63" t="s">
        <v>860</v>
      </c>
      <c r="S82" s="66" t="s">
        <v>964</v>
      </c>
    </row>
    <row r="83" spans="1:19" x14ac:dyDescent="0.25">
      <c r="A83" s="67" t="s">
        <v>323</v>
      </c>
      <c r="B83" s="67" t="s">
        <v>405</v>
      </c>
      <c r="C83" s="67" t="s">
        <v>879</v>
      </c>
      <c r="D83" s="67" t="s">
        <v>880</v>
      </c>
      <c r="E83" s="67" t="s">
        <v>854</v>
      </c>
      <c r="F83" s="67" t="s">
        <v>918</v>
      </c>
      <c r="G83" s="67" t="s">
        <v>1029</v>
      </c>
      <c r="H83" s="67" t="s">
        <v>923</v>
      </c>
      <c r="I83" s="68">
        <v>42811</v>
      </c>
      <c r="J83" s="68">
        <v>42811</v>
      </c>
      <c r="K83" s="68">
        <v>44566</v>
      </c>
      <c r="L83" s="69"/>
      <c r="M83" s="67" t="s">
        <v>965</v>
      </c>
      <c r="N83" s="67" t="s">
        <v>1030</v>
      </c>
      <c r="O83" s="67" t="s">
        <v>886</v>
      </c>
      <c r="P83" s="67" t="s">
        <v>887</v>
      </c>
      <c r="Q83" s="67" t="s">
        <v>888</v>
      </c>
      <c r="R83" s="67" t="s">
        <v>860</v>
      </c>
      <c r="S83" s="71"/>
    </row>
    <row r="84" spans="1:19" x14ac:dyDescent="0.25">
      <c r="A84" s="63" t="s">
        <v>323</v>
      </c>
      <c r="B84" s="63" t="s">
        <v>405</v>
      </c>
      <c r="C84" s="63" t="s">
        <v>879</v>
      </c>
      <c r="D84" s="63" t="s">
        <v>880</v>
      </c>
      <c r="E84" s="63" t="s">
        <v>854</v>
      </c>
      <c r="F84" s="63" t="s">
        <v>918</v>
      </c>
      <c r="G84" s="63" t="s">
        <v>1031</v>
      </c>
      <c r="H84" s="63" t="s">
        <v>923</v>
      </c>
      <c r="I84" s="64">
        <v>42811</v>
      </c>
      <c r="J84" s="64">
        <v>42811</v>
      </c>
      <c r="K84" s="64">
        <v>44566</v>
      </c>
      <c r="L84" s="65"/>
      <c r="M84" s="63" t="s">
        <v>965</v>
      </c>
      <c r="N84" s="63" t="s">
        <v>1032</v>
      </c>
      <c r="O84" s="63" t="s">
        <v>886</v>
      </c>
      <c r="P84" s="63" t="s">
        <v>887</v>
      </c>
      <c r="Q84" s="63" t="s">
        <v>888</v>
      </c>
      <c r="R84" s="63" t="s">
        <v>860</v>
      </c>
      <c r="S84" s="72"/>
    </row>
    <row r="85" spans="1:19" x14ac:dyDescent="0.25">
      <c r="A85" s="67" t="s">
        <v>323</v>
      </c>
      <c r="B85" s="67" t="s">
        <v>405</v>
      </c>
      <c r="C85" s="67" t="s">
        <v>879</v>
      </c>
      <c r="D85" s="67" t="s">
        <v>880</v>
      </c>
      <c r="E85" s="67" t="s">
        <v>854</v>
      </c>
      <c r="F85" s="67" t="s">
        <v>918</v>
      </c>
      <c r="G85" s="67" t="s">
        <v>1033</v>
      </c>
      <c r="H85" s="67" t="s">
        <v>883</v>
      </c>
      <c r="I85" s="69"/>
      <c r="J85" s="68">
        <v>42514</v>
      </c>
      <c r="K85" s="68">
        <v>44566</v>
      </c>
      <c r="L85" s="69"/>
      <c r="M85" s="67" t="s">
        <v>1034</v>
      </c>
      <c r="N85" s="67" t="s">
        <v>1035</v>
      </c>
      <c r="O85" s="67" t="s">
        <v>886</v>
      </c>
      <c r="P85" s="67" t="s">
        <v>887</v>
      </c>
      <c r="Q85" s="67" t="s">
        <v>888</v>
      </c>
      <c r="R85" s="67" t="s">
        <v>860</v>
      </c>
      <c r="S85" s="70" t="s">
        <v>1036</v>
      </c>
    </row>
    <row r="86" spans="1:19" x14ac:dyDescent="0.25">
      <c r="A86" s="63" t="s">
        <v>323</v>
      </c>
      <c r="B86" s="63" t="s">
        <v>405</v>
      </c>
      <c r="C86" s="63" t="s">
        <v>879</v>
      </c>
      <c r="D86" s="63" t="s">
        <v>880</v>
      </c>
      <c r="E86" s="63" t="s">
        <v>854</v>
      </c>
      <c r="F86" s="63" t="s">
        <v>918</v>
      </c>
      <c r="G86" s="63" t="s">
        <v>1037</v>
      </c>
      <c r="H86" s="63" t="s">
        <v>883</v>
      </c>
      <c r="I86" s="65"/>
      <c r="J86" s="64">
        <v>42514</v>
      </c>
      <c r="K86" s="64">
        <v>44566</v>
      </c>
      <c r="L86" s="65"/>
      <c r="M86" s="63" t="s">
        <v>1034</v>
      </c>
      <c r="N86" s="63" t="s">
        <v>1038</v>
      </c>
      <c r="O86" s="63" t="s">
        <v>886</v>
      </c>
      <c r="P86" s="63" t="s">
        <v>887</v>
      </c>
      <c r="Q86" s="63" t="s">
        <v>888</v>
      </c>
      <c r="R86" s="63" t="s">
        <v>860</v>
      </c>
      <c r="S86" s="66" t="s">
        <v>1039</v>
      </c>
    </row>
    <row r="87" spans="1:19" x14ac:dyDescent="0.25">
      <c r="A87" s="67" t="s">
        <v>323</v>
      </c>
      <c r="B87" s="67" t="s">
        <v>405</v>
      </c>
      <c r="C87" s="67" t="s">
        <v>879</v>
      </c>
      <c r="D87" s="67" t="s">
        <v>880</v>
      </c>
      <c r="E87" s="67" t="s">
        <v>854</v>
      </c>
      <c r="F87" s="67" t="s">
        <v>918</v>
      </c>
      <c r="G87" s="67" t="s">
        <v>1040</v>
      </c>
      <c r="H87" s="67" t="s">
        <v>883</v>
      </c>
      <c r="I87" s="69"/>
      <c r="J87" s="68">
        <v>42514</v>
      </c>
      <c r="K87" s="68">
        <v>44566</v>
      </c>
      <c r="L87" s="69"/>
      <c r="M87" s="67" t="s">
        <v>1034</v>
      </c>
      <c r="N87" s="67" t="s">
        <v>1041</v>
      </c>
      <c r="O87" s="67" t="s">
        <v>886</v>
      </c>
      <c r="P87" s="67" t="s">
        <v>887</v>
      </c>
      <c r="Q87" s="67" t="s">
        <v>888</v>
      </c>
      <c r="R87" s="67" t="s">
        <v>860</v>
      </c>
      <c r="S87" s="70" t="s">
        <v>1036</v>
      </c>
    </row>
    <row r="88" spans="1:19" x14ac:dyDescent="0.25">
      <c r="A88" s="63" t="s">
        <v>323</v>
      </c>
      <c r="B88" s="63" t="s">
        <v>405</v>
      </c>
      <c r="C88" s="63" t="s">
        <v>879</v>
      </c>
      <c r="D88" s="63" t="s">
        <v>880</v>
      </c>
      <c r="E88" s="63" t="s">
        <v>854</v>
      </c>
      <c r="F88" s="63" t="s">
        <v>918</v>
      </c>
      <c r="G88" s="63" t="s">
        <v>1042</v>
      </c>
      <c r="H88" s="63" t="s">
        <v>883</v>
      </c>
      <c r="I88" s="65"/>
      <c r="J88" s="64">
        <v>42514</v>
      </c>
      <c r="K88" s="64">
        <v>44566</v>
      </c>
      <c r="L88" s="65"/>
      <c r="M88" s="63" t="s">
        <v>1034</v>
      </c>
      <c r="N88" s="63" t="s">
        <v>1043</v>
      </c>
      <c r="O88" s="63" t="s">
        <v>886</v>
      </c>
      <c r="P88" s="63" t="s">
        <v>887</v>
      </c>
      <c r="Q88" s="63" t="s">
        <v>888</v>
      </c>
      <c r="R88" s="63" t="s">
        <v>860</v>
      </c>
      <c r="S88" s="66" t="s">
        <v>1039</v>
      </c>
    </row>
    <row r="89" spans="1:19" x14ac:dyDescent="0.25">
      <c r="A89" s="67" t="s">
        <v>323</v>
      </c>
      <c r="B89" s="67" t="s">
        <v>405</v>
      </c>
      <c r="C89" s="67" t="s">
        <v>879</v>
      </c>
      <c r="D89" s="67" t="s">
        <v>880</v>
      </c>
      <c r="E89" s="67" t="s">
        <v>854</v>
      </c>
      <c r="F89" s="67" t="s">
        <v>918</v>
      </c>
      <c r="G89" s="67" t="s">
        <v>1044</v>
      </c>
      <c r="H89" s="67" t="s">
        <v>883</v>
      </c>
      <c r="I89" s="69"/>
      <c r="J89" s="68">
        <v>42114</v>
      </c>
      <c r="K89" s="68">
        <v>42810</v>
      </c>
      <c r="L89" s="69"/>
      <c r="M89" s="67" t="s">
        <v>920</v>
      </c>
      <c r="N89" s="67" t="s">
        <v>1045</v>
      </c>
      <c r="O89" s="67" t="s">
        <v>886</v>
      </c>
      <c r="P89" s="67" t="s">
        <v>887</v>
      </c>
      <c r="Q89" s="67" t="s">
        <v>888</v>
      </c>
      <c r="R89" s="67" t="s">
        <v>860</v>
      </c>
      <c r="S89" s="70" t="s">
        <v>1017</v>
      </c>
    </row>
    <row r="90" spans="1:19" x14ac:dyDescent="0.25">
      <c r="A90" s="63" t="s">
        <v>323</v>
      </c>
      <c r="B90" s="63" t="s">
        <v>405</v>
      </c>
      <c r="C90" s="63" t="s">
        <v>879</v>
      </c>
      <c r="D90" s="63" t="s">
        <v>880</v>
      </c>
      <c r="E90" s="63" t="s">
        <v>854</v>
      </c>
      <c r="F90" s="63" t="s">
        <v>918</v>
      </c>
      <c r="G90" s="63" t="s">
        <v>1044</v>
      </c>
      <c r="H90" s="63" t="s">
        <v>923</v>
      </c>
      <c r="I90" s="64">
        <v>42811</v>
      </c>
      <c r="J90" s="64">
        <v>42811</v>
      </c>
      <c r="K90" s="64">
        <v>44566</v>
      </c>
      <c r="L90" s="65"/>
      <c r="M90" s="63" t="s">
        <v>965</v>
      </c>
      <c r="N90" s="63" t="s">
        <v>1045</v>
      </c>
      <c r="O90" s="63" t="s">
        <v>886</v>
      </c>
      <c r="P90" s="63" t="s">
        <v>887</v>
      </c>
      <c r="Q90" s="63" t="s">
        <v>888</v>
      </c>
      <c r="R90" s="63" t="s">
        <v>860</v>
      </c>
      <c r="S90" s="72"/>
    </row>
    <row r="91" spans="1:19" x14ac:dyDescent="0.25">
      <c r="A91" s="67" t="s">
        <v>323</v>
      </c>
      <c r="B91" s="67" t="s">
        <v>405</v>
      </c>
      <c r="C91" s="67" t="s">
        <v>879</v>
      </c>
      <c r="D91" s="67" t="s">
        <v>880</v>
      </c>
      <c r="E91" s="67" t="s">
        <v>854</v>
      </c>
      <c r="F91" s="67" t="s">
        <v>918</v>
      </c>
      <c r="G91" s="67" t="s">
        <v>1046</v>
      </c>
      <c r="H91" s="67" t="s">
        <v>923</v>
      </c>
      <c r="I91" s="68">
        <v>42811</v>
      </c>
      <c r="J91" s="68">
        <v>42811</v>
      </c>
      <c r="K91" s="68">
        <v>44566</v>
      </c>
      <c r="L91" s="69"/>
      <c r="M91" s="67" t="s">
        <v>965</v>
      </c>
      <c r="N91" s="67" t="s">
        <v>1047</v>
      </c>
      <c r="O91" s="67" t="s">
        <v>886</v>
      </c>
      <c r="P91" s="67" t="s">
        <v>887</v>
      </c>
      <c r="Q91" s="67" t="s">
        <v>888</v>
      </c>
      <c r="R91" s="67" t="s">
        <v>860</v>
      </c>
      <c r="S91" s="71"/>
    </row>
    <row r="92" spans="1:19" x14ac:dyDescent="0.25">
      <c r="A92" s="63" t="s">
        <v>323</v>
      </c>
      <c r="B92" s="63" t="s">
        <v>405</v>
      </c>
      <c r="C92" s="63" t="s">
        <v>879</v>
      </c>
      <c r="D92" s="63" t="s">
        <v>880</v>
      </c>
      <c r="E92" s="63" t="s">
        <v>854</v>
      </c>
      <c r="F92" s="63" t="s">
        <v>918</v>
      </c>
      <c r="G92" s="63" t="s">
        <v>1048</v>
      </c>
      <c r="H92" s="63" t="s">
        <v>883</v>
      </c>
      <c r="I92" s="65"/>
      <c r="J92" s="64">
        <v>42114</v>
      </c>
      <c r="K92" s="64">
        <v>42810</v>
      </c>
      <c r="L92" s="65"/>
      <c r="M92" s="63" t="s">
        <v>920</v>
      </c>
      <c r="N92" s="63" t="s">
        <v>1049</v>
      </c>
      <c r="O92" s="63" t="s">
        <v>886</v>
      </c>
      <c r="P92" s="63" t="s">
        <v>887</v>
      </c>
      <c r="Q92" s="63" t="s">
        <v>888</v>
      </c>
      <c r="R92" s="63" t="s">
        <v>860</v>
      </c>
      <c r="S92" s="66" t="s">
        <v>1026</v>
      </c>
    </row>
    <row r="93" spans="1:19" x14ac:dyDescent="0.25">
      <c r="A93" s="67" t="s">
        <v>323</v>
      </c>
      <c r="B93" s="67" t="s">
        <v>405</v>
      </c>
      <c r="C93" s="67" t="s">
        <v>879</v>
      </c>
      <c r="D93" s="67" t="s">
        <v>880</v>
      </c>
      <c r="E93" s="67" t="s">
        <v>854</v>
      </c>
      <c r="F93" s="67" t="s">
        <v>918</v>
      </c>
      <c r="G93" s="67" t="s">
        <v>1048</v>
      </c>
      <c r="H93" s="67" t="s">
        <v>923</v>
      </c>
      <c r="I93" s="68">
        <v>42811</v>
      </c>
      <c r="J93" s="68">
        <v>42811</v>
      </c>
      <c r="K93" s="68">
        <v>44566</v>
      </c>
      <c r="L93" s="69"/>
      <c r="M93" s="67" t="s">
        <v>965</v>
      </c>
      <c r="N93" s="67" t="s">
        <v>1049</v>
      </c>
      <c r="O93" s="67" t="s">
        <v>886</v>
      </c>
      <c r="P93" s="67" t="s">
        <v>887</v>
      </c>
      <c r="Q93" s="67" t="s">
        <v>888</v>
      </c>
      <c r="R93" s="67" t="s">
        <v>860</v>
      </c>
      <c r="S93" s="71"/>
    </row>
    <row r="94" spans="1:19" x14ac:dyDescent="0.25">
      <c r="A94" s="63" t="s">
        <v>323</v>
      </c>
      <c r="B94" s="63" t="s">
        <v>405</v>
      </c>
      <c r="C94" s="63" t="s">
        <v>879</v>
      </c>
      <c r="D94" s="63" t="s">
        <v>880</v>
      </c>
      <c r="E94" s="63" t="s">
        <v>854</v>
      </c>
      <c r="F94" s="63" t="s">
        <v>918</v>
      </c>
      <c r="G94" s="63" t="s">
        <v>1050</v>
      </c>
      <c r="H94" s="63" t="s">
        <v>923</v>
      </c>
      <c r="I94" s="64">
        <v>42811</v>
      </c>
      <c r="J94" s="64">
        <v>42811</v>
      </c>
      <c r="K94" s="64">
        <v>44566</v>
      </c>
      <c r="L94" s="65"/>
      <c r="M94" s="63" t="s">
        <v>965</v>
      </c>
      <c r="N94" s="63" t="s">
        <v>1051</v>
      </c>
      <c r="O94" s="63" t="s">
        <v>886</v>
      </c>
      <c r="P94" s="63" t="s">
        <v>887</v>
      </c>
      <c r="Q94" s="63" t="s">
        <v>888</v>
      </c>
      <c r="R94" s="63" t="s">
        <v>860</v>
      </c>
      <c r="S94" s="72"/>
    </row>
    <row r="95" spans="1:19" x14ac:dyDescent="0.25">
      <c r="A95" s="67" t="s">
        <v>323</v>
      </c>
      <c r="B95" s="67" t="s">
        <v>405</v>
      </c>
      <c r="C95" s="67" t="s">
        <v>879</v>
      </c>
      <c r="D95" s="67" t="s">
        <v>880</v>
      </c>
      <c r="E95" s="67" t="s">
        <v>854</v>
      </c>
      <c r="F95" s="67" t="s">
        <v>918</v>
      </c>
      <c r="G95" s="67" t="s">
        <v>1052</v>
      </c>
      <c r="H95" s="67" t="s">
        <v>883</v>
      </c>
      <c r="I95" s="68">
        <v>42768</v>
      </c>
      <c r="J95" s="68">
        <v>42768</v>
      </c>
      <c r="K95" s="68">
        <v>42810</v>
      </c>
      <c r="L95" s="69"/>
      <c r="M95" s="67" t="s">
        <v>920</v>
      </c>
      <c r="N95" s="67" t="s">
        <v>1053</v>
      </c>
      <c r="O95" s="67" t="s">
        <v>886</v>
      </c>
      <c r="P95" s="67" t="s">
        <v>887</v>
      </c>
      <c r="Q95" s="67" t="s">
        <v>888</v>
      </c>
      <c r="R95" s="67" t="s">
        <v>860</v>
      </c>
      <c r="S95" s="70" t="s">
        <v>964</v>
      </c>
    </row>
    <row r="96" spans="1:19" x14ac:dyDescent="0.25">
      <c r="A96" s="63" t="s">
        <v>323</v>
      </c>
      <c r="B96" s="63" t="s">
        <v>405</v>
      </c>
      <c r="C96" s="63" t="s">
        <v>879</v>
      </c>
      <c r="D96" s="63" t="s">
        <v>880</v>
      </c>
      <c r="E96" s="63" t="s">
        <v>854</v>
      </c>
      <c r="F96" s="63" t="s">
        <v>918</v>
      </c>
      <c r="G96" s="63" t="s">
        <v>1052</v>
      </c>
      <c r="H96" s="63" t="s">
        <v>923</v>
      </c>
      <c r="I96" s="64">
        <v>42811</v>
      </c>
      <c r="J96" s="64">
        <v>42811</v>
      </c>
      <c r="K96" s="64">
        <v>44566</v>
      </c>
      <c r="L96" s="65"/>
      <c r="M96" s="63" t="s">
        <v>965</v>
      </c>
      <c r="N96" s="63" t="s">
        <v>1053</v>
      </c>
      <c r="O96" s="63" t="s">
        <v>886</v>
      </c>
      <c r="P96" s="63" t="s">
        <v>887</v>
      </c>
      <c r="Q96" s="63" t="s">
        <v>888</v>
      </c>
      <c r="R96" s="63" t="s">
        <v>860</v>
      </c>
      <c r="S96" s="72"/>
    </row>
    <row r="97" spans="1:19" x14ac:dyDescent="0.25">
      <c r="A97" s="67" t="s">
        <v>323</v>
      </c>
      <c r="B97" s="67" t="s">
        <v>405</v>
      </c>
      <c r="C97" s="67" t="s">
        <v>879</v>
      </c>
      <c r="D97" s="67" t="s">
        <v>880</v>
      </c>
      <c r="E97" s="67" t="s">
        <v>854</v>
      </c>
      <c r="F97" s="67" t="s">
        <v>918</v>
      </c>
      <c r="G97" s="67" t="s">
        <v>1054</v>
      </c>
      <c r="H97" s="67" t="s">
        <v>923</v>
      </c>
      <c r="I97" s="68">
        <v>42811</v>
      </c>
      <c r="J97" s="68">
        <v>42811</v>
      </c>
      <c r="K97" s="68">
        <v>44566</v>
      </c>
      <c r="L97" s="69"/>
      <c r="M97" s="67" t="s">
        <v>965</v>
      </c>
      <c r="N97" s="67" t="s">
        <v>1055</v>
      </c>
      <c r="O97" s="67" t="s">
        <v>886</v>
      </c>
      <c r="P97" s="67" t="s">
        <v>887</v>
      </c>
      <c r="Q97" s="67" t="s">
        <v>888</v>
      </c>
      <c r="R97" s="67" t="s">
        <v>860</v>
      </c>
      <c r="S97" s="71"/>
    </row>
    <row r="98" spans="1:19" x14ac:dyDescent="0.25">
      <c r="A98" s="63" t="s">
        <v>323</v>
      </c>
      <c r="B98" s="63" t="s">
        <v>405</v>
      </c>
      <c r="C98" s="63" t="s">
        <v>879</v>
      </c>
      <c r="D98" s="63" t="s">
        <v>880</v>
      </c>
      <c r="E98" s="63" t="s">
        <v>854</v>
      </c>
      <c r="F98" s="63" t="s">
        <v>918</v>
      </c>
      <c r="G98" s="63" t="s">
        <v>1056</v>
      </c>
      <c r="H98" s="63" t="s">
        <v>883</v>
      </c>
      <c r="I98" s="65"/>
      <c r="J98" s="64">
        <v>42514</v>
      </c>
      <c r="K98" s="64">
        <v>44071</v>
      </c>
      <c r="L98" s="65"/>
      <c r="M98" s="63" t="s">
        <v>1057</v>
      </c>
      <c r="N98" s="63" t="s">
        <v>1058</v>
      </c>
      <c r="O98" s="63" t="s">
        <v>886</v>
      </c>
      <c r="P98" s="63" t="s">
        <v>887</v>
      </c>
      <c r="Q98" s="63" t="s">
        <v>888</v>
      </c>
      <c r="R98" s="63" t="s">
        <v>860</v>
      </c>
      <c r="S98" s="66" t="s">
        <v>1036</v>
      </c>
    </row>
    <row r="99" spans="1:19" x14ac:dyDescent="0.25">
      <c r="A99" s="67" t="s">
        <v>323</v>
      </c>
      <c r="B99" s="67" t="s">
        <v>405</v>
      </c>
      <c r="C99" s="67" t="s">
        <v>879</v>
      </c>
      <c r="D99" s="67" t="s">
        <v>880</v>
      </c>
      <c r="E99" s="67" t="s">
        <v>854</v>
      </c>
      <c r="F99" s="67" t="s">
        <v>918</v>
      </c>
      <c r="G99" s="67" t="s">
        <v>1059</v>
      </c>
      <c r="H99" s="67" t="s">
        <v>883</v>
      </c>
      <c r="I99" s="69"/>
      <c r="J99" s="68">
        <v>42114</v>
      </c>
      <c r="K99" s="68">
        <v>42773</v>
      </c>
      <c r="L99" s="69"/>
      <c r="M99" s="67" t="s">
        <v>920</v>
      </c>
      <c r="N99" s="67" t="s">
        <v>1060</v>
      </c>
      <c r="O99" s="67" t="s">
        <v>886</v>
      </c>
      <c r="P99" s="67" t="s">
        <v>887</v>
      </c>
      <c r="Q99" s="67" t="s">
        <v>888</v>
      </c>
      <c r="R99" s="67" t="s">
        <v>860</v>
      </c>
      <c r="S99" s="70" t="s">
        <v>1061</v>
      </c>
    </row>
    <row r="100" spans="1:19" x14ac:dyDescent="0.25">
      <c r="A100" s="63" t="s">
        <v>323</v>
      </c>
      <c r="B100" s="63" t="s">
        <v>405</v>
      </c>
      <c r="C100" s="63" t="s">
        <v>879</v>
      </c>
      <c r="D100" s="63" t="s">
        <v>880</v>
      </c>
      <c r="E100" s="63" t="s">
        <v>854</v>
      </c>
      <c r="F100" s="63" t="s">
        <v>918</v>
      </c>
      <c r="G100" s="63" t="s">
        <v>1062</v>
      </c>
      <c r="H100" s="63" t="s">
        <v>883</v>
      </c>
      <c r="I100" s="65"/>
      <c r="J100" s="64">
        <v>41303</v>
      </c>
      <c r="K100" s="64">
        <v>42113</v>
      </c>
      <c r="L100" s="63" t="s">
        <v>1063</v>
      </c>
      <c r="M100" s="63" t="s">
        <v>947</v>
      </c>
      <c r="N100" s="63" t="s">
        <v>1064</v>
      </c>
      <c r="O100" s="63" t="s">
        <v>886</v>
      </c>
      <c r="P100" s="63" t="s">
        <v>887</v>
      </c>
      <c r="Q100" s="63" t="s">
        <v>888</v>
      </c>
      <c r="R100" s="63" t="s">
        <v>860</v>
      </c>
      <c r="S100" s="66" t="s">
        <v>1063</v>
      </c>
    </row>
    <row r="101" spans="1:19" x14ac:dyDescent="0.25">
      <c r="A101" s="67" t="s">
        <v>323</v>
      </c>
      <c r="B101" s="67" t="s">
        <v>405</v>
      </c>
      <c r="C101" s="67" t="s">
        <v>879</v>
      </c>
      <c r="D101" s="67" t="s">
        <v>880</v>
      </c>
      <c r="E101" s="67" t="s">
        <v>854</v>
      </c>
      <c r="F101" s="67" t="s">
        <v>918</v>
      </c>
      <c r="G101" s="67" t="s">
        <v>1062</v>
      </c>
      <c r="H101" s="67" t="s">
        <v>923</v>
      </c>
      <c r="I101" s="68">
        <v>42114</v>
      </c>
      <c r="J101" s="68">
        <v>42114</v>
      </c>
      <c r="K101" s="68">
        <v>44566</v>
      </c>
      <c r="L101" s="69"/>
      <c r="M101" s="67" t="s">
        <v>884</v>
      </c>
      <c r="N101" s="67" t="s">
        <v>1064</v>
      </c>
      <c r="O101" s="67" t="s">
        <v>886</v>
      </c>
      <c r="P101" s="67" t="s">
        <v>887</v>
      </c>
      <c r="Q101" s="67" t="s">
        <v>888</v>
      </c>
      <c r="R101" s="67" t="s">
        <v>860</v>
      </c>
      <c r="S101" s="71"/>
    </row>
    <row r="102" spans="1:19" x14ac:dyDescent="0.25">
      <c r="A102" s="63" t="s">
        <v>323</v>
      </c>
      <c r="B102" s="63" t="s">
        <v>405</v>
      </c>
      <c r="C102" s="63" t="s">
        <v>879</v>
      </c>
      <c r="D102" s="63" t="s">
        <v>880</v>
      </c>
      <c r="E102" s="63" t="s">
        <v>854</v>
      </c>
      <c r="F102" s="63" t="s">
        <v>918</v>
      </c>
      <c r="G102" s="63" t="s">
        <v>1065</v>
      </c>
      <c r="H102" s="63" t="s">
        <v>923</v>
      </c>
      <c r="I102" s="64">
        <v>42114</v>
      </c>
      <c r="J102" s="64">
        <v>42114</v>
      </c>
      <c r="K102" s="64">
        <v>44566</v>
      </c>
      <c r="L102" s="65"/>
      <c r="M102" s="63" t="s">
        <v>884</v>
      </c>
      <c r="N102" s="63" t="s">
        <v>1066</v>
      </c>
      <c r="O102" s="63" t="s">
        <v>886</v>
      </c>
      <c r="P102" s="63" t="s">
        <v>887</v>
      </c>
      <c r="Q102" s="63" t="s">
        <v>888</v>
      </c>
      <c r="R102" s="63" t="s">
        <v>860</v>
      </c>
      <c r="S102" s="72"/>
    </row>
    <row r="103" spans="1:19" x14ac:dyDescent="0.25">
      <c r="A103" s="67" t="s">
        <v>323</v>
      </c>
      <c r="B103" s="67" t="s">
        <v>405</v>
      </c>
      <c r="C103" s="67" t="s">
        <v>879</v>
      </c>
      <c r="D103" s="67" t="s">
        <v>880</v>
      </c>
      <c r="E103" s="67" t="s">
        <v>854</v>
      </c>
      <c r="F103" s="67" t="s">
        <v>918</v>
      </c>
      <c r="G103" s="67" t="s">
        <v>1067</v>
      </c>
      <c r="H103" s="67" t="s">
        <v>883</v>
      </c>
      <c r="I103" s="69"/>
      <c r="J103" s="68">
        <v>41278</v>
      </c>
      <c r="K103" s="68">
        <v>42813</v>
      </c>
      <c r="L103" s="67" t="s">
        <v>1068</v>
      </c>
      <c r="M103" s="67" t="s">
        <v>884</v>
      </c>
      <c r="N103" s="67" t="s">
        <v>1069</v>
      </c>
      <c r="O103" s="67" t="s">
        <v>886</v>
      </c>
      <c r="P103" s="67" t="s">
        <v>887</v>
      </c>
      <c r="Q103" s="67" t="s">
        <v>888</v>
      </c>
      <c r="R103" s="67" t="s">
        <v>860</v>
      </c>
      <c r="S103" s="70" t="s">
        <v>1068</v>
      </c>
    </row>
    <row r="104" spans="1:19" x14ac:dyDescent="0.25">
      <c r="A104" s="63" t="s">
        <v>323</v>
      </c>
      <c r="B104" s="63" t="s">
        <v>405</v>
      </c>
      <c r="C104" s="63" t="s">
        <v>879</v>
      </c>
      <c r="D104" s="63" t="s">
        <v>880</v>
      </c>
      <c r="E104" s="63" t="s">
        <v>854</v>
      </c>
      <c r="F104" s="63" t="s">
        <v>918</v>
      </c>
      <c r="G104" s="63" t="s">
        <v>1067</v>
      </c>
      <c r="H104" s="63" t="s">
        <v>923</v>
      </c>
      <c r="I104" s="64">
        <v>42814</v>
      </c>
      <c r="J104" s="64">
        <v>42814</v>
      </c>
      <c r="K104" s="64">
        <v>44566</v>
      </c>
      <c r="L104" s="65"/>
      <c r="M104" s="63" t="s">
        <v>906</v>
      </c>
      <c r="N104" s="63" t="s">
        <v>1069</v>
      </c>
      <c r="O104" s="63" t="s">
        <v>886</v>
      </c>
      <c r="P104" s="63" t="s">
        <v>887</v>
      </c>
      <c r="Q104" s="63" t="s">
        <v>888</v>
      </c>
      <c r="R104" s="63" t="s">
        <v>860</v>
      </c>
      <c r="S104" s="72"/>
    </row>
    <row r="105" spans="1:19" x14ac:dyDescent="0.25">
      <c r="A105" s="67" t="s">
        <v>323</v>
      </c>
      <c r="B105" s="67" t="s">
        <v>405</v>
      </c>
      <c r="C105" s="67" t="s">
        <v>879</v>
      </c>
      <c r="D105" s="67" t="s">
        <v>880</v>
      </c>
      <c r="E105" s="67" t="s">
        <v>854</v>
      </c>
      <c r="F105" s="67" t="s">
        <v>918</v>
      </c>
      <c r="G105" s="67" t="s">
        <v>1070</v>
      </c>
      <c r="H105" s="67" t="s">
        <v>923</v>
      </c>
      <c r="I105" s="68">
        <v>42814</v>
      </c>
      <c r="J105" s="68">
        <v>42814</v>
      </c>
      <c r="K105" s="68">
        <v>44566</v>
      </c>
      <c r="L105" s="69"/>
      <c r="M105" s="67" t="s">
        <v>906</v>
      </c>
      <c r="N105" s="67" t="s">
        <v>1071</v>
      </c>
      <c r="O105" s="67" t="s">
        <v>886</v>
      </c>
      <c r="P105" s="67" t="s">
        <v>887</v>
      </c>
      <c r="Q105" s="67" t="s">
        <v>888</v>
      </c>
      <c r="R105" s="67" t="s">
        <v>860</v>
      </c>
      <c r="S105" s="71"/>
    </row>
    <row r="106" spans="1:19" x14ac:dyDescent="0.25">
      <c r="A106" s="63" t="s">
        <v>323</v>
      </c>
      <c r="B106" s="63" t="s">
        <v>405</v>
      </c>
      <c r="C106" s="63" t="s">
        <v>879</v>
      </c>
      <c r="D106" s="63" t="s">
        <v>880</v>
      </c>
      <c r="E106" s="63" t="s">
        <v>854</v>
      </c>
      <c r="F106" s="63" t="s">
        <v>918</v>
      </c>
      <c r="G106" s="63" t="s">
        <v>1072</v>
      </c>
      <c r="H106" s="63" t="s">
        <v>883</v>
      </c>
      <c r="I106" s="64">
        <v>42894</v>
      </c>
      <c r="J106" s="64">
        <v>42894</v>
      </c>
      <c r="K106" s="64">
        <v>43350</v>
      </c>
      <c r="L106" s="65"/>
      <c r="M106" s="63" t="s">
        <v>884</v>
      </c>
      <c r="N106" s="63" t="s">
        <v>1073</v>
      </c>
      <c r="O106" s="63" t="s">
        <v>886</v>
      </c>
      <c r="P106" s="63" t="s">
        <v>887</v>
      </c>
      <c r="Q106" s="63" t="s">
        <v>888</v>
      </c>
      <c r="R106" s="63" t="s">
        <v>860</v>
      </c>
      <c r="S106" s="66" t="s">
        <v>1061</v>
      </c>
    </row>
    <row r="107" spans="1:19" x14ac:dyDescent="0.25">
      <c r="A107" s="67" t="s">
        <v>323</v>
      </c>
      <c r="B107" s="67" t="s">
        <v>405</v>
      </c>
      <c r="C107" s="67" t="s">
        <v>879</v>
      </c>
      <c r="D107" s="67" t="s">
        <v>880</v>
      </c>
      <c r="E107" s="67" t="s">
        <v>854</v>
      </c>
      <c r="F107" s="67" t="s">
        <v>918</v>
      </c>
      <c r="G107" s="67" t="s">
        <v>1074</v>
      </c>
      <c r="H107" s="67" t="s">
        <v>883</v>
      </c>
      <c r="I107" s="68">
        <v>42894</v>
      </c>
      <c r="J107" s="68">
        <v>42894</v>
      </c>
      <c r="K107" s="68">
        <v>43564</v>
      </c>
      <c r="L107" s="69"/>
      <c r="M107" s="67" t="s">
        <v>884</v>
      </c>
      <c r="N107" s="67" t="s">
        <v>1075</v>
      </c>
      <c r="O107" s="67" t="s">
        <v>886</v>
      </c>
      <c r="P107" s="67" t="s">
        <v>887</v>
      </c>
      <c r="Q107" s="67" t="s">
        <v>888</v>
      </c>
      <c r="R107" s="67" t="s">
        <v>860</v>
      </c>
      <c r="S107" s="70" t="s">
        <v>1061</v>
      </c>
    </row>
    <row r="108" spans="1:19" x14ac:dyDescent="0.25">
      <c r="A108" s="63" t="s">
        <v>323</v>
      </c>
      <c r="B108" s="63" t="s">
        <v>405</v>
      </c>
      <c r="C108" s="63" t="s">
        <v>879</v>
      </c>
      <c r="D108" s="63" t="s">
        <v>880</v>
      </c>
      <c r="E108" s="63" t="s">
        <v>854</v>
      </c>
      <c r="F108" s="63" t="s">
        <v>918</v>
      </c>
      <c r="G108" s="63" t="s">
        <v>1076</v>
      </c>
      <c r="H108" s="63" t="s">
        <v>883</v>
      </c>
      <c r="I108" s="64">
        <v>42508</v>
      </c>
      <c r="J108" s="64">
        <v>42508</v>
      </c>
      <c r="K108" s="64">
        <v>44071</v>
      </c>
      <c r="L108" s="65"/>
      <c r="M108" s="63" t="s">
        <v>1077</v>
      </c>
      <c r="N108" s="63" t="s">
        <v>1078</v>
      </c>
      <c r="O108" s="63" t="s">
        <v>886</v>
      </c>
      <c r="P108" s="63" t="s">
        <v>887</v>
      </c>
      <c r="Q108" s="63" t="s">
        <v>888</v>
      </c>
      <c r="R108" s="63" t="s">
        <v>860</v>
      </c>
      <c r="S108" s="66" t="s">
        <v>1079</v>
      </c>
    </row>
    <row r="109" spans="1:19" x14ac:dyDescent="0.25">
      <c r="A109" s="67" t="s">
        <v>323</v>
      </c>
      <c r="B109" s="67" t="s">
        <v>405</v>
      </c>
      <c r="C109" s="67" t="s">
        <v>879</v>
      </c>
      <c r="D109" s="67" t="s">
        <v>880</v>
      </c>
      <c r="E109" s="67" t="s">
        <v>854</v>
      </c>
      <c r="F109" s="67" t="s">
        <v>918</v>
      </c>
      <c r="G109" s="67" t="s">
        <v>1080</v>
      </c>
      <c r="H109" s="67" t="s">
        <v>883</v>
      </c>
      <c r="I109" s="69"/>
      <c r="J109" s="68">
        <v>42065</v>
      </c>
      <c r="K109" s="68">
        <v>42810</v>
      </c>
      <c r="L109" s="69"/>
      <c r="M109" s="67" t="s">
        <v>884</v>
      </c>
      <c r="N109" s="67" t="s">
        <v>1081</v>
      </c>
      <c r="O109" s="67" t="s">
        <v>886</v>
      </c>
      <c r="P109" s="67" t="s">
        <v>887</v>
      </c>
      <c r="Q109" s="67" t="s">
        <v>888</v>
      </c>
      <c r="R109" s="67" t="s">
        <v>860</v>
      </c>
      <c r="S109" s="70" t="s">
        <v>1017</v>
      </c>
    </row>
    <row r="110" spans="1:19" x14ac:dyDescent="0.25">
      <c r="A110" s="63" t="s">
        <v>323</v>
      </c>
      <c r="B110" s="63" t="s">
        <v>405</v>
      </c>
      <c r="C110" s="63" t="s">
        <v>879</v>
      </c>
      <c r="D110" s="63" t="s">
        <v>880</v>
      </c>
      <c r="E110" s="63" t="s">
        <v>854</v>
      </c>
      <c r="F110" s="63" t="s">
        <v>918</v>
      </c>
      <c r="G110" s="63" t="s">
        <v>1080</v>
      </c>
      <c r="H110" s="63" t="s">
        <v>923</v>
      </c>
      <c r="I110" s="64">
        <v>42811</v>
      </c>
      <c r="J110" s="64">
        <v>42811</v>
      </c>
      <c r="K110" s="64">
        <v>44566</v>
      </c>
      <c r="L110" s="65"/>
      <c r="M110" s="63" t="s">
        <v>965</v>
      </c>
      <c r="N110" s="63" t="s">
        <v>1081</v>
      </c>
      <c r="O110" s="63" t="s">
        <v>886</v>
      </c>
      <c r="P110" s="63" t="s">
        <v>887</v>
      </c>
      <c r="Q110" s="63" t="s">
        <v>888</v>
      </c>
      <c r="R110" s="63" t="s">
        <v>860</v>
      </c>
      <c r="S110" s="72"/>
    </row>
    <row r="111" spans="1:19" x14ac:dyDescent="0.25">
      <c r="A111" s="67" t="s">
        <v>323</v>
      </c>
      <c r="B111" s="67" t="s">
        <v>405</v>
      </c>
      <c r="C111" s="67" t="s">
        <v>879</v>
      </c>
      <c r="D111" s="67" t="s">
        <v>880</v>
      </c>
      <c r="E111" s="67" t="s">
        <v>854</v>
      </c>
      <c r="F111" s="67" t="s">
        <v>918</v>
      </c>
      <c r="G111" s="67" t="s">
        <v>1082</v>
      </c>
      <c r="H111" s="67" t="s">
        <v>923</v>
      </c>
      <c r="I111" s="68">
        <v>42811</v>
      </c>
      <c r="J111" s="68">
        <v>42811</v>
      </c>
      <c r="K111" s="68">
        <v>44566</v>
      </c>
      <c r="L111" s="69"/>
      <c r="M111" s="67" t="s">
        <v>965</v>
      </c>
      <c r="N111" s="67" t="s">
        <v>1083</v>
      </c>
      <c r="O111" s="67" t="s">
        <v>886</v>
      </c>
      <c r="P111" s="67" t="s">
        <v>887</v>
      </c>
      <c r="Q111" s="67" t="s">
        <v>888</v>
      </c>
      <c r="R111" s="67" t="s">
        <v>860</v>
      </c>
      <c r="S111" s="71"/>
    </row>
    <row r="112" spans="1:19" x14ac:dyDescent="0.25">
      <c r="A112" s="63" t="s">
        <v>323</v>
      </c>
      <c r="B112" s="63" t="s">
        <v>405</v>
      </c>
      <c r="C112" s="63" t="s">
        <v>879</v>
      </c>
      <c r="D112" s="63" t="s">
        <v>880</v>
      </c>
      <c r="E112" s="63" t="s">
        <v>854</v>
      </c>
      <c r="F112" s="63" t="s">
        <v>918</v>
      </c>
      <c r="G112" s="63" t="s">
        <v>1084</v>
      </c>
      <c r="H112" s="63" t="s">
        <v>883</v>
      </c>
      <c r="I112" s="65"/>
      <c r="J112" s="64">
        <v>42114</v>
      </c>
      <c r="K112" s="64">
        <v>42810</v>
      </c>
      <c r="L112" s="65"/>
      <c r="M112" s="63" t="s">
        <v>920</v>
      </c>
      <c r="N112" s="63" t="s">
        <v>1085</v>
      </c>
      <c r="O112" s="63" t="s">
        <v>886</v>
      </c>
      <c r="P112" s="63" t="s">
        <v>887</v>
      </c>
      <c r="Q112" s="63" t="s">
        <v>888</v>
      </c>
      <c r="R112" s="63" t="s">
        <v>860</v>
      </c>
      <c r="S112" s="66" t="s">
        <v>1026</v>
      </c>
    </row>
    <row r="113" spans="1:19" x14ac:dyDescent="0.25">
      <c r="A113" s="67" t="s">
        <v>323</v>
      </c>
      <c r="B113" s="67" t="s">
        <v>405</v>
      </c>
      <c r="C113" s="67" t="s">
        <v>879</v>
      </c>
      <c r="D113" s="67" t="s">
        <v>880</v>
      </c>
      <c r="E113" s="67" t="s">
        <v>854</v>
      </c>
      <c r="F113" s="67" t="s">
        <v>918</v>
      </c>
      <c r="G113" s="67" t="s">
        <v>1084</v>
      </c>
      <c r="H113" s="67" t="s">
        <v>923</v>
      </c>
      <c r="I113" s="68">
        <v>42811</v>
      </c>
      <c r="J113" s="68">
        <v>42811</v>
      </c>
      <c r="K113" s="68">
        <v>44566</v>
      </c>
      <c r="L113" s="69"/>
      <c r="M113" s="67" t="s">
        <v>965</v>
      </c>
      <c r="N113" s="67" t="s">
        <v>1085</v>
      </c>
      <c r="O113" s="67" t="s">
        <v>886</v>
      </c>
      <c r="P113" s="67" t="s">
        <v>887</v>
      </c>
      <c r="Q113" s="67" t="s">
        <v>888</v>
      </c>
      <c r="R113" s="67" t="s">
        <v>860</v>
      </c>
      <c r="S113" s="71"/>
    </row>
    <row r="114" spans="1:19" x14ac:dyDescent="0.25">
      <c r="A114" s="63" t="s">
        <v>323</v>
      </c>
      <c r="B114" s="63" t="s">
        <v>405</v>
      </c>
      <c r="C114" s="63" t="s">
        <v>879</v>
      </c>
      <c r="D114" s="63" t="s">
        <v>880</v>
      </c>
      <c r="E114" s="63" t="s">
        <v>854</v>
      </c>
      <c r="F114" s="63" t="s">
        <v>918</v>
      </c>
      <c r="G114" s="63" t="s">
        <v>1086</v>
      </c>
      <c r="H114" s="63" t="s">
        <v>883</v>
      </c>
      <c r="I114" s="65"/>
      <c r="J114" s="64">
        <v>41131</v>
      </c>
      <c r="K114" s="64">
        <v>42113</v>
      </c>
      <c r="L114" s="63" t="s">
        <v>852</v>
      </c>
      <c r="M114" s="63" t="s">
        <v>947</v>
      </c>
      <c r="N114" s="63" t="s">
        <v>1087</v>
      </c>
      <c r="O114" s="63" t="s">
        <v>886</v>
      </c>
      <c r="P114" s="63" t="s">
        <v>887</v>
      </c>
      <c r="Q114" s="63" t="s">
        <v>888</v>
      </c>
      <c r="R114" s="63" t="s">
        <v>860</v>
      </c>
      <c r="S114" s="66" t="s">
        <v>852</v>
      </c>
    </row>
    <row r="115" spans="1:19" x14ac:dyDescent="0.25">
      <c r="A115" s="67" t="s">
        <v>323</v>
      </c>
      <c r="B115" s="67" t="s">
        <v>405</v>
      </c>
      <c r="C115" s="67" t="s">
        <v>879</v>
      </c>
      <c r="D115" s="67" t="s">
        <v>880</v>
      </c>
      <c r="E115" s="67" t="s">
        <v>854</v>
      </c>
      <c r="F115" s="67" t="s">
        <v>918</v>
      </c>
      <c r="G115" s="67" t="s">
        <v>1086</v>
      </c>
      <c r="H115" s="67" t="s">
        <v>923</v>
      </c>
      <c r="I115" s="68">
        <v>42114</v>
      </c>
      <c r="J115" s="68">
        <v>42114</v>
      </c>
      <c r="K115" s="68">
        <v>44566</v>
      </c>
      <c r="L115" s="69"/>
      <c r="M115" s="67" t="s">
        <v>884</v>
      </c>
      <c r="N115" s="67" t="s">
        <v>1087</v>
      </c>
      <c r="O115" s="67" t="s">
        <v>886</v>
      </c>
      <c r="P115" s="67" t="s">
        <v>887</v>
      </c>
      <c r="Q115" s="67" t="s">
        <v>888</v>
      </c>
      <c r="R115" s="67" t="s">
        <v>860</v>
      </c>
      <c r="S115" s="71"/>
    </row>
    <row r="116" spans="1:19" x14ac:dyDescent="0.25">
      <c r="A116" s="63" t="s">
        <v>323</v>
      </c>
      <c r="B116" s="63" t="s">
        <v>405</v>
      </c>
      <c r="C116" s="63" t="s">
        <v>879</v>
      </c>
      <c r="D116" s="63" t="s">
        <v>880</v>
      </c>
      <c r="E116" s="63" t="s">
        <v>854</v>
      </c>
      <c r="F116" s="63" t="s">
        <v>918</v>
      </c>
      <c r="G116" s="63" t="s">
        <v>1088</v>
      </c>
      <c r="H116" s="63" t="s">
        <v>923</v>
      </c>
      <c r="I116" s="64">
        <v>42114</v>
      </c>
      <c r="J116" s="64">
        <v>42114</v>
      </c>
      <c r="K116" s="64">
        <v>44566</v>
      </c>
      <c r="L116" s="65"/>
      <c r="M116" s="63" t="s">
        <v>884</v>
      </c>
      <c r="N116" s="63" t="s">
        <v>1089</v>
      </c>
      <c r="O116" s="63" t="s">
        <v>886</v>
      </c>
      <c r="P116" s="63" t="s">
        <v>887</v>
      </c>
      <c r="Q116" s="63" t="s">
        <v>888</v>
      </c>
      <c r="R116" s="63" t="s">
        <v>860</v>
      </c>
      <c r="S116" s="72"/>
    </row>
    <row r="117" spans="1:19" x14ac:dyDescent="0.25">
      <c r="A117" s="67" t="s">
        <v>323</v>
      </c>
      <c r="B117" s="67" t="s">
        <v>405</v>
      </c>
      <c r="C117" s="67" t="s">
        <v>879</v>
      </c>
      <c r="D117" s="67" t="s">
        <v>880</v>
      </c>
      <c r="E117" s="67" t="s">
        <v>854</v>
      </c>
      <c r="F117" s="67" t="s">
        <v>918</v>
      </c>
      <c r="G117" s="67" t="s">
        <v>1090</v>
      </c>
      <c r="H117" s="67" t="s">
        <v>883</v>
      </c>
      <c r="I117" s="69"/>
      <c r="J117" s="68">
        <v>41786</v>
      </c>
      <c r="K117" s="68">
        <v>42113</v>
      </c>
      <c r="L117" s="69"/>
      <c r="M117" s="67" t="s">
        <v>920</v>
      </c>
      <c r="N117" s="67" t="s">
        <v>1091</v>
      </c>
      <c r="O117" s="67" t="s">
        <v>886</v>
      </c>
      <c r="P117" s="67" t="s">
        <v>887</v>
      </c>
      <c r="Q117" s="67" t="s">
        <v>888</v>
      </c>
      <c r="R117" s="67" t="s">
        <v>860</v>
      </c>
      <c r="S117" s="70" t="s">
        <v>1092</v>
      </c>
    </row>
    <row r="118" spans="1:19" x14ac:dyDescent="0.25">
      <c r="A118" s="63" t="s">
        <v>323</v>
      </c>
      <c r="B118" s="63" t="s">
        <v>405</v>
      </c>
      <c r="C118" s="63" t="s">
        <v>879</v>
      </c>
      <c r="D118" s="63" t="s">
        <v>880</v>
      </c>
      <c r="E118" s="63" t="s">
        <v>854</v>
      </c>
      <c r="F118" s="63" t="s">
        <v>918</v>
      </c>
      <c r="G118" s="63" t="s">
        <v>1090</v>
      </c>
      <c r="H118" s="63" t="s">
        <v>923</v>
      </c>
      <c r="I118" s="64">
        <v>42114</v>
      </c>
      <c r="J118" s="64">
        <v>42114</v>
      </c>
      <c r="K118" s="64">
        <v>44566</v>
      </c>
      <c r="L118" s="65"/>
      <c r="M118" s="63" t="s">
        <v>884</v>
      </c>
      <c r="N118" s="63" t="s">
        <v>1091</v>
      </c>
      <c r="O118" s="63" t="s">
        <v>886</v>
      </c>
      <c r="P118" s="63" t="s">
        <v>887</v>
      </c>
      <c r="Q118" s="63" t="s">
        <v>888</v>
      </c>
      <c r="R118" s="63" t="s">
        <v>860</v>
      </c>
      <c r="S118" s="72"/>
    </row>
    <row r="119" spans="1:19" x14ac:dyDescent="0.25">
      <c r="A119" s="67" t="s">
        <v>323</v>
      </c>
      <c r="B119" s="67" t="s">
        <v>405</v>
      </c>
      <c r="C119" s="67" t="s">
        <v>879</v>
      </c>
      <c r="D119" s="67" t="s">
        <v>880</v>
      </c>
      <c r="E119" s="67" t="s">
        <v>854</v>
      </c>
      <c r="F119" s="67" t="s">
        <v>918</v>
      </c>
      <c r="G119" s="67" t="s">
        <v>1093</v>
      </c>
      <c r="H119" s="67" t="s">
        <v>923</v>
      </c>
      <c r="I119" s="68">
        <v>42114</v>
      </c>
      <c r="J119" s="68">
        <v>42114</v>
      </c>
      <c r="K119" s="68">
        <v>44566</v>
      </c>
      <c r="L119" s="69"/>
      <c r="M119" s="67" t="s">
        <v>884</v>
      </c>
      <c r="N119" s="67" t="s">
        <v>1094</v>
      </c>
      <c r="O119" s="67" t="s">
        <v>886</v>
      </c>
      <c r="P119" s="67" t="s">
        <v>887</v>
      </c>
      <c r="Q119" s="67" t="s">
        <v>888</v>
      </c>
      <c r="R119" s="67" t="s">
        <v>860</v>
      </c>
      <c r="S119" s="71"/>
    </row>
    <row r="120" spans="1:19" x14ac:dyDescent="0.25">
      <c r="A120" s="63" t="s">
        <v>323</v>
      </c>
      <c r="B120" s="63" t="s">
        <v>405</v>
      </c>
      <c r="C120" s="63" t="s">
        <v>879</v>
      </c>
      <c r="D120" s="63" t="s">
        <v>880</v>
      </c>
      <c r="E120" s="63" t="s">
        <v>854</v>
      </c>
      <c r="F120" s="63" t="s">
        <v>918</v>
      </c>
      <c r="G120" s="63" t="s">
        <v>1095</v>
      </c>
      <c r="H120" s="63" t="s">
        <v>883</v>
      </c>
      <c r="I120" s="65"/>
      <c r="J120" s="64">
        <v>41786</v>
      </c>
      <c r="K120" s="64">
        <v>42113</v>
      </c>
      <c r="L120" s="65"/>
      <c r="M120" s="63" t="s">
        <v>920</v>
      </c>
      <c r="N120" s="63" t="s">
        <v>1096</v>
      </c>
      <c r="O120" s="63" t="s">
        <v>886</v>
      </c>
      <c r="P120" s="63" t="s">
        <v>887</v>
      </c>
      <c r="Q120" s="63" t="s">
        <v>888</v>
      </c>
      <c r="R120" s="63" t="s">
        <v>860</v>
      </c>
      <c r="S120" s="66" t="s">
        <v>1092</v>
      </c>
    </row>
    <row r="121" spans="1:19" x14ac:dyDescent="0.25">
      <c r="A121" s="67" t="s">
        <v>323</v>
      </c>
      <c r="B121" s="67" t="s">
        <v>405</v>
      </c>
      <c r="C121" s="67" t="s">
        <v>879</v>
      </c>
      <c r="D121" s="67" t="s">
        <v>880</v>
      </c>
      <c r="E121" s="67" t="s">
        <v>854</v>
      </c>
      <c r="F121" s="67" t="s">
        <v>918</v>
      </c>
      <c r="G121" s="67" t="s">
        <v>1095</v>
      </c>
      <c r="H121" s="67" t="s">
        <v>923</v>
      </c>
      <c r="I121" s="68">
        <v>42114</v>
      </c>
      <c r="J121" s="68">
        <v>42114</v>
      </c>
      <c r="K121" s="68">
        <v>44566</v>
      </c>
      <c r="L121" s="69"/>
      <c r="M121" s="67" t="s">
        <v>884</v>
      </c>
      <c r="N121" s="67" t="s">
        <v>1096</v>
      </c>
      <c r="O121" s="67" t="s">
        <v>886</v>
      </c>
      <c r="P121" s="67" t="s">
        <v>887</v>
      </c>
      <c r="Q121" s="67" t="s">
        <v>888</v>
      </c>
      <c r="R121" s="67" t="s">
        <v>860</v>
      </c>
      <c r="S121" s="71"/>
    </row>
    <row r="122" spans="1:19" x14ac:dyDescent="0.25">
      <c r="A122" s="63" t="s">
        <v>323</v>
      </c>
      <c r="B122" s="63" t="s">
        <v>405</v>
      </c>
      <c r="C122" s="63" t="s">
        <v>879</v>
      </c>
      <c r="D122" s="63" t="s">
        <v>880</v>
      </c>
      <c r="E122" s="63" t="s">
        <v>854</v>
      </c>
      <c r="F122" s="63" t="s">
        <v>918</v>
      </c>
      <c r="G122" s="63" t="s">
        <v>1097</v>
      </c>
      <c r="H122" s="63" t="s">
        <v>923</v>
      </c>
      <c r="I122" s="64">
        <v>42114</v>
      </c>
      <c r="J122" s="64">
        <v>42114</v>
      </c>
      <c r="K122" s="64">
        <v>44566</v>
      </c>
      <c r="L122" s="65"/>
      <c r="M122" s="63" t="s">
        <v>884</v>
      </c>
      <c r="N122" s="63" t="s">
        <v>1098</v>
      </c>
      <c r="O122" s="63" t="s">
        <v>886</v>
      </c>
      <c r="P122" s="63" t="s">
        <v>887</v>
      </c>
      <c r="Q122" s="63" t="s">
        <v>888</v>
      </c>
      <c r="R122" s="63" t="s">
        <v>860</v>
      </c>
      <c r="S122" s="72"/>
    </row>
    <row r="123" spans="1:19" x14ac:dyDescent="0.25">
      <c r="A123" s="67" t="s">
        <v>323</v>
      </c>
      <c r="B123" s="67" t="s">
        <v>405</v>
      </c>
      <c r="C123" s="67" t="s">
        <v>879</v>
      </c>
      <c r="D123" s="67" t="s">
        <v>880</v>
      </c>
      <c r="E123" s="67" t="s">
        <v>854</v>
      </c>
      <c r="F123" s="67" t="s">
        <v>918</v>
      </c>
      <c r="G123" s="67" t="s">
        <v>1099</v>
      </c>
      <c r="H123" s="67" t="s">
        <v>883</v>
      </c>
      <c r="I123" s="69"/>
      <c r="J123" s="68">
        <v>41786</v>
      </c>
      <c r="K123" s="68">
        <v>42113</v>
      </c>
      <c r="L123" s="69"/>
      <c r="M123" s="67" t="s">
        <v>920</v>
      </c>
      <c r="N123" s="67" t="s">
        <v>1100</v>
      </c>
      <c r="O123" s="67" t="s">
        <v>886</v>
      </c>
      <c r="P123" s="67" t="s">
        <v>887</v>
      </c>
      <c r="Q123" s="67" t="s">
        <v>888</v>
      </c>
      <c r="R123" s="67" t="s">
        <v>860</v>
      </c>
      <c r="S123" s="70" t="s">
        <v>1092</v>
      </c>
    </row>
    <row r="124" spans="1:19" x14ac:dyDescent="0.25">
      <c r="A124" s="63" t="s">
        <v>323</v>
      </c>
      <c r="B124" s="63" t="s">
        <v>405</v>
      </c>
      <c r="C124" s="63" t="s">
        <v>879</v>
      </c>
      <c r="D124" s="63" t="s">
        <v>880</v>
      </c>
      <c r="E124" s="63" t="s">
        <v>854</v>
      </c>
      <c r="F124" s="63" t="s">
        <v>918</v>
      </c>
      <c r="G124" s="63" t="s">
        <v>1099</v>
      </c>
      <c r="H124" s="63" t="s">
        <v>923</v>
      </c>
      <c r="I124" s="64">
        <v>42114</v>
      </c>
      <c r="J124" s="64">
        <v>42114</v>
      </c>
      <c r="K124" s="64">
        <v>44566</v>
      </c>
      <c r="L124" s="65"/>
      <c r="M124" s="63" t="s">
        <v>884</v>
      </c>
      <c r="N124" s="63" t="s">
        <v>1100</v>
      </c>
      <c r="O124" s="63" t="s">
        <v>886</v>
      </c>
      <c r="P124" s="63" t="s">
        <v>887</v>
      </c>
      <c r="Q124" s="63" t="s">
        <v>888</v>
      </c>
      <c r="R124" s="63" t="s">
        <v>860</v>
      </c>
      <c r="S124" s="72"/>
    </row>
    <row r="125" spans="1:19" x14ac:dyDescent="0.25">
      <c r="A125" s="67" t="s">
        <v>323</v>
      </c>
      <c r="B125" s="67" t="s">
        <v>405</v>
      </c>
      <c r="C125" s="67" t="s">
        <v>879</v>
      </c>
      <c r="D125" s="67" t="s">
        <v>880</v>
      </c>
      <c r="E125" s="67" t="s">
        <v>854</v>
      </c>
      <c r="F125" s="67" t="s">
        <v>918</v>
      </c>
      <c r="G125" s="67" t="s">
        <v>1101</v>
      </c>
      <c r="H125" s="67" t="s">
        <v>883</v>
      </c>
      <c r="I125" s="69"/>
      <c r="J125" s="68">
        <v>41786</v>
      </c>
      <c r="K125" s="68">
        <v>42113</v>
      </c>
      <c r="L125" s="69"/>
      <c r="M125" s="67" t="s">
        <v>920</v>
      </c>
      <c r="N125" s="67" t="s">
        <v>1102</v>
      </c>
      <c r="O125" s="67" t="s">
        <v>886</v>
      </c>
      <c r="P125" s="67" t="s">
        <v>887</v>
      </c>
      <c r="Q125" s="67" t="s">
        <v>888</v>
      </c>
      <c r="R125" s="67" t="s">
        <v>860</v>
      </c>
      <c r="S125" s="70" t="s">
        <v>1092</v>
      </c>
    </row>
    <row r="126" spans="1:19" x14ac:dyDescent="0.25">
      <c r="A126" s="63" t="s">
        <v>323</v>
      </c>
      <c r="B126" s="63" t="s">
        <v>405</v>
      </c>
      <c r="C126" s="63" t="s">
        <v>879</v>
      </c>
      <c r="D126" s="63" t="s">
        <v>880</v>
      </c>
      <c r="E126" s="63" t="s">
        <v>854</v>
      </c>
      <c r="F126" s="63" t="s">
        <v>918</v>
      </c>
      <c r="G126" s="63" t="s">
        <v>1101</v>
      </c>
      <c r="H126" s="63" t="s">
        <v>923</v>
      </c>
      <c r="I126" s="64">
        <v>42114</v>
      </c>
      <c r="J126" s="64">
        <v>42114</v>
      </c>
      <c r="K126" s="64">
        <v>44566</v>
      </c>
      <c r="L126" s="65"/>
      <c r="M126" s="63" t="s">
        <v>884</v>
      </c>
      <c r="N126" s="63" t="s">
        <v>1102</v>
      </c>
      <c r="O126" s="63" t="s">
        <v>886</v>
      </c>
      <c r="P126" s="63" t="s">
        <v>887</v>
      </c>
      <c r="Q126" s="63" t="s">
        <v>888</v>
      </c>
      <c r="R126" s="63" t="s">
        <v>860</v>
      </c>
      <c r="S126" s="72"/>
    </row>
    <row r="127" spans="1:19" x14ac:dyDescent="0.25">
      <c r="A127" s="67" t="s">
        <v>323</v>
      </c>
      <c r="B127" s="67" t="s">
        <v>405</v>
      </c>
      <c r="C127" s="67" t="s">
        <v>879</v>
      </c>
      <c r="D127" s="67" t="s">
        <v>880</v>
      </c>
      <c r="E127" s="67" t="s">
        <v>854</v>
      </c>
      <c r="F127" s="67" t="s">
        <v>918</v>
      </c>
      <c r="G127" s="67" t="s">
        <v>1103</v>
      </c>
      <c r="H127" s="67" t="s">
        <v>883</v>
      </c>
      <c r="I127" s="69"/>
      <c r="J127" s="68">
        <v>41786</v>
      </c>
      <c r="K127" s="68">
        <v>42113</v>
      </c>
      <c r="L127" s="69"/>
      <c r="M127" s="67" t="s">
        <v>920</v>
      </c>
      <c r="N127" s="67" t="s">
        <v>1104</v>
      </c>
      <c r="O127" s="67" t="s">
        <v>886</v>
      </c>
      <c r="P127" s="67" t="s">
        <v>887</v>
      </c>
      <c r="Q127" s="67" t="s">
        <v>888</v>
      </c>
      <c r="R127" s="67" t="s">
        <v>860</v>
      </c>
      <c r="S127" s="70" t="s">
        <v>1092</v>
      </c>
    </row>
    <row r="128" spans="1:19" x14ac:dyDescent="0.25">
      <c r="A128" s="63" t="s">
        <v>323</v>
      </c>
      <c r="B128" s="63" t="s">
        <v>405</v>
      </c>
      <c r="C128" s="63" t="s">
        <v>879</v>
      </c>
      <c r="D128" s="63" t="s">
        <v>880</v>
      </c>
      <c r="E128" s="63" t="s">
        <v>854</v>
      </c>
      <c r="F128" s="63" t="s">
        <v>918</v>
      </c>
      <c r="G128" s="63" t="s">
        <v>1103</v>
      </c>
      <c r="H128" s="63" t="s">
        <v>923</v>
      </c>
      <c r="I128" s="64">
        <v>42114</v>
      </c>
      <c r="J128" s="64">
        <v>42114</v>
      </c>
      <c r="K128" s="64">
        <v>44566</v>
      </c>
      <c r="L128" s="65"/>
      <c r="M128" s="63" t="s">
        <v>884</v>
      </c>
      <c r="N128" s="63" t="s">
        <v>1104</v>
      </c>
      <c r="O128" s="63" t="s">
        <v>886</v>
      </c>
      <c r="P128" s="63" t="s">
        <v>887</v>
      </c>
      <c r="Q128" s="63" t="s">
        <v>888</v>
      </c>
      <c r="R128" s="63" t="s">
        <v>860</v>
      </c>
      <c r="S128" s="72"/>
    </row>
    <row r="129" spans="1:19" x14ac:dyDescent="0.25">
      <c r="A129" s="67" t="s">
        <v>323</v>
      </c>
      <c r="B129" s="67" t="s">
        <v>405</v>
      </c>
      <c r="C129" s="67" t="s">
        <v>879</v>
      </c>
      <c r="D129" s="67" t="s">
        <v>880</v>
      </c>
      <c r="E129" s="67" t="s">
        <v>854</v>
      </c>
      <c r="F129" s="67" t="s">
        <v>918</v>
      </c>
      <c r="G129" s="67" t="s">
        <v>1105</v>
      </c>
      <c r="H129" s="67" t="s">
        <v>923</v>
      </c>
      <c r="I129" s="68">
        <v>42114</v>
      </c>
      <c r="J129" s="68">
        <v>42114</v>
      </c>
      <c r="K129" s="68">
        <v>44566</v>
      </c>
      <c r="L129" s="69"/>
      <c r="M129" s="67" t="s">
        <v>884</v>
      </c>
      <c r="N129" s="67" t="s">
        <v>1106</v>
      </c>
      <c r="O129" s="67" t="s">
        <v>886</v>
      </c>
      <c r="P129" s="67" t="s">
        <v>887</v>
      </c>
      <c r="Q129" s="67" t="s">
        <v>888</v>
      </c>
      <c r="R129" s="67" t="s">
        <v>860</v>
      </c>
      <c r="S129" s="71"/>
    </row>
    <row r="130" spans="1:19" x14ac:dyDescent="0.25">
      <c r="A130" s="63" t="s">
        <v>323</v>
      </c>
      <c r="B130" s="63" t="s">
        <v>405</v>
      </c>
      <c r="C130" s="63" t="s">
        <v>879</v>
      </c>
      <c r="D130" s="63" t="s">
        <v>880</v>
      </c>
      <c r="E130" s="63" t="s">
        <v>854</v>
      </c>
      <c r="F130" s="63" t="s">
        <v>918</v>
      </c>
      <c r="G130" s="63" t="s">
        <v>1107</v>
      </c>
      <c r="H130" s="63" t="s">
        <v>883</v>
      </c>
      <c r="I130" s="65"/>
      <c r="J130" s="64">
        <v>42114</v>
      </c>
      <c r="K130" s="64">
        <v>42810</v>
      </c>
      <c r="L130" s="65"/>
      <c r="M130" s="63" t="s">
        <v>920</v>
      </c>
      <c r="N130" s="63" t="s">
        <v>1108</v>
      </c>
      <c r="O130" s="63" t="s">
        <v>886</v>
      </c>
      <c r="P130" s="63" t="s">
        <v>887</v>
      </c>
      <c r="Q130" s="63" t="s">
        <v>888</v>
      </c>
      <c r="R130" s="63" t="s">
        <v>860</v>
      </c>
      <c r="S130" s="66" t="s">
        <v>964</v>
      </c>
    </row>
    <row r="131" spans="1:19" x14ac:dyDescent="0.25">
      <c r="A131" s="67" t="s">
        <v>323</v>
      </c>
      <c r="B131" s="67" t="s">
        <v>405</v>
      </c>
      <c r="C131" s="67" t="s">
        <v>879</v>
      </c>
      <c r="D131" s="67" t="s">
        <v>880</v>
      </c>
      <c r="E131" s="67" t="s">
        <v>854</v>
      </c>
      <c r="F131" s="67" t="s">
        <v>918</v>
      </c>
      <c r="G131" s="67" t="s">
        <v>1107</v>
      </c>
      <c r="H131" s="67" t="s">
        <v>923</v>
      </c>
      <c r="I131" s="68">
        <v>42811</v>
      </c>
      <c r="J131" s="68">
        <v>42811</v>
      </c>
      <c r="K131" s="68">
        <v>43392</v>
      </c>
      <c r="L131" s="69"/>
      <c r="M131" s="67" t="s">
        <v>965</v>
      </c>
      <c r="N131" s="67" t="s">
        <v>1108</v>
      </c>
      <c r="O131" s="67" t="s">
        <v>886</v>
      </c>
      <c r="P131" s="67" t="s">
        <v>887</v>
      </c>
      <c r="Q131" s="67" t="s">
        <v>888</v>
      </c>
      <c r="R131" s="67" t="s">
        <v>860</v>
      </c>
      <c r="S131" s="70" t="s">
        <v>1061</v>
      </c>
    </row>
    <row r="132" spans="1:19" x14ac:dyDescent="0.25">
      <c r="A132" s="63" t="s">
        <v>323</v>
      </c>
      <c r="B132" s="63" t="s">
        <v>405</v>
      </c>
      <c r="C132" s="63" t="s">
        <v>879</v>
      </c>
      <c r="D132" s="63" t="s">
        <v>880</v>
      </c>
      <c r="E132" s="63" t="s">
        <v>854</v>
      </c>
      <c r="F132" s="63" t="s">
        <v>918</v>
      </c>
      <c r="G132" s="63" t="s">
        <v>1109</v>
      </c>
      <c r="H132" s="63" t="s">
        <v>883</v>
      </c>
      <c r="I132" s="64">
        <v>42734</v>
      </c>
      <c r="J132" s="64">
        <v>42734</v>
      </c>
      <c r="K132" s="64">
        <v>42810</v>
      </c>
      <c r="L132" s="65"/>
      <c r="M132" s="63" t="s">
        <v>884</v>
      </c>
      <c r="N132" s="63" t="s">
        <v>1110</v>
      </c>
      <c r="O132" s="63" t="s">
        <v>886</v>
      </c>
      <c r="P132" s="63" t="s">
        <v>887</v>
      </c>
      <c r="Q132" s="63" t="s">
        <v>888</v>
      </c>
      <c r="R132" s="63" t="s">
        <v>860</v>
      </c>
      <c r="S132" s="66" t="s">
        <v>1111</v>
      </c>
    </row>
    <row r="133" spans="1:19" x14ac:dyDescent="0.25">
      <c r="A133" s="67" t="s">
        <v>323</v>
      </c>
      <c r="B133" s="67" t="s">
        <v>405</v>
      </c>
      <c r="C133" s="67" t="s">
        <v>879</v>
      </c>
      <c r="D133" s="67" t="s">
        <v>880</v>
      </c>
      <c r="E133" s="67" t="s">
        <v>854</v>
      </c>
      <c r="F133" s="67" t="s">
        <v>918</v>
      </c>
      <c r="G133" s="67" t="s">
        <v>1109</v>
      </c>
      <c r="H133" s="67" t="s">
        <v>923</v>
      </c>
      <c r="I133" s="68">
        <v>42811</v>
      </c>
      <c r="J133" s="68">
        <v>42811</v>
      </c>
      <c r="K133" s="68">
        <v>44566</v>
      </c>
      <c r="L133" s="69"/>
      <c r="M133" s="67" t="s">
        <v>965</v>
      </c>
      <c r="N133" s="67" t="s">
        <v>1110</v>
      </c>
      <c r="O133" s="67" t="s">
        <v>886</v>
      </c>
      <c r="P133" s="67" t="s">
        <v>887</v>
      </c>
      <c r="Q133" s="67" t="s">
        <v>888</v>
      </c>
      <c r="R133" s="67" t="s">
        <v>860</v>
      </c>
      <c r="S133" s="71"/>
    </row>
    <row r="134" spans="1:19" x14ac:dyDescent="0.25">
      <c r="A134" s="63" t="s">
        <v>323</v>
      </c>
      <c r="B134" s="63" t="s">
        <v>405</v>
      </c>
      <c r="C134" s="63" t="s">
        <v>879</v>
      </c>
      <c r="D134" s="63" t="s">
        <v>880</v>
      </c>
      <c r="E134" s="63" t="s">
        <v>854</v>
      </c>
      <c r="F134" s="63" t="s">
        <v>918</v>
      </c>
      <c r="G134" s="63" t="s">
        <v>1112</v>
      </c>
      <c r="H134" s="63" t="s">
        <v>923</v>
      </c>
      <c r="I134" s="64">
        <v>42811</v>
      </c>
      <c r="J134" s="64">
        <v>42811</v>
      </c>
      <c r="K134" s="64">
        <v>44566</v>
      </c>
      <c r="L134" s="63" t="s">
        <v>1113</v>
      </c>
      <c r="M134" s="63" t="s">
        <v>965</v>
      </c>
      <c r="N134" s="63" t="s">
        <v>1114</v>
      </c>
      <c r="O134" s="63" t="s">
        <v>886</v>
      </c>
      <c r="P134" s="63" t="s">
        <v>887</v>
      </c>
      <c r="Q134" s="63" t="s">
        <v>888</v>
      </c>
      <c r="R134" s="63" t="s">
        <v>860</v>
      </c>
      <c r="S134" s="72"/>
    </row>
    <row r="135" spans="1:19" x14ac:dyDescent="0.25">
      <c r="A135" s="67" t="s">
        <v>323</v>
      </c>
      <c r="B135" s="67" t="s">
        <v>405</v>
      </c>
      <c r="C135" s="67" t="s">
        <v>879</v>
      </c>
      <c r="D135" s="67" t="s">
        <v>880</v>
      </c>
      <c r="E135" s="67" t="s">
        <v>854</v>
      </c>
      <c r="F135" s="67" t="s">
        <v>918</v>
      </c>
      <c r="G135" s="67" t="s">
        <v>1115</v>
      </c>
      <c r="H135" s="67" t="s">
        <v>883</v>
      </c>
      <c r="I135" s="69"/>
      <c r="J135" s="68">
        <v>41430</v>
      </c>
      <c r="K135" s="68">
        <v>42131</v>
      </c>
      <c r="L135" s="69"/>
      <c r="M135" s="69"/>
      <c r="N135" s="67" t="s">
        <v>1116</v>
      </c>
      <c r="O135" s="67" t="s">
        <v>886</v>
      </c>
      <c r="P135" s="67" t="s">
        <v>887</v>
      </c>
      <c r="Q135" s="67" t="s">
        <v>888</v>
      </c>
      <c r="R135" s="67" t="s">
        <v>860</v>
      </c>
      <c r="S135" s="71"/>
    </row>
    <row r="136" spans="1:19" x14ac:dyDescent="0.25">
      <c r="A136" s="63" t="s">
        <v>323</v>
      </c>
      <c r="B136" s="63" t="s">
        <v>405</v>
      </c>
      <c r="C136" s="63" t="s">
        <v>879</v>
      </c>
      <c r="D136" s="63" t="s">
        <v>880</v>
      </c>
      <c r="E136" s="63" t="s">
        <v>854</v>
      </c>
      <c r="F136" s="63" t="s">
        <v>918</v>
      </c>
      <c r="G136" s="63" t="s">
        <v>1115</v>
      </c>
      <c r="H136" s="63" t="s">
        <v>923</v>
      </c>
      <c r="I136" s="64">
        <v>42132</v>
      </c>
      <c r="J136" s="64">
        <v>42132</v>
      </c>
      <c r="K136" s="64">
        <v>44566</v>
      </c>
      <c r="L136" s="63" t="s">
        <v>1117</v>
      </c>
      <c r="M136" s="63" t="s">
        <v>1118</v>
      </c>
      <c r="N136" s="63" t="s">
        <v>1116</v>
      </c>
      <c r="O136" s="63" t="s">
        <v>886</v>
      </c>
      <c r="P136" s="63" t="s">
        <v>887</v>
      </c>
      <c r="Q136" s="63" t="s">
        <v>888</v>
      </c>
      <c r="R136" s="63" t="s">
        <v>860</v>
      </c>
      <c r="S136" s="72"/>
    </row>
    <row r="137" spans="1:19" x14ac:dyDescent="0.25">
      <c r="A137" s="67" t="s">
        <v>323</v>
      </c>
      <c r="B137" s="67" t="s">
        <v>405</v>
      </c>
      <c r="C137" s="67" t="s">
        <v>879</v>
      </c>
      <c r="D137" s="67" t="s">
        <v>880</v>
      </c>
      <c r="E137" s="67" t="s">
        <v>854</v>
      </c>
      <c r="F137" s="67" t="s">
        <v>918</v>
      </c>
      <c r="G137" s="67" t="s">
        <v>1119</v>
      </c>
      <c r="H137" s="67" t="s">
        <v>923</v>
      </c>
      <c r="I137" s="68">
        <v>42132</v>
      </c>
      <c r="J137" s="68">
        <v>42132</v>
      </c>
      <c r="K137" s="68">
        <v>44566</v>
      </c>
      <c r="L137" s="67" t="s">
        <v>1117</v>
      </c>
      <c r="M137" s="67" t="s">
        <v>1118</v>
      </c>
      <c r="N137" s="67" t="s">
        <v>1120</v>
      </c>
      <c r="O137" s="67" t="s">
        <v>886</v>
      </c>
      <c r="P137" s="67" t="s">
        <v>887</v>
      </c>
      <c r="Q137" s="67" t="s">
        <v>888</v>
      </c>
      <c r="R137" s="67" t="s">
        <v>860</v>
      </c>
      <c r="S137" s="71"/>
    </row>
    <row r="138" spans="1:19" x14ac:dyDescent="0.25">
      <c r="A138" s="63" t="s">
        <v>323</v>
      </c>
      <c r="B138" s="63" t="s">
        <v>405</v>
      </c>
      <c r="C138" s="63" t="s">
        <v>879</v>
      </c>
      <c r="D138" s="63" t="s">
        <v>880</v>
      </c>
      <c r="E138" s="63" t="s">
        <v>854</v>
      </c>
      <c r="F138" s="63" t="s">
        <v>918</v>
      </c>
      <c r="G138" s="63" t="s">
        <v>1121</v>
      </c>
      <c r="H138" s="63" t="s">
        <v>923</v>
      </c>
      <c r="I138" s="64">
        <v>43920</v>
      </c>
      <c r="J138" s="64">
        <v>43920</v>
      </c>
      <c r="K138" s="64">
        <v>44566</v>
      </c>
      <c r="L138" s="63" t="s">
        <v>1117</v>
      </c>
      <c r="M138" s="63" t="s">
        <v>1122</v>
      </c>
      <c r="N138" s="63" t="s">
        <v>1123</v>
      </c>
      <c r="O138" s="63" t="s">
        <v>886</v>
      </c>
      <c r="P138" s="63" t="s">
        <v>887</v>
      </c>
      <c r="Q138" s="63" t="s">
        <v>888</v>
      </c>
      <c r="R138" s="63" t="s">
        <v>860</v>
      </c>
      <c r="S138" s="72"/>
    </row>
    <row r="139" spans="1:19" ht="22.5" x14ac:dyDescent="0.25">
      <c r="A139" s="67" t="s">
        <v>323</v>
      </c>
      <c r="B139" s="67" t="s">
        <v>405</v>
      </c>
      <c r="C139" s="67" t="s">
        <v>879</v>
      </c>
      <c r="D139" s="67" t="s">
        <v>880</v>
      </c>
      <c r="E139" s="67" t="s">
        <v>854</v>
      </c>
      <c r="F139" s="67" t="s">
        <v>918</v>
      </c>
      <c r="G139" s="67" t="s">
        <v>1124</v>
      </c>
      <c r="H139" s="67" t="s">
        <v>923</v>
      </c>
      <c r="I139" s="69"/>
      <c r="J139" s="68">
        <v>43920</v>
      </c>
      <c r="K139" s="68">
        <v>44566</v>
      </c>
      <c r="L139" s="67" t="s">
        <v>1117</v>
      </c>
      <c r="M139" s="67" t="s">
        <v>1122</v>
      </c>
      <c r="N139" s="67" t="s">
        <v>1125</v>
      </c>
      <c r="O139" s="67" t="s">
        <v>886</v>
      </c>
      <c r="P139" s="67" t="s">
        <v>887</v>
      </c>
      <c r="Q139" s="67" t="s">
        <v>888</v>
      </c>
      <c r="R139" s="67" t="s">
        <v>860</v>
      </c>
      <c r="S139" s="71"/>
    </row>
    <row r="140" spans="1:19" x14ac:dyDescent="0.25">
      <c r="A140" s="63" t="s">
        <v>323</v>
      </c>
      <c r="B140" s="63" t="s">
        <v>405</v>
      </c>
      <c r="C140" s="63" t="s">
        <v>879</v>
      </c>
      <c r="D140" s="63" t="s">
        <v>880</v>
      </c>
      <c r="E140" s="63" t="s">
        <v>854</v>
      </c>
      <c r="F140" s="63" t="s">
        <v>918</v>
      </c>
      <c r="G140" s="63" t="s">
        <v>1126</v>
      </c>
      <c r="H140" s="63" t="s">
        <v>883</v>
      </c>
      <c r="I140" s="64">
        <v>42767</v>
      </c>
      <c r="J140" s="64">
        <v>42767</v>
      </c>
      <c r="K140" s="64">
        <v>42852</v>
      </c>
      <c r="L140" s="65"/>
      <c r="M140" s="63" t="s">
        <v>1118</v>
      </c>
      <c r="N140" s="63" t="s">
        <v>1127</v>
      </c>
      <c r="O140" s="63" t="s">
        <v>886</v>
      </c>
      <c r="P140" s="63" t="s">
        <v>887</v>
      </c>
      <c r="Q140" s="63" t="s">
        <v>888</v>
      </c>
      <c r="R140" s="63" t="s">
        <v>860</v>
      </c>
      <c r="S140" s="66" t="s">
        <v>1128</v>
      </c>
    </row>
    <row r="141" spans="1:19" x14ac:dyDescent="0.25">
      <c r="A141" s="67" t="s">
        <v>323</v>
      </c>
      <c r="B141" s="67" t="s">
        <v>405</v>
      </c>
      <c r="C141" s="67" t="s">
        <v>879</v>
      </c>
      <c r="D141" s="67" t="s">
        <v>880</v>
      </c>
      <c r="E141" s="67" t="s">
        <v>854</v>
      </c>
      <c r="F141" s="67" t="s">
        <v>918</v>
      </c>
      <c r="G141" s="67" t="s">
        <v>1126</v>
      </c>
      <c r="H141" s="67" t="s">
        <v>923</v>
      </c>
      <c r="I141" s="68">
        <v>42853</v>
      </c>
      <c r="J141" s="68">
        <v>42853</v>
      </c>
      <c r="K141" s="68">
        <v>44566</v>
      </c>
      <c r="L141" s="69"/>
      <c r="M141" s="67" t="s">
        <v>1118</v>
      </c>
      <c r="N141" s="67" t="s">
        <v>1127</v>
      </c>
      <c r="O141" s="67" t="s">
        <v>886</v>
      </c>
      <c r="P141" s="67" t="s">
        <v>887</v>
      </c>
      <c r="Q141" s="67" t="s">
        <v>888</v>
      </c>
      <c r="R141" s="67" t="s">
        <v>860</v>
      </c>
      <c r="S141" s="71"/>
    </row>
    <row r="142" spans="1:19" x14ac:dyDescent="0.25">
      <c r="A142" s="63" t="s">
        <v>323</v>
      </c>
      <c r="B142" s="63" t="s">
        <v>405</v>
      </c>
      <c r="C142" s="63" t="s">
        <v>879</v>
      </c>
      <c r="D142" s="63" t="s">
        <v>880</v>
      </c>
      <c r="E142" s="63" t="s">
        <v>854</v>
      </c>
      <c r="F142" s="63" t="s">
        <v>918</v>
      </c>
      <c r="G142" s="63" t="s">
        <v>1129</v>
      </c>
      <c r="H142" s="63" t="s">
        <v>923</v>
      </c>
      <c r="I142" s="64">
        <v>42853</v>
      </c>
      <c r="J142" s="64">
        <v>42853</v>
      </c>
      <c r="K142" s="64">
        <v>44566</v>
      </c>
      <c r="L142" s="65"/>
      <c r="M142" s="63" t="s">
        <v>1118</v>
      </c>
      <c r="N142" s="63" t="s">
        <v>1130</v>
      </c>
      <c r="O142" s="63" t="s">
        <v>886</v>
      </c>
      <c r="P142" s="63" t="s">
        <v>887</v>
      </c>
      <c r="Q142" s="63" t="s">
        <v>888</v>
      </c>
      <c r="R142" s="63" t="s">
        <v>860</v>
      </c>
      <c r="S142" s="72"/>
    </row>
    <row r="143" spans="1:19" x14ac:dyDescent="0.25">
      <c r="A143" s="67" t="s">
        <v>323</v>
      </c>
      <c r="B143" s="67" t="s">
        <v>405</v>
      </c>
      <c r="C143" s="67" t="s">
        <v>879</v>
      </c>
      <c r="D143" s="67" t="s">
        <v>880</v>
      </c>
      <c r="E143" s="67" t="s">
        <v>854</v>
      </c>
      <c r="F143" s="67" t="s">
        <v>918</v>
      </c>
      <c r="G143" s="67" t="s">
        <v>1131</v>
      </c>
      <c r="H143" s="67" t="s">
        <v>883</v>
      </c>
      <c r="I143" s="69"/>
      <c r="J143" s="68">
        <v>41318</v>
      </c>
      <c r="K143" s="68">
        <v>42113</v>
      </c>
      <c r="L143" s="67" t="s">
        <v>1132</v>
      </c>
      <c r="M143" s="67" t="s">
        <v>958</v>
      </c>
      <c r="N143" s="67" t="s">
        <v>1133</v>
      </c>
      <c r="O143" s="67" t="s">
        <v>886</v>
      </c>
      <c r="P143" s="67" t="s">
        <v>887</v>
      </c>
      <c r="Q143" s="67" t="s">
        <v>888</v>
      </c>
      <c r="R143" s="67" t="s">
        <v>860</v>
      </c>
      <c r="S143" s="70" t="s">
        <v>1132</v>
      </c>
    </row>
    <row r="144" spans="1:19" x14ac:dyDescent="0.25">
      <c r="A144" s="63" t="s">
        <v>323</v>
      </c>
      <c r="B144" s="63" t="s">
        <v>405</v>
      </c>
      <c r="C144" s="63" t="s">
        <v>879</v>
      </c>
      <c r="D144" s="63" t="s">
        <v>880</v>
      </c>
      <c r="E144" s="63" t="s">
        <v>854</v>
      </c>
      <c r="F144" s="63" t="s">
        <v>918</v>
      </c>
      <c r="G144" s="63" t="s">
        <v>1131</v>
      </c>
      <c r="H144" s="63" t="s">
        <v>923</v>
      </c>
      <c r="I144" s="64">
        <v>42114</v>
      </c>
      <c r="J144" s="64">
        <v>42114</v>
      </c>
      <c r="K144" s="64">
        <v>44566</v>
      </c>
      <c r="L144" s="65"/>
      <c r="M144" s="63" t="s">
        <v>884</v>
      </c>
      <c r="N144" s="63" t="s">
        <v>1133</v>
      </c>
      <c r="O144" s="63" t="s">
        <v>886</v>
      </c>
      <c r="P144" s="63" t="s">
        <v>887</v>
      </c>
      <c r="Q144" s="63" t="s">
        <v>888</v>
      </c>
      <c r="R144" s="63" t="s">
        <v>860</v>
      </c>
      <c r="S144" s="72"/>
    </row>
    <row r="145" spans="1:19" x14ac:dyDescent="0.25">
      <c r="A145" s="67" t="s">
        <v>323</v>
      </c>
      <c r="B145" s="67" t="s">
        <v>405</v>
      </c>
      <c r="C145" s="67" t="s">
        <v>879</v>
      </c>
      <c r="D145" s="67" t="s">
        <v>880</v>
      </c>
      <c r="E145" s="67" t="s">
        <v>854</v>
      </c>
      <c r="F145" s="67" t="s">
        <v>918</v>
      </c>
      <c r="G145" s="67" t="s">
        <v>1134</v>
      </c>
      <c r="H145" s="67" t="s">
        <v>923</v>
      </c>
      <c r="I145" s="68">
        <v>42114</v>
      </c>
      <c r="J145" s="68">
        <v>42114</v>
      </c>
      <c r="K145" s="68">
        <v>44566</v>
      </c>
      <c r="L145" s="69"/>
      <c r="M145" s="67" t="s">
        <v>884</v>
      </c>
      <c r="N145" s="67" t="s">
        <v>1135</v>
      </c>
      <c r="O145" s="67" t="s">
        <v>886</v>
      </c>
      <c r="P145" s="67" t="s">
        <v>887</v>
      </c>
      <c r="Q145" s="67" t="s">
        <v>888</v>
      </c>
      <c r="R145" s="67" t="s">
        <v>860</v>
      </c>
      <c r="S145" s="71"/>
    </row>
    <row r="146" spans="1:19" x14ac:dyDescent="0.25">
      <c r="A146" s="63" t="s">
        <v>323</v>
      </c>
      <c r="B146" s="63" t="s">
        <v>405</v>
      </c>
      <c r="C146" s="63" t="s">
        <v>879</v>
      </c>
      <c r="D146" s="63" t="s">
        <v>880</v>
      </c>
      <c r="E146" s="63" t="s">
        <v>854</v>
      </c>
      <c r="F146" s="63" t="s">
        <v>918</v>
      </c>
      <c r="G146" s="63" t="s">
        <v>1136</v>
      </c>
      <c r="H146" s="63" t="s">
        <v>883</v>
      </c>
      <c r="I146" s="65"/>
      <c r="J146" s="64">
        <v>41852</v>
      </c>
      <c r="K146" s="64">
        <v>42113</v>
      </c>
      <c r="L146" s="65"/>
      <c r="M146" s="63" t="s">
        <v>884</v>
      </c>
      <c r="N146" s="63" t="s">
        <v>1137</v>
      </c>
      <c r="O146" s="63" t="s">
        <v>886</v>
      </c>
      <c r="P146" s="63" t="s">
        <v>887</v>
      </c>
      <c r="Q146" s="63" t="s">
        <v>888</v>
      </c>
      <c r="R146" s="63" t="s">
        <v>860</v>
      </c>
      <c r="S146" s="66" t="s">
        <v>901</v>
      </c>
    </row>
    <row r="147" spans="1:19" x14ac:dyDescent="0.25">
      <c r="A147" s="67" t="s">
        <v>323</v>
      </c>
      <c r="B147" s="67" t="s">
        <v>405</v>
      </c>
      <c r="C147" s="67" t="s">
        <v>879</v>
      </c>
      <c r="D147" s="67" t="s">
        <v>880</v>
      </c>
      <c r="E147" s="67" t="s">
        <v>854</v>
      </c>
      <c r="F147" s="67" t="s">
        <v>918</v>
      </c>
      <c r="G147" s="67" t="s">
        <v>1136</v>
      </c>
      <c r="H147" s="67" t="s">
        <v>923</v>
      </c>
      <c r="I147" s="68">
        <v>42114</v>
      </c>
      <c r="J147" s="68">
        <v>42114</v>
      </c>
      <c r="K147" s="68">
        <v>44566</v>
      </c>
      <c r="L147" s="69"/>
      <c r="M147" s="67" t="s">
        <v>884</v>
      </c>
      <c r="N147" s="67" t="s">
        <v>1137</v>
      </c>
      <c r="O147" s="67" t="s">
        <v>886</v>
      </c>
      <c r="P147" s="67" t="s">
        <v>887</v>
      </c>
      <c r="Q147" s="67" t="s">
        <v>888</v>
      </c>
      <c r="R147" s="67" t="s">
        <v>860</v>
      </c>
      <c r="S147" s="71"/>
    </row>
    <row r="148" spans="1:19" x14ac:dyDescent="0.25">
      <c r="A148" s="63" t="s">
        <v>323</v>
      </c>
      <c r="B148" s="63" t="s">
        <v>405</v>
      </c>
      <c r="C148" s="63" t="s">
        <v>879</v>
      </c>
      <c r="D148" s="63" t="s">
        <v>880</v>
      </c>
      <c r="E148" s="63" t="s">
        <v>854</v>
      </c>
      <c r="F148" s="63" t="s">
        <v>918</v>
      </c>
      <c r="G148" s="63" t="s">
        <v>1138</v>
      </c>
      <c r="H148" s="63" t="s">
        <v>923</v>
      </c>
      <c r="I148" s="64">
        <v>42114</v>
      </c>
      <c r="J148" s="64">
        <v>42114</v>
      </c>
      <c r="K148" s="64">
        <v>44566</v>
      </c>
      <c r="L148" s="65"/>
      <c r="M148" s="63" t="s">
        <v>884</v>
      </c>
      <c r="N148" s="63" t="s">
        <v>1139</v>
      </c>
      <c r="O148" s="63" t="s">
        <v>886</v>
      </c>
      <c r="P148" s="63" t="s">
        <v>887</v>
      </c>
      <c r="Q148" s="63" t="s">
        <v>888</v>
      </c>
      <c r="R148" s="63" t="s">
        <v>860</v>
      </c>
      <c r="S148" s="72"/>
    </row>
    <row r="149" spans="1:19" x14ac:dyDescent="0.25">
      <c r="A149" s="67" t="s">
        <v>323</v>
      </c>
      <c r="B149" s="67" t="s">
        <v>405</v>
      </c>
      <c r="C149" s="67" t="s">
        <v>879</v>
      </c>
      <c r="D149" s="67" t="s">
        <v>880</v>
      </c>
      <c r="E149" s="67" t="s">
        <v>854</v>
      </c>
      <c r="F149" s="67" t="s">
        <v>918</v>
      </c>
      <c r="G149" s="67" t="s">
        <v>1140</v>
      </c>
      <c r="H149" s="67" t="s">
        <v>883</v>
      </c>
      <c r="I149" s="69"/>
      <c r="J149" s="68">
        <v>42114</v>
      </c>
      <c r="K149" s="68">
        <v>42810</v>
      </c>
      <c r="L149" s="69"/>
      <c r="M149" s="67" t="s">
        <v>920</v>
      </c>
      <c r="N149" s="67" t="s">
        <v>1141</v>
      </c>
      <c r="O149" s="67" t="s">
        <v>886</v>
      </c>
      <c r="P149" s="67" t="s">
        <v>887</v>
      </c>
      <c r="Q149" s="67" t="s">
        <v>888</v>
      </c>
      <c r="R149" s="67" t="s">
        <v>860</v>
      </c>
      <c r="S149" s="70" t="s">
        <v>964</v>
      </c>
    </row>
    <row r="150" spans="1:19" x14ac:dyDescent="0.25">
      <c r="A150" s="63" t="s">
        <v>323</v>
      </c>
      <c r="B150" s="63" t="s">
        <v>405</v>
      </c>
      <c r="C150" s="63" t="s">
        <v>879</v>
      </c>
      <c r="D150" s="63" t="s">
        <v>880</v>
      </c>
      <c r="E150" s="63" t="s">
        <v>854</v>
      </c>
      <c r="F150" s="63" t="s">
        <v>918</v>
      </c>
      <c r="G150" s="63" t="s">
        <v>1140</v>
      </c>
      <c r="H150" s="63" t="s">
        <v>923</v>
      </c>
      <c r="I150" s="64">
        <v>42811</v>
      </c>
      <c r="J150" s="64">
        <v>42811</v>
      </c>
      <c r="K150" s="64">
        <v>44566</v>
      </c>
      <c r="L150" s="65"/>
      <c r="M150" s="63" t="s">
        <v>965</v>
      </c>
      <c r="N150" s="63" t="s">
        <v>1141</v>
      </c>
      <c r="O150" s="63" t="s">
        <v>886</v>
      </c>
      <c r="P150" s="63" t="s">
        <v>887</v>
      </c>
      <c r="Q150" s="63" t="s">
        <v>888</v>
      </c>
      <c r="R150" s="63" t="s">
        <v>860</v>
      </c>
      <c r="S150" s="72"/>
    </row>
    <row r="151" spans="1:19" x14ac:dyDescent="0.25">
      <c r="A151" s="67" t="s">
        <v>323</v>
      </c>
      <c r="B151" s="67" t="s">
        <v>405</v>
      </c>
      <c r="C151" s="67" t="s">
        <v>879</v>
      </c>
      <c r="D151" s="67" t="s">
        <v>880</v>
      </c>
      <c r="E151" s="67" t="s">
        <v>854</v>
      </c>
      <c r="F151" s="67" t="s">
        <v>918</v>
      </c>
      <c r="G151" s="67" t="s">
        <v>1142</v>
      </c>
      <c r="H151" s="67" t="s">
        <v>923</v>
      </c>
      <c r="I151" s="68">
        <v>42811</v>
      </c>
      <c r="J151" s="68">
        <v>42811</v>
      </c>
      <c r="K151" s="68">
        <v>44566</v>
      </c>
      <c r="L151" s="69"/>
      <c r="M151" s="67" t="s">
        <v>965</v>
      </c>
      <c r="N151" s="67" t="s">
        <v>1143</v>
      </c>
      <c r="O151" s="67" t="s">
        <v>886</v>
      </c>
      <c r="P151" s="67" t="s">
        <v>887</v>
      </c>
      <c r="Q151" s="67" t="s">
        <v>888</v>
      </c>
      <c r="R151" s="67" t="s">
        <v>860</v>
      </c>
      <c r="S151" s="71"/>
    </row>
    <row r="152" spans="1:19" x14ac:dyDescent="0.25">
      <c r="A152" s="63" t="s">
        <v>323</v>
      </c>
      <c r="B152" s="63" t="s">
        <v>405</v>
      </c>
      <c r="C152" s="63" t="s">
        <v>879</v>
      </c>
      <c r="D152" s="63" t="s">
        <v>880</v>
      </c>
      <c r="E152" s="63" t="s">
        <v>854</v>
      </c>
      <c r="F152" s="63" t="s">
        <v>918</v>
      </c>
      <c r="G152" s="63" t="s">
        <v>1144</v>
      </c>
      <c r="H152" s="63" t="s">
        <v>883</v>
      </c>
      <c r="I152" s="65"/>
      <c r="J152" s="64">
        <v>41131</v>
      </c>
      <c r="K152" s="64">
        <v>44071</v>
      </c>
      <c r="L152" s="63" t="s">
        <v>1145</v>
      </c>
      <c r="M152" s="63" t="s">
        <v>947</v>
      </c>
      <c r="N152" s="63" t="s">
        <v>1146</v>
      </c>
      <c r="O152" s="63" t="s">
        <v>886</v>
      </c>
      <c r="P152" s="63" t="s">
        <v>887</v>
      </c>
      <c r="Q152" s="63" t="s">
        <v>888</v>
      </c>
      <c r="R152" s="63" t="s">
        <v>860</v>
      </c>
      <c r="S152" s="66" t="s">
        <v>852</v>
      </c>
    </row>
    <row r="153" spans="1:19" x14ac:dyDescent="0.25">
      <c r="A153" s="67" t="s">
        <v>323</v>
      </c>
      <c r="B153" s="67" t="s">
        <v>405</v>
      </c>
      <c r="C153" s="67" t="s">
        <v>879</v>
      </c>
      <c r="D153" s="67" t="s">
        <v>880</v>
      </c>
      <c r="E153" s="67" t="s">
        <v>854</v>
      </c>
      <c r="F153" s="67" t="s">
        <v>918</v>
      </c>
      <c r="G153" s="67" t="s">
        <v>1147</v>
      </c>
      <c r="H153" s="67" t="s">
        <v>883</v>
      </c>
      <c r="I153" s="69"/>
      <c r="J153" s="68">
        <v>41137</v>
      </c>
      <c r="K153" s="68">
        <v>44071</v>
      </c>
      <c r="L153" s="69"/>
      <c r="M153" s="67" t="s">
        <v>1148</v>
      </c>
      <c r="N153" s="67" t="s">
        <v>1149</v>
      </c>
      <c r="O153" s="67" t="s">
        <v>886</v>
      </c>
      <c r="P153" s="67" t="s">
        <v>887</v>
      </c>
      <c r="Q153" s="67" t="s">
        <v>888</v>
      </c>
      <c r="R153" s="67" t="s">
        <v>860</v>
      </c>
      <c r="S153" s="70" t="s">
        <v>852</v>
      </c>
    </row>
    <row r="154" spans="1:19" x14ac:dyDescent="0.25">
      <c r="A154" s="63" t="s">
        <v>323</v>
      </c>
      <c r="B154" s="63" t="s">
        <v>405</v>
      </c>
      <c r="C154" s="63" t="s">
        <v>879</v>
      </c>
      <c r="D154" s="63" t="s">
        <v>880</v>
      </c>
      <c r="E154" s="63" t="s">
        <v>854</v>
      </c>
      <c r="F154" s="63" t="s">
        <v>918</v>
      </c>
      <c r="G154" s="63" t="s">
        <v>1150</v>
      </c>
      <c r="H154" s="63" t="s">
        <v>883</v>
      </c>
      <c r="I154" s="65"/>
      <c r="J154" s="64">
        <v>41137</v>
      </c>
      <c r="K154" s="64">
        <v>44071</v>
      </c>
      <c r="L154" s="65"/>
      <c r="M154" s="63" t="s">
        <v>1148</v>
      </c>
      <c r="N154" s="63" t="s">
        <v>1151</v>
      </c>
      <c r="O154" s="63" t="s">
        <v>886</v>
      </c>
      <c r="P154" s="63" t="s">
        <v>887</v>
      </c>
      <c r="Q154" s="63" t="s">
        <v>888</v>
      </c>
      <c r="R154" s="63" t="s">
        <v>860</v>
      </c>
      <c r="S154" s="66" t="s">
        <v>852</v>
      </c>
    </row>
    <row r="155" spans="1:19" x14ac:dyDescent="0.25">
      <c r="A155" s="67" t="s">
        <v>323</v>
      </c>
      <c r="B155" s="67" t="s">
        <v>405</v>
      </c>
      <c r="C155" s="67" t="s">
        <v>879</v>
      </c>
      <c r="D155" s="67" t="s">
        <v>880</v>
      </c>
      <c r="E155" s="67" t="s">
        <v>854</v>
      </c>
      <c r="F155" s="67" t="s">
        <v>918</v>
      </c>
      <c r="G155" s="67" t="s">
        <v>1152</v>
      </c>
      <c r="H155" s="67" t="s">
        <v>883</v>
      </c>
      <c r="I155" s="69"/>
      <c r="J155" s="68">
        <v>41131</v>
      </c>
      <c r="K155" s="68">
        <v>44071</v>
      </c>
      <c r="L155" s="69"/>
      <c r="M155" s="67" t="s">
        <v>947</v>
      </c>
      <c r="N155" s="67" t="s">
        <v>1153</v>
      </c>
      <c r="O155" s="67" t="s">
        <v>886</v>
      </c>
      <c r="P155" s="67" t="s">
        <v>887</v>
      </c>
      <c r="Q155" s="67" t="s">
        <v>888</v>
      </c>
      <c r="R155" s="67" t="s">
        <v>860</v>
      </c>
      <c r="S155" s="70" t="s">
        <v>852</v>
      </c>
    </row>
    <row r="156" spans="1:19" x14ac:dyDescent="0.25">
      <c r="A156" s="63" t="s">
        <v>323</v>
      </c>
      <c r="B156" s="63" t="s">
        <v>405</v>
      </c>
      <c r="C156" s="63" t="s">
        <v>879</v>
      </c>
      <c r="D156" s="63" t="s">
        <v>880</v>
      </c>
      <c r="E156" s="63" t="s">
        <v>854</v>
      </c>
      <c r="F156" s="63" t="s">
        <v>918</v>
      </c>
      <c r="G156" s="63" t="s">
        <v>1154</v>
      </c>
      <c r="H156" s="63" t="s">
        <v>883</v>
      </c>
      <c r="I156" s="65"/>
      <c r="J156" s="64">
        <v>41131</v>
      </c>
      <c r="K156" s="64">
        <v>44071</v>
      </c>
      <c r="L156" s="65"/>
      <c r="M156" s="63" t="s">
        <v>947</v>
      </c>
      <c r="N156" s="63" t="s">
        <v>1155</v>
      </c>
      <c r="O156" s="63" t="s">
        <v>886</v>
      </c>
      <c r="P156" s="63" t="s">
        <v>887</v>
      </c>
      <c r="Q156" s="63" t="s">
        <v>888</v>
      </c>
      <c r="R156" s="63" t="s">
        <v>860</v>
      </c>
      <c r="S156" s="66" t="s">
        <v>852</v>
      </c>
    </row>
    <row r="157" spans="1:19" x14ac:dyDescent="0.25">
      <c r="A157" s="67" t="s">
        <v>323</v>
      </c>
      <c r="B157" s="67" t="s">
        <v>405</v>
      </c>
      <c r="C157" s="67" t="s">
        <v>879</v>
      </c>
      <c r="D157" s="67" t="s">
        <v>880</v>
      </c>
      <c r="E157" s="67" t="s">
        <v>854</v>
      </c>
      <c r="F157" s="67" t="s">
        <v>918</v>
      </c>
      <c r="G157" s="67" t="s">
        <v>1156</v>
      </c>
      <c r="H157" s="67" t="s">
        <v>883</v>
      </c>
      <c r="I157" s="68">
        <v>42795</v>
      </c>
      <c r="J157" s="68">
        <v>42795</v>
      </c>
      <c r="K157" s="68">
        <v>44071</v>
      </c>
      <c r="L157" s="69"/>
      <c r="M157" s="67" t="s">
        <v>1157</v>
      </c>
      <c r="N157" s="67" t="s">
        <v>1158</v>
      </c>
      <c r="O157" s="67" t="s">
        <v>886</v>
      </c>
      <c r="P157" s="67" t="s">
        <v>887</v>
      </c>
      <c r="Q157" s="67" t="s">
        <v>888</v>
      </c>
      <c r="R157" s="67" t="s">
        <v>860</v>
      </c>
      <c r="S157" s="70" t="s">
        <v>1159</v>
      </c>
    </row>
    <row r="158" spans="1:19" x14ac:dyDescent="0.25">
      <c r="A158" s="63" t="s">
        <v>323</v>
      </c>
      <c r="B158" s="63" t="s">
        <v>405</v>
      </c>
      <c r="C158" s="63" t="s">
        <v>879</v>
      </c>
      <c r="D158" s="63" t="s">
        <v>880</v>
      </c>
      <c r="E158" s="63" t="s">
        <v>854</v>
      </c>
      <c r="F158" s="63" t="s">
        <v>918</v>
      </c>
      <c r="G158" s="63" t="s">
        <v>1160</v>
      </c>
      <c r="H158" s="63" t="s">
        <v>883</v>
      </c>
      <c r="I158" s="64">
        <v>42795</v>
      </c>
      <c r="J158" s="64">
        <v>42795</v>
      </c>
      <c r="K158" s="64">
        <v>44071</v>
      </c>
      <c r="L158" s="65"/>
      <c r="M158" s="63" t="s">
        <v>1157</v>
      </c>
      <c r="N158" s="63" t="s">
        <v>1161</v>
      </c>
      <c r="O158" s="63" t="s">
        <v>886</v>
      </c>
      <c r="P158" s="63" t="s">
        <v>887</v>
      </c>
      <c r="Q158" s="63" t="s">
        <v>888</v>
      </c>
      <c r="R158" s="63" t="s">
        <v>860</v>
      </c>
      <c r="S158" s="66" t="s">
        <v>1159</v>
      </c>
    </row>
    <row r="159" spans="1:19" x14ac:dyDescent="0.25">
      <c r="A159" s="67" t="s">
        <v>323</v>
      </c>
      <c r="B159" s="67" t="s">
        <v>405</v>
      </c>
      <c r="C159" s="67" t="s">
        <v>879</v>
      </c>
      <c r="D159" s="67" t="s">
        <v>880</v>
      </c>
      <c r="E159" s="67" t="s">
        <v>854</v>
      </c>
      <c r="F159" s="67" t="s">
        <v>918</v>
      </c>
      <c r="G159" s="67" t="s">
        <v>1162</v>
      </c>
      <c r="H159" s="67" t="s">
        <v>883</v>
      </c>
      <c r="I159" s="68">
        <v>42795</v>
      </c>
      <c r="J159" s="68">
        <v>42795</v>
      </c>
      <c r="K159" s="68">
        <v>44071</v>
      </c>
      <c r="L159" s="69"/>
      <c r="M159" s="67" t="s">
        <v>1157</v>
      </c>
      <c r="N159" s="67" t="s">
        <v>1163</v>
      </c>
      <c r="O159" s="67" t="s">
        <v>886</v>
      </c>
      <c r="P159" s="67" t="s">
        <v>887</v>
      </c>
      <c r="Q159" s="67" t="s">
        <v>888</v>
      </c>
      <c r="R159" s="67" t="s">
        <v>860</v>
      </c>
      <c r="S159" s="70" t="s">
        <v>1159</v>
      </c>
    </row>
    <row r="160" spans="1:19" x14ac:dyDescent="0.25">
      <c r="A160" s="63" t="s">
        <v>323</v>
      </c>
      <c r="B160" s="63" t="s">
        <v>405</v>
      </c>
      <c r="C160" s="63" t="s">
        <v>879</v>
      </c>
      <c r="D160" s="63" t="s">
        <v>880</v>
      </c>
      <c r="E160" s="63" t="s">
        <v>854</v>
      </c>
      <c r="F160" s="63" t="s">
        <v>918</v>
      </c>
      <c r="G160" s="63" t="s">
        <v>1164</v>
      </c>
      <c r="H160" s="63" t="s">
        <v>883</v>
      </c>
      <c r="I160" s="64">
        <v>42795</v>
      </c>
      <c r="J160" s="64">
        <v>42795</v>
      </c>
      <c r="K160" s="64">
        <v>44071</v>
      </c>
      <c r="L160" s="65"/>
      <c r="M160" s="63" t="s">
        <v>1157</v>
      </c>
      <c r="N160" s="63" t="s">
        <v>1165</v>
      </c>
      <c r="O160" s="63" t="s">
        <v>886</v>
      </c>
      <c r="P160" s="63" t="s">
        <v>887</v>
      </c>
      <c r="Q160" s="63" t="s">
        <v>888</v>
      </c>
      <c r="R160" s="63" t="s">
        <v>860</v>
      </c>
      <c r="S160" s="66" t="s">
        <v>1159</v>
      </c>
    </row>
    <row r="161" spans="1:19" x14ac:dyDescent="0.25">
      <c r="A161" s="67" t="s">
        <v>323</v>
      </c>
      <c r="B161" s="67" t="s">
        <v>405</v>
      </c>
      <c r="C161" s="67" t="s">
        <v>879</v>
      </c>
      <c r="D161" s="67" t="s">
        <v>880</v>
      </c>
      <c r="E161" s="67" t="s">
        <v>854</v>
      </c>
      <c r="F161" s="67" t="s">
        <v>918</v>
      </c>
      <c r="G161" s="67" t="s">
        <v>1166</v>
      </c>
      <c r="H161" s="67" t="s">
        <v>883</v>
      </c>
      <c r="I161" s="69"/>
      <c r="J161" s="68">
        <v>41131</v>
      </c>
      <c r="K161" s="68">
        <v>44071</v>
      </c>
      <c r="L161" s="69"/>
      <c r="M161" s="67" t="s">
        <v>947</v>
      </c>
      <c r="N161" s="67" t="s">
        <v>1167</v>
      </c>
      <c r="O161" s="67" t="s">
        <v>886</v>
      </c>
      <c r="P161" s="67" t="s">
        <v>887</v>
      </c>
      <c r="Q161" s="67" t="s">
        <v>888</v>
      </c>
      <c r="R161" s="67" t="s">
        <v>860</v>
      </c>
      <c r="S161" s="70" t="s">
        <v>852</v>
      </c>
    </row>
    <row r="162" spans="1:19" x14ac:dyDescent="0.25">
      <c r="A162" s="63" t="s">
        <v>323</v>
      </c>
      <c r="B162" s="63" t="s">
        <v>405</v>
      </c>
      <c r="C162" s="63" t="s">
        <v>879</v>
      </c>
      <c r="D162" s="63" t="s">
        <v>880</v>
      </c>
      <c r="E162" s="63" t="s">
        <v>854</v>
      </c>
      <c r="F162" s="63" t="s">
        <v>918</v>
      </c>
      <c r="G162" s="63" t="s">
        <v>1168</v>
      </c>
      <c r="H162" s="63" t="s">
        <v>883</v>
      </c>
      <c r="I162" s="65"/>
      <c r="J162" s="64">
        <v>41131</v>
      </c>
      <c r="K162" s="64">
        <v>44071</v>
      </c>
      <c r="L162" s="65"/>
      <c r="M162" s="63" t="s">
        <v>947</v>
      </c>
      <c r="N162" s="63" t="s">
        <v>1169</v>
      </c>
      <c r="O162" s="63" t="s">
        <v>886</v>
      </c>
      <c r="P162" s="63" t="s">
        <v>887</v>
      </c>
      <c r="Q162" s="63" t="s">
        <v>888</v>
      </c>
      <c r="R162" s="63" t="s">
        <v>860</v>
      </c>
      <c r="S162" s="66" t="s">
        <v>852</v>
      </c>
    </row>
    <row r="163" spans="1:19" x14ac:dyDescent="0.25">
      <c r="A163" s="67" t="s">
        <v>323</v>
      </c>
      <c r="B163" s="67" t="s">
        <v>405</v>
      </c>
      <c r="C163" s="67" t="s">
        <v>879</v>
      </c>
      <c r="D163" s="67" t="s">
        <v>880</v>
      </c>
      <c r="E163" s="67" t="s">
        <v>854</v>
      </c>
      <c r="F163" s="67" t="s">
        <v>918</v>
      </c>
      <c r="G163" s="67" t="s">
        <v>1170</v>
      </c>
      <c r="H163" s="67" t="s">
        <v>883</v>
      </c>
      <c r="I163" s="69"/>
      <c r="J163" s="68">
        <v>41137</v>
      </c>
      <c r="K163" s="68">
        <v>44071</v>
      </c>
      <c r="L163" s="69"/>
      <c r="M163" s="67" t="s">
        <v>1148</v>
      </c>
      <c r="N163" s="67" t="s">
        <v>1171</v>
      </c>
      <c r="O163" s="67" t="s">
        <v>886</v>
      </c>
      <c r="P163" s="67" t="s">
        <v>887</v>
      </c>
      <c r="Q163" s="67" t="s">
        <v>888</v>
      </c>
      <c r="R163" s="67" t="s">
        <v>860</v>
      </c>
      <c r="S163" s="70" t="s">
        <v>852</v>
      </c>
    </row>
    <row r="164" spans="1:19" x14ac:dyDescent="0.25">
      <c r="A164" s="63" t="s">
        <v>323</v>
      </c>
      <c r="B164" s="63" t="s">
        <v>405</v>
      </c>
      <c r="C164" s="63" t="s">
        <v>879</v>
      </c>
      <c r="D164" s="63" t="s">
        <v>880</v>
      </c>
      <c r="E164" s="63" t="s">
        <v>854</v>
      </c>
      <c r="F164" s="63" t="s">
        <v>918</v>
      </c>
      <c r="G164" s="63" t="s">
        <v>1172</v>
      </c>
      <c r="H164" s="63" t="s">
        <v>883</v>
      </c>
      <c r="I164" s="65"/>
      <c r="J164" s="64">
        <v>41137</v>
      </c>
      <c r="K164" s="64">
        <v>44071</v>
      </c>
      <c r="L164" s="65"/>
      <c r="M164" s="63" t="s">
        <v>1148</v>
      </c>
      <c r="N164" s="63" t="s">
        <v>1173</v>
      </c>
      <c r="O164" s="63" t="s">
        <v>886</v>
      </c>
      <c r="P164" s="63" t="s">
        <v>887</v>
      </c>
      <c r="Q164" s="63" t="s">
        <v>888</v>
      </c>
      <c r="R164" s="63" t="s">
        <v>860</v>
      </c>
      <c r="S164" s="66" t="s">
        <v>852</v>
      </c>
    </row>
    <row r="165" spans="1:19" x14ac:dyDescent="0.25">
      <c r="A165" s="67" t="s">
        <v>323</v>
      </c>
      <c r="B165" s="67" t="s">
        <v>405</v>
      </c>
      <c r="C165" s="67" t="s">
        <v>879</v>
      </c>
      <c r="D165" s="67" t="s">
        <v>880</v>
      </c>
      <c r="E165" s="67" t="s">
        <v>854</v>
      </c>
      <c r="F165" s="67" t="s">
        <v>918</v>
      </c>
      <c r="G165" s="67" t="s">
        <v>1174</v>
      </c>
      <c r="H165" s="67" t="s">
        <v>883</v>
      </c>
      <c r="I165" s="69"/>
      <c r="J165" s="68">
        <v>41137</v>
      </c>
      <c r="K165" s="68">
        <v>44071</v>
      </c>
      <c r="L165" s="69"/>
      <c r="M165" s="67" t="s">
        <v>1148</v>
      </c>
      <c r="N165" s="67" t="s">
        <v>1175</v>
      </c>
      <c r="O165" s="67" t="s">
        <v>886</v>
      </c>
      <c r="P165" s="67" t="s">
        <v>887</v>
      </c>
      <c r="Q165" s="67" t="s">
        <v>888</v>
      </c>
      <c r="R165" s="67" t="s">
        <v>860</v>
      </c>
      <c r="S165" s="70" t="s">
        <v>852</v>
      </c>
    </row>
    <row r="166" spans="1:19" x14ac:dyDescent="0.25">
      <c r="A166" s="63" t="s">
        <v>323</v>
      </c>
      <c r="B166" s="63" t="s">
        <v>405</v>
      </c>
      <c r="C166" s="63" t="s">
        <v>879</v>
      </c>
      <c r="D166" s="63" t="s">
        <v>880</v>
      </c>
      <c r="E166" s="63" t="s">
        <v>854</v>
      </c>
      <c r="F166" s="63" t="s">
        <v>918</v>
      </c>
      <c r="G166" s="63" t="s">
        <v>1176</v>
      </c>
      <c r="H166" s="63" t="s">
        <v>883</v>
      </c>
      <c r="I166" s="65"/>
      <c r="J166" s="64">
        <v>41137</v>
      </c>
      <c r="K166" s="64">
        <v>44071</v>
      </c>
      <c r="L166" s="65"/>
      <c r="M166" s="63" t="s">
        <v>1148</v>
      </c>
      <c r="N166" s="63" t="s">
        <v>1177</v>
      </c>
      <c r="O166" s="63" t="s">
        <v>886</v>
      </c>
      <c r="P166" s="63" t="s">
        <v>887</v>
      </c>
      <c r="Q166" s="63" t="s">
        <v>888</v>
      </c>
      <c r="R166" s="63" t="s">
        <v>860</v>
      </c>
      <c r="S166" s="66" t="s">
        <v>852</v>
      </c>
    </row>
    <row r="167" spans="1:19" x14ac:dyDescent="0.25">
      <c r="A167" s="67" t="s">
        <v>323</v>
      </c>
      <c r="B167" s="67" t="s">
        <v>405</v>
      </c>
      <c r="C167" s="67" t="s">
        <v>879</v>
      </c>
      <c r="D167" s="67" t="s">
        <v>880</v>
      </c>
      <c r="E167" s="67" t="s">
        <v>854</v>
      </c>
      <c r="F167" s="67" t="s">
        <v>918</v>
      </c>
      <c r="G167" s="67" t="s">
        <v>1178</v>
      </c>
      <c r="H167" s="67" t="s">
        <v>883</v>
      </c>
      <c r="I167" s="69"/>
      <c r="J167" s="68">
        <v>41137</v>
      </c>
      <c r="K167" s="68">
        <v>44071</v>
      </c>
      <c r="L167" s="69"/>
      <c r="M167" s="67" t="s">
        <v>1148</v>
      </c>
      <c r="N167" s="67" t="s">
        <v>1179</v>
      </c>
      <c r="O167" s="67" t="s">
        <v>886</v>
      </c>
      <c r="P167" s="67" t="s">
        <v>887</v>
      </c>
      <c r="Q167" s="67" t="s">
        <v>888</v>
      </c>
      <c r="R167" s="67" t="s">
        <v>860</v>
      </c>
      <c r="S167" s="70" t="s">
        <v>852</v>
      </c>
    </row>
    <row r="168" spans="1:19" x14ac:dyDescent="0.25">
      <c r="A168" s="63" t="s">
        <v>323</v>
      </c>
      <c r="B168" s="63" t="s">
        <v>405</v>
      </c>
      <c r="C168" s="63" t="s">
        <v>879</v>
      </c>
      <c r="D168" s="63" t="s">
        <v>880</v>
      </c>
      <c r="E168" s="63" t="s">
        <v>854</v>
      </c>
      <c r="F168" s="63" t="s">
        <v>918</v>
      </c>
      <c r="G168" s="63" t="s">
        <v>1180</v>
      </c>
      <c r="H168" s="63" t="s">
        <v>883</v>
      </c>
      <c r="I168" s="65"/>
      <c r="J168" s="64">
        <v>41137</v>
      </c>
      <c r="K168" s="64">
        <v>44071</v>
      </c>
      <c r="L168" s="65"/>
      <c r="M168" s="63" t="s">
        <v>1148</v>
      </c>
      <c r="N168" s="63" t="s">
        <v>1181</v>
      </c>
      <c r="O168" s="63" t="s">
        <v>886</v>
      </c>
      <c r="P168" s="63" t="s">
        <v>887</v>
      </c>
      <c r="Q168" s="63" t="s">
        <v>888</v>
      </c>
      <c r="R168" s="63" t="s">
        <v>860</v>
      </c>
      <c r="S168" s="66" t="s">
        <v>852</v>
      </c>
    </row>
    <row r="169" spans="1:19" x14ac:dyDescent="0.25">
      <c r="A169" s="67" t="s">
        <v>323</v>
      </c>
      <c r="B169" s="67" t="s">
        <v>405</v>
      </c>
      <c r="C169" s="67" t="s">
        <v>879</v>
      </c>
      <c r="D169" s="67" t="s">
        <v>880</v>
      </c>
      <c r="E169" s="67" t="s">
        <v>854</v>
      </c>
      <c r="F169" s="67" t="s">
        <v>918</v>
      </c>
      <c r="G169" s="67" t="s">
        <v>1182</v>
      </c>
      <c r="H169" s="67" t="s">
        <v>883</v>
      </c>
      <c r="I169" s="69"/>
      <c r="J169" s="68">
        <v>41137</v>
      </c>
      <c r="K169" s="68">
        <v>44071</v>
      </c>
      <c r="L169" s="69"/>
      <c r="M169" s="67" t="s">
        <v>1148</v>
      </c>
      <c r="N169" s="67" t="s">
        <v>1183</v>
      </c>
      <c r="O169" s="67" t="s">
        <v>886</v>
      </c>
      <c r="P169" s="67" t="s">
        <v>887</v>
      </c>
      <c r="Q169" s="67" t="s">
        <v>888</v>
      </c>
      <c r="R169" s="67" t="s">
        <v>860</v>
      </c>
      <c r="S169" s="70" t="s">
        <v>852</v>
      </c>
    </row>
    <row r="170" spans="1:19" x14ac:dyDescent="0.25">
      <c r="A170" s="63" t="s">
        <v>323</v>
      </c>
      <c r="B170" s="63" t="s">
        <v>405</v>
      </c>
      <c r="C170" s="63" t="s">
        <v>879</v>
      </c>
      <c r="D170" s="63" t="s">
        <v>880</v>
      </c>
      <c r="E170" s="63" t="s">
        <v>854</v>
      </c>
      <c r="F170" s="63" t="s">
        <v>918</v>
      </c>
      <c r="G170" s="63" t="s">
        <v>1184</v>
      </c>
      <c r="H170" s="63" t="s">
        <v>883</v>
      </c>
      <c r="I170" s="65"/>
      <c r="J170" s="64">
        <v>41137</v>
      </c>
      <c r="K170" s="64">
        <v>44071</v>
      </c>
      <c r="L170" s="65"/>
      <c r="M170" s="63" t="s">
        <v>1148</v>
      </c>
      <c r="N170" s="63" t="s">
        <v>1185</v>
      </c>
      <c r="O170" s="63" t="s">
        <v>886</v>
      </c>
      <c r="P170" s="63" t="s">
        <v>887</v>
      </c>
      <c r="Q170" s="63" t="s">
        <v>888</v>
      </c>
      <c r="R170" s="63" t="s">
        <v>860</v>
      </c>
      <c r="S170" s="66" t="s">
        <v>852</v>
      </c>
    </row>
    <row r="171" spans="1:19" x14ac:dyDescent="0.25">
      <c r="A171" s="67" t="s">
        <v>323</v>
      </c>
      <c r="B171" s="67" t="s">
        <v>405</v>
      </c>
      <c r="C171" s="67" t="s">
        <v>879</v>
      </c>
      <c r="D171" s="67" t="s">
        <v>880</v>
      </c>
      <c r="E171" s="67" t="s">
        <v>854</v>
      </c>
      <c r="F171" s="67" t="s">
        <v>918</v>
      </c>
      <c r="G171" s="67" t="s">
        <v>1186</v>
      </c>
      <c r="H171" s="67" t="s">
        <v>883</v>
      </c>
      <c r="I171" s="69"/>
      <c r="J171" s="68">
        <v>41131</v>
      </c>
      <c r="K171" s="68">
        <v>44071</v>
      </c>
      <c r="L171" s="69"/>
      <c r="M171" s="67" t="s">
        <v>947</v>
      </c>
      <c r="N171" s="67" t="s">
        <v>1187</v>
      </c>
      <c r="O171" s="67" t="s">
        <v>886</v>
      </c>
      <c r="P171" s="67" t="s">
        <v>887</v>
      </c>
      <c r="Q171" s="67" t="s">
        <v>888</v>
      </c>
      <c r="R171" s="67" t="s">
        <v>860</v>
      </c>
      <c r="S171" s="70" t="s">
        <v>852</v>
      </c>
    </row>
    <row r="172" spans="1:19" x14ac:dyDescent="0.25">
      <c r="A172" s="63" t="s">
        <v>323</v>
      </c>
      <c r="B172" s="63" t="s">
        <v>405</v>
      </c>
      <c r="C172" s="63" t="s">
        <v>879</v>
      </c>
      <c r="D172" s="63" t="s">
        <v>880</v>
      </c>
      <c r="E172" s="63" t="s">
        <v>854</v>
      </c>
      <c r="F172" s="63" t="s">
        <v>918</v>
      </c>
      <c r="G172" s="63" t="s">
        <v>1188</v>
      </c>
      <c r="H172" s="63" t="s">
        <v>883</v>
      </c>
      <c r="I172" s="65"/>
      <c r="J172" s="64">
        <v>41131</v>
      </c>
      <c r="K172" s="64">
        <v>44071</v>
      </c>
      <c r="L172" s="65"/>
      <c r="M172" s="63" t="s">
        <v>947</v>
      </c>
      <c r="N172" s="63" t="s">
        <v>1189</v>
      </c>
      <c r="O172" s="63" t="s">
        <v>886</v>
      </c>
      <c r="P172" s="63" t="s">
        <v>887</v>
      </c>
      <c r="Q172" s="63" t="s">
        <v>888</v>
      </c>
      <c r="R172" s="63" t="s">
        <v>860</v>
      </c>
      <c r="S172" s="66" t="s">
        <v>852</v>
      </c>
    </row>
    <row r="173" spans="1:19" x14ac:dyDescent="0.25">
      <c r="A173" s="67" t="s">
        <v>323</v>
      </c>
      <c r="B173" s="67" t="s">
        <v>405</v>
      </c>
      <c r="C173" s="67" t="s">
        <v>879</v>
      </c>
      <c r="D173" s="67" t="s">
        <v>880</v>
      </c>
      <c r="E173" s="67" t="s">
        <v>854</v>
      </c>
      <c r="F173" s="67" t="s">
        <v>918</v>
      </c>
      <c r="G173" s="67" t="s">
        <v>1190</v>
      </c>
      <c r="H173" s="67" t="s">
        <v>883</v>
      </c>
      <c r="I173" s="69"/>
      <c r="J173" s="68">
        <v>41131</v>
      </c>
      <c r="K173" s="68">
        <v>44071</v>
      </c>
      <c r="L173" s="69"/>
      <c r="M173" s="67" t="s">
        <v>947</v>
      </c>
      <c r="N173" s="67" t="s">
        <v>1191</v>
      </c>
      <c r="O173" s="67" t="s">
        <v>886</v>
      </c>
      <c r="P173" s="67" t="s">
        <v>887</v>
      </c>
      <c r="Q173" s="67" t="s">
        <v>888</v>
      </c>
      <c r="R173" s="67" t="s">
        <v>860</v>
      </c>
      <c r="S173" s="70" t="s">
        <v>852</v>
      </c>
    </row>
    <row r="174" spans="1:19" x14ac:dyDescent="0.25">
      <c r="A174" s="63" t="s">
        <v>323</v>
      </c>
      <c r="B174" s="63" t="s">
        <v>405</v>
      </c>
      <c r="C174" s="63" t="s">
        <v>879</v>
      </c>
      <c r="D174" s="63" t="s">
        <v>880</v>
      </c>
      <c r="E174" s="63" t="s">
        <v>854</v>
      </c>
      <c r="F174" s="63" t="s">
        <v>918</v>
      </c>
      <c r="G174" s="63" t="s">
        <v>1192</v>
      </c>
      <c r="H174" s="63" t="s">
        <v>883</v>
      </c>
      <c r="I174" s="65"/>
      <c r="J174" s="64">
        <v>41131</v>
      </c>
      <c r="K174" s="64">
        <v>44071</v>
      </c>
      <c r="L174" s="65"/>
      <c r="M174" s="63" t="s">
        <v>947</v>
      </c>
      <c r="N174" s="63" t="s">
        <v>1193</v>
      </c>
      <c r="O174" s="63" t="s">
        <v>886</v>
      </c>
      <c r="P174" s="63" t="s">
        <v>887</v>
      </c>
      <c r="Q174" s="63" t="s">
        <v>888</v>
      </c>
      <c r="R174" s="63" t="s">
        <v>860</v>
      </c>
      <c r="S174" s="66" t="s">
        <v>852</v>
      </c>
    </row>
    <row r="175" spans="1:19" x14ac:dyDescent="0.25">
      <c r="A175" s="67" t="s">
        <v>323</v>
      </c>
      <c r="B175" s="67" t="s">
        <v>405</v>
      </c>
      <c r="C175" s="67" t="s">
        <v>879</v>
      </c>
      <c r="D175" s="67" t="s">
        <v>880</v>
      </c>
      <c r="E175" s="67" t="s">
        <v>854</v>
      </c>
      <c r="F175" s="67" t="s">
        <v>918</v>
      </c>
      <c r="G175" s="67" t="s">
        <v>1194</v>
      </c>
      <c r="H175" s="67" t="s">
        <v>883</v>
      </c>
      <c r="I175" s="69"/>
      <c r="J175" s="68">
        <v>41131</v>
      </c>
      <c r="K175" s="68">
        <v>44071</v>
      </c>
      <c r="L175" s="69"/>
      <c r="M175" s="67" t="s">
        <v>947</v>
      </c>
      <c r="N175" s="67" t="s">
        <v>1195</v>
      </c>
      <c r="O175" s="67" t="s">
        <v>886</v>
      </c>
      <c r="P175" s="67" t="s">
        <v>887</v>
      </c>
      <c r="Q175" s="67" t="s">
        <v>888</v>
      </c>
      <c r="R175" s="67" t="s">
        <v>860</v>
      </c>
      <c r="S175" s="70" t="s">
        <v>852</v>
      </c>
    </row>
    <row r="176" spans="1:19" x14ac:dyDescent="0.25">
      <c r="A176" s="63" t="s">
        <v>323</v>
      </c>
      <c r="B176" s="63" t="s">
        <v>405</v>
      </c>
      <c r="C176" s="63" t="s">
        <v>879</v>
      </c>
      <c r="D176" s="63" t="s">
        <v>880</v>
      </c>
      <c r="E176" s="63" t="s">
        <v>854</v>
      </c>
      <c r="F176" s="63" t="s">
        <v>918</v>
      </c>
      <c r="G176" s="63" t="s">
        <v>1196</v>
      </c>
      <c r="H176" s="63" t="s">
        <v>883</v>
      </c>
      <c r="I176" s="65"/>
      <c r="J176" s="64">
        <v>42114</v>
      </c>
      <c r="K176" s="64">
        <v>44071</v>
      </c>
      <c r="L176" s="65"/>
      <c r="M176" s="63" t="s">
        <v>920</v>
      </c>
      <c r="N176" s="63" t="s">
        <v>1197</v>
      </c>
      <c r="O176" s="63" t="s">
        <v>886</v>
      </c>
      <c r="P176" s="63" t="s">
        <v>887</v>
      </c>
      <c r="Q176" s="63" t="s">
        <v>888</v>
      </c>
      <c r="R176" s="63" t="s">
        <v>860</v>
      </c>
      <c r="S176" s="66" t="s">
        <v>1198</v>
      </c>
    </row>
    <row r="177" spans="1:19" x14ac:dyDescent="0.25">
      <c r="A177" s="67" t="s">
        <v>323</v>
      </c>
      <c r="B177" s="67" t="s">
        <v>405</v>
      </c>
      <c r="C177" s="67" t="s">
        <v>879</v>
      </c>
      <c r="D177" s="67" t="s">
        <v>880</v>
      </c>
      <c r="E177" s="67" t="s">
        <v>854</v>
      </c>
      <c r="F177" s="67" t="s">
        <v>918</v>
      </c>
      <c r="G177" s="67" t="s">
        <v>1199</v>
      </c>
      <c r="H177" s="67" t="s">
        <v>883</v>
      </c>
      <c r="I177" s="69"/>
      <c r="J177" s="68">
        <v>41131</v>
      </c>
      <c r="K177" s="68">
        <v>44071</v>
      </c>
      <c r="L177" s="69"/>
      <c r="M177" s="67" t="s">
        <v>947</v>
      </c>
      <c r="N177" s="67" t="s">
        <v>1200</v>
      </c>
      <c r="O177" s="67" t="s">
        <v>886</v>
      </c>
      <c r="P177" s="67" t="s">
        <v>887</v>
      </c>
      <c r="Q177" s="67" t="s">
        <v>888</v>
      </c>
      <c r="R177" s="67" t="s">
        <v>860</v>
      </c>
      <c r="S177" s="70" t="s">
        <v>852</v>
      </c>
    </row>
    <row r="178" spans="1:19" x14ac:dyDescent="0.25">
      <c r="A178" s="63" t="s">
        <v>323</v>
      </c>
      <c r="B178" s="63" t="s">
        <v>405</v>
      </c>
      <c r="C178" s="63" t="s">
        <v>879</v>
      </c>
      <c r="D178" s="63" t="s">
        <v>880</v>
      </c>
      <c r="E178" s="63" t="s">
        <v>854</v>
      </c>
      <c r="F178" s="63" t="s">
        <v>918</v>
      </c>
      <c r="G178" s="63" t="s">
        <v>1201</v>
      </c>
      <c r="H178" s="63" t="s">
        <v>883</v>
      </c>
      <c r="I178" s="65"/>
      <c r="J178" s="64">
        <v>41131</v>
      </c>
      <c r="K178" s="64">
        <v>42113</v>
      </c>
      <c r="L178" s="63" t="s">
        <v>852</v>
      </c>
      <c r="M178" s="63" t="s">
        <v>947</v>
      </c>
      <c r="N178" s="63" t="s">
        <v>1202</v>
      </c>
      <c r="O178" s="63" t="s">
        <v>886</v>
      </c>
      <c r="P178" s="63" t="s">
        <v>887</v>
      </c>
      <c r="Q178" s="63" t="s">
        <v>888</v>
      </c>
      <c r="R178" s="63" t="s">
        <v>860</v>
      </c>
      <c r="S178" s="66" t="s">
        <v>852</v>
      </c>
    </row>
    <row r="179" spans="1:19" x14ac:dyDescent="0.25">
      <c r="A179" s="67" t="s">
        <v>323</v>
      </c>
      <c r="B179" s="67" t="s">
        <v>405</v>
      </c>
      <c r="C179" s="67" t="s">
        <v>879</v>
      </c>
      <c r="D179" s="67" t="s">
        <v>880</v>
      </c>
      <c r="E179" s="67" t="s">
        <v>854</v>
      </c>
      <c r="F179" s="67" t="s">
        <v>918</v>
      </c>
      <c r="G179" s="67" t="s">
        <v>1201</v>
      </c>
      <c r="H179" s="67" t="s">
        <v>923</v>
      </c>
      <c r="I179" s="68">
        <v>42114</v>
      </c>
      <c r="J179" s="68">
        <v>42114</v>
      </c>
      <c r="K179" s="68">
        <v>44566</v>
      </c>
      <c r="L179" s="69"/>
      <c r="M179" s="67" t="s">
        <v>884</v>
      </c>
      <c r="N179" s="67" t="s">
        <v>1202</v>
      </c>
      <c r="O179" s="67" t="s">
        <v>886</v>
      </c>
      <c r="P179" s="67" t="s">
        <v>887</v>
      </c>
      <c r="Q179" s="67" t="s">
        <v>888</v>
      </c>
      <c r="R179" s="67" t="s">
        <v>860</v>
      </c>
      <c r="S179" s="71"/>
    </row>
    <row r="180" spans="1:19" x14ac:dyDescent="0.25">
      <c r="A180" s="63" t="s">
        <v>323</v>
      </c>
      <c r="B180" s="63" t="s">
        <v>405</v>
      </c>
      <c r="C180" s="63" t="s">
        <v>879</v>
      </c>
      <c r="D180" s="63" t="s">
        <v>880</v>
      </c>
      <c r="E180" s="63" t="s">
        <v>854</v>
      </c>
      <c r="F180" s="63" t="s">
        <v>918</v>
      </c>
      <c r="G180" s="63" t="s">
        <v>1203</v>
      </c>
      <c r="H180" s="63" t="s">
        <v>923</v>
      </c>
      <c r="I180" s="64">
        <v>42114</v>
      </c>
      <c r="J180" s="64">
        <v>42114</v>
      </c>
      <c r="K180" s="64">
        <v>44566</v>
      </c>
      <c r="L180" s="65"/>
      <c r="M180" s="63" t="s">
        <v>884</v>
      </c>
      <c r="N180" s="63" t="s">
        <v>1204</v>
      </c>
      <c r="O180" s="63" t="s">
        <v>886</v>
      </c>
      <c r="P180" s="63" t="s">
        <v>887</v>
      </c>
      <c r="Q180" s="63" t="s">
        <v>888</v>
      </c>
      <c r="R180" s="63" t="s">
        <v>860</v>
      </c>
      <c r="S180" s="72"/>
    </row>
    <row r="181" spans="1:19" x14ac:dyDescent="0.25">
      <c r="A181" s="67" t="s">
        <v>323</v>
      </c>
      <c r="B181" s="67" t="s">
        <v>405</v>
      </c>
      <c r="C181" s="67" t="s">
        <v>879</v>
      </c>
      <c r="D181" s="67" t="s">
        <v>880</v>
      </c>
      <c r="E181" s="67" t="s">
        <v>854</v>
      </c>
      <c r="F181" s="67" t="s">
        <v>918</v>
      </c>
      <c r="G181" s="67" t="s">
        <v>1205</v>
      </c>
      <c r="H181" s="67" t="s">
        <v>883</v>
      </c>
      <c r="I181" s="69"/>
      <c r="J181" s="68">
        <v>41131</v>
      </c>
      <c r="K181" s="68">
        <v>44071</v>
      </c>
      <c r="L181" s="69"/>
      <c r="M181" s="67" t="s">
        <v>947</v>
      </c>
      <c r="N181" s="67" t="s">
        <v>1206</v>
      </c>
      <c r="O181" s="67" t="s">
        <v>886</v>
      </c>
      <c r="P181" s="67" t="s">
        <v>887</v>
      </c>
      <c r="Q181" s="67" t="s">
        <v>888</v>
      </c>
      <c r="R181" s="67" t="s">
        <v>860</v>
      </c>
      <c r="S181" s="70" t="s">
        <v>852</v>
      </c>
    </row>
    <row r="182" spans="1:19" x14ac:dyDescent="0.25">
      <c r="A182" s="63" t="s">
        <v>323</v>
      </c>
      <c r="B182" s="63" t="s">
        <v>405</v>
      </c>
      <c r="C182" s="63" t="s">
        <v>879</v>
      </c>
      <c r="D182" s="63" t="s">
        <v>880</v>
      </c>
      <c r="E182" s="63" t="s">
        <v>854</v>
      </c>
      <c r="F182" s="63" t="s">
        <v>1207</v>
      </c>
      <c r="G182" s="63" t="s">
        <v>1208</v>
      </c>
      <c r="H182" s="63" t="s">
        <v>883</v>
      </c>
      <c r="I182" s="65"/>
      <c r="J182" s="64">
        <v>42114</v>
      </c>
      <c r="K182" s="64">
        <v>42810</v>
      </c>
      <c r="L182" s="65"/>
      <c r="M182" s="63" t="s">
        <v>920</v>
      </c>
      <c r="N182" s="63" t="s">
        <v>989</v>
      </c>
      <c r="O182" s="63" t="s">
        <v>886</v>
      </c>
      <c r="P182" s="63" t="s">
        <v>887</v>
      </c>
      <c r="Q182" s="63" t="s">
        <v>888</v>
      </c>
      <c r="R182" s="63" t="s">
        <v>860</v>
      </c>
      <c r="S182" s="66" t="s">
        <v>964</v>
      </c>
    </row>
    <row r="183" spans="1:19" x14ac:dyDescent="0.25">
      <c r="A183" s="67" t="s">
        <v>323</v>
      </c>
      <c r="B183" s="67" t="s">
        <v>405</v>
      </c>
      <c r="C183" s="67" t="s">
        <v>879</v>
      </c>
      <c r="D183" s="67" t="s">
        <v>880</v>
      </c>
      <c r="E183" s="67" t="s">
        <v>854</v>
      </c>
      <c r="F183" s="67" t="s">
        <v>1207</v>
      </c>
      <c r="G183" s="67" t="s">
        <v>1208</v>
      </c>
      <c r="H183" s="67" t="s">
        <v>923</v>
      </c>
      <c r="I183" s="68">
        <v>42811</v>
      </c>
      <c r="J183" s="68">
        <v>42811</v>
      </c>
      <c r="K183" s="68">
        <v>44566</v>
      </c>
      <c r="L183" s="69"/>
      <c r="M183" s="67" t="s">
        <v>965</v>
      </c>
      <c r="N183" s="67" t="s">
        <v>989</v>
      </c>
      <c r="O183" s="67" t="s">
        <v>886</v>
      </c>
      <c r="P183" s="67" t="s">
        <v>887</v>
      </c>
      <c r="Q183" s="67" t="s">
        <v>888</v>
      </c>
      <c r="R183" s="67" t="s">
        <v>860</v>
      </c>
      <c r="S183" s="71"/>
    </row>
    <row r="184" spans="1:19" x14ac:dyDescent="0.25">
      <c r="A184" s="63" t="s">
        <v>323</v>
      </c>
      <c r="B184" s="63" t="s">
        <v>405</v>
      </c>
      <c r="C184" s="63" t="s">
        <v>879</v>
      </c>
      <c r="D184" s="63" t="s">
        <v>880</v>
      </c>
      <c r="E184" s="63" t="s">
        <v>854</v>
      </c>
      <c r="F184" s="63" t="s">
        <v>1207</v>
      </c>
      <c r="G184" s="63" t="s">
        <v>1209</v>
      </c>
      <c r="H184" s="63" t="s">
        <v>883</v>
      </c>
      <c r="I184" s="65"/>
      <c r="J184" s="64">
        <v>42114</v>
      </c>
      <c r="K184" s="64">
        <v>44071</v>
      </c>
      <c r="L184" s="65"/>
      <c r="M184" s="63" t="s">
        <v>920</v>
      </c>
      <c r="N184" s="63" t="s">
        <v>1210</v>
      </c>
      <c r="O184" s="63" t="s">
        <v>886</v>
      </c>
      <c r="P184" s="63" t="s">
        <v>887</v>
      </c>
      <c r="Q184" s="63" t="s">
        <v>888</v>
      </c>
      <c r="R184" s="63" t="s">
        <v>860</v>
      </c>
      <c r="S184" s="66" t="s">
        <v>1026</v>
      </c>
    </row>
    <row r="185" spans="1:19" x14ac:dyDescent="0.25">
      <c r="A185" s="67" t="s">
        <v>323</v>
      </c>
      <c r="B185" s="67" t="s">
        <v>405</v>
      </c>
      <c r="C185" s="67" t="s">
        <v>879</v>
      </c>
      <c r="D185" s="67" t="s">
        <v>880</v>
      </c>
      <c r="E185" s="67" t="s">
        <v>854</v>
      </c>
      <c r="F185" s="67" t="s">
        <v>1207</v>
      </c>
      <c r="G185" s="67" t="s">
        <v>1211</v>
      </c>
      <c r="H185" s="67" t="s">
        <v>883</v>
      </c>
      <c r="I185" s="69"/>
      <c r="J185" s="68">
        <v>42114</v>
      </c>
      <c r="K185" s="68">
        <v>44071</v>
      </c>
      <c r="L185" s="69"/>
      <c r="M185" s="67" t="s">
        <v>920</v>
      </c>
      <c r="N185" s="67" t="s">
        <v>1212</v>
      </c>
      <c r="O185" s="67" t="s">
        <v>886</v>
      </c>
      <c r="P185" s="67" t="s">
        <v>887</v>
      </c>
      <c r="Q185" s="67" t="s">
        <v>888</v>
      </c>
      <c r="R185" s="67" t="s">
        <v>860</v>
      </c>
      <c r="S185" s="70" t="s">
        <v>1017</v>
      </c>
    </row>
    <row r="186" spans="1:19" x14ac:dyDescent="0.25">
      <c r="A186" s="78" t="s">
        <v>1213</v>
      </c>
      <c r="B186" s="78"/>
      <c r="C186" s="78"/>
      <c r="D186" s="78"/>
      <c r="E186" s="78"/>
      <c r="F186" s="78"/>
      <c r="G186" s="78"/>
      <c r="H186" s="78"/>
      <c r="I186" s="78"/>
      <c r="J186" s="78"/>
      <c r="K186" s="78"/>
      <c r="L186" s="78"/>
      <c r="M186" s="78"/>
      <c r="N186" s="78"/>
      <c r="O186" s="78"/>
      <c r="P186" s="78"/>
      <c r="Q186" s="78"/>
      <c r="R186" s="78"/>
      <c r="S186" s="78"/>
    </row>
  </sheetData>
  <mergeCells count="1">
    <mergeCell ref="A186:S186"/>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1ECC5-538E-4E13-BB31-C5693CBF3A9C}">
  <sheetPr codeName="Sheet4"/>
  <dimension ref="A1:F696"/>
  <sheetViews>
    <sheetView workbookViewId="0">
      <selection activeCell="A7" sqref="A7"/>
    </sheetView>
  </sheetViews>
  <sheetFormatPr defaultRowHeight="15" x14ac:dyDescent="0.25"/>
  <cols>
    <col min="1" max="1" width="37.7109375" customWidth="1"/>
    <col min="3" max="3" width="57.7109375" customWidth="1"/>
    <col min="4" max="4" width="66.85546875" customWidth="1"/>
    <col min="5" max="5" width="58.5703125" customWidth="1"/>
  </cols>
  <sheetData>
    <row r="1" spans="1:6" x14ac:dyDescent="0.25">
      <c r="A1" s="12" t="s">
        <v>74</v>
      </c>
      <c r="B1" s="12" t="s">
        <v>751</v>
      </c>
      <c r="C1" s="12" t="s">
        <v>421</v>
      </c>
      <c r="D1" s="12" t="s">
        <v>22</v>
      </c>
      <c r="E1" s="12" t="s">
        <v>702</v>
      </c>
      <c r="F1" s="12"/>
    </row>
    <row r="2" spans="1:6" x14ac:dyDescent="0.25">
      <c r="A2" s="16" t="s">
        <v>75</v>
      </c>
      <c r="B2" t="s">
        <v>752</v>
      </c>
      <c r="C2" s="25" t="s">
        <v>102</v>
      </c>
      <c r="D2" t="s">
        <v>422</v>
      </c>
      <c r="E2" t="s">
        <v>703</v>
      </c>
    </row>
    <row r="3" spans="1:6" x14ac:dyDescent="0.25">
      <c r="A3" s="13" t="s">
        <v>76</v>
      </c>
      <c r="B3" t="s">
        <v>753</v>
      </c>
      <c r="C3" s="25" t="s">
        <v>103</v>
      </c>
      <c r="D3" t="s">
        <v>423</v>
      </c>
      <c r="E3" t="s">
        <v>704</v>
      </c>
    </row>
    <row r="4" spans="1:6" x14ac:dyDescent="0.25">
      <c r="A4" s="14" t="s">
        <v>77</v>
      </c>
      <c r="B4" t="s">
        <v>754</v>
      </c>
      <c r="C4" s="25" t="s">
        <v>104</v>
      </c>
      <c r="D4" t="s">
        <v>424</v>
      </c>
      <c r="E4" t="s">
        <v>705</v>
      </c>
    </row>
    <row r="5" spans="1:6" x14ac:dyDescent="0.25">
      <c r="A5" s="15" t="s">
        <v>78</v>
      </c>
      <c r="B5" t="s">
        <v>755</v>
      </c>
      <c r="C5" s="25" t="s">
        <v>105</v>
      </c>
      <c r="D5" t="s">
        <v>425</v>
      </c>
      <c r="E5" t="s">
        <v>706</v>
      </c>
    </row>
    <row r="6" spans="1:6" x14ac:dyDescent="0.25">
      <c r="A6" s="32" t="s">
        <v>760</v>
      </c>
      <c r="B6" t="s">
        <v>756</v>
      </c>
      <c r="C6" s="25" t="s">
        <v>106</v>
      </c>
      <c r="D6" t="s">
        <v>426</v>
      </c>
      <c r="E6" t="s">
        <v>707</v>
      </c>
    </row>
    <row r="7" spans="1:6" x14ac:dyDescent="0.25">
      <c r="A7" s="31" t="s">
        <v>759</v>
      </c>
      <c r="C7" s="25" t="s">
        <v>107</v>
      </c>
      <c r="D7" t="s">
        <v>427</v>
      </c>
      <c r="E7" t="s">
        <v>708</v>
      </c>
    </row>
    <row r="8" spans="1:6" x14ac:dyDescent="0.25">
      <c r="C8" s="25" t="s">
        <v>108</v>
      </c>
      <c r="D8" t="s">
        <v>428</v>
      </c>
      <c r="E8" t="s">
        <v>709</v>
      </c>
    </row>
    <row r="9" spans="1:6" x14ac:dyDescent="0.25">
      <c r="C9" s="25" t="s">
        <v>109</v>
      </c>
      <c r="D9" t="s">
        <v>429</v>
      </c>
      <c r="E9" t="s">
        <v>710</v>
      </c>
    </row>
    <row r="10" spans="1:6" x14ac:dyDescent="0.25">
      <c r="C10" s="25" t="s">
        <v>110</v>
      </c>
      <c r="D10" t="s">
        <v>430</v>
      </c>
      <c r="E10" t="s">
        <v>711</v>
      </c>
    </row>
    <row r="11" spans="1:6" x14ac:dyDescent="0.25">
      <c r="C11" s="25" t="s">
        <v>111</v>
      </c>
      <c r="D11" t="s">
        <v>431</v>
      </c>
      <c r="E11" t="s">
        <v>712</v>
      </c>
    </row>
    <row r="12" spans="1:6" x14ac:dyDescent="0.25">
      <c r="C12" s="25" t="s">
        <v>112</v>
      </c>
      <c r="D12" t="s">
        <v>432</v>
      </c>
      <c r="E12" t="s">
        <v>713</v>
      </c>
    </row>
    <row r="13" spans="1:6" x14ac:dyDescent="0.25">
      <c r="C13" s="25" t="s">
        <v>113</v>
      </c>
      <c r="D13" t="s">
        <v>433</v>
      </c>
      <c r="E13" t="s">
        <v>714</v>
      </c>
    </row>
    <row r="14" spans="1:6" x14ac:dyDescent="0.25">
      <c r="C14" s="25" t="s">
        <v>114</v>
      </c>
      <c r="D14" t="s">
        <v>434</v>
      </c>
      <c r="E14" t="s">
        <v>715</v>
      </c>
    </row>
    <row r="15" spans="1:6" x14ac:dyDescent="0.25">
      <c r="C15" s="25" t="s">
        <v>115</v>
      </c>
      <c r="D15" t="s">
        <v>435</v>
      </c>
      <c r="E15" t="s">
        <v>716</v>
      </c>
    </row>
    <row r="16" spans="1:6" x14ac:dyDescent="0.25">
      <c r="C16" s="25" t="s">
        <v>240</v>
      </c>
      <c r="D16" t="s">
        <v>436</v>
      </c>
      <c r="E16" t="s">
        <v>717</v>
      </c>
    </row>
    <row r="17" spans="3:5" x14ac:dyDescent="0.25">
      <c r="C17" s="25" t="s">
        <v>302</v>
      </c>
      <c r="D17" t="s">
        <v>437</v>
      </c>
      <c r="E17" t="s">
        <v>718</v>
      </c>
    </row>
    <row r="18" spans="3:5" x14ac:dyDescent="0.25">
      <c r="C18" s="25" t="s">
        <v>303</v>
      </c>
      <c r="D18" t="s">
        <v>438</v>
      </c>
      <c r="E18" t="s">
        <v>719</v>
      </c>
    </row>
    <row r="19" spans="3:5" x14ac:dyDescent="0.25">
      <c r="C19" s="25" t="s">
        <v>297</v>
      </c>
      <c r="D19" t="s">
        <v>439</v>
      </c>
      <c r="E19" t="s">
        <v>720</v>
      </c>
    </row>
    <row r="20" spans="3:5" x14ac:dyDescent="0.25">
      <c r="C20" s="25" t="s">
        <v>323</v>
      </c>
      <c r="D20" t="s">
        <v>440</v>
      </c>
      <c r="E20" t="s">
        <v>721</v>
      </c>
    </row>
    <row r="21" spans="3:5" x14ac:dyDescent="0.25">
      <c r="C21" s="25" t="s">
        <v>324</v>
      </c>
      <c r="D21" t="s">
        <v>441</v>
      </c>
      <c r="E21" t="s">
        <v>722</v>
      </c>
    </row>
    <row r="22" spans="3:5" x14ac:dyDescent="0.25">
      <c r="C22" s="25" t="s">
        <v>325</v>
      </c>
      <c r="D22" t="s">
        <v>442</v>
      </c>
      <c r="E22" t="s">
        <v>723</v>
      </c>
    </row>
    <row r="23" spans="3:5" x14ac:dyDescent="0.25">
      <c r="C23" s="25" t="s">
        <v>326</v>
      </c>
      <c r="D23" t="s">
        <v>443</v>
      </c>
      <c r="E23" t="s">
        <v>724</v>
      </c>
    </row>
    <row r="24" spans="3:5" x14ac:dyDescent="0.25">
      <c r="C24" s="25" t="s">
        <v>327</v>
      </c>
      <c r="D24" t="s">
        <v>444</v>
      </c>
      <c r="E24" t="s">
        <v>725</v>
      </c>
    </row>
    <row r="25" spans="3:5" x14ac:dyDescent="0.25">
      <c r="C25" s="25" t="s">
        <v>328</v>
      </c>
      <c r="D25" t="s">
        <v>445</v>
      </c>
      <c r="E25" t="s">
        <v>726</v>
      </c>
    </row>
    <row r="26" spans="3:5" x14ac:dyDescent="0.25">
      <c r="C26" s="25" t="s">
        <v>329</v>
      </c>
      <c r="D26" t="s">
        <v>446</v>
      </c>
      <c r="E26" t="s">
        <v>724</v>
      </c>
    </row>
    <row r="27" spans="3:5" x14ac:dyDescent="0.25">
      <c r="C27" s="25" t="s">
        <v>330</v>
      </c>
      <c r="D27" t="s">
        <v>447</v>
      </c>
      <c r="E27" t="s">
        <v>727</v>
      </c>
    </row>
    <row r="28" spans="3:5" x14ac:dyDescent="0.25">
      <c r="C28" s="25" t="s">
        <v>331</v>
      </c>
      <c r="D28" t="s">
        <v>448</v>
      </c>
      <c r="E28" t="s">
        <v>728</v>
      </c>
    </row>
    <row r="29" spans="3:5" x14ac:dyDescent="0.25">
      <c r="C29" s="25" t="s">
        <v>332</v>
      </c>
      <c r="D29" t="s">
        <v>449</v>
      </c>
      <c r="E29" t="s">
        <v>729</v>
      </c>
    </row>
    <row r="30" spans="3:5" x14ac:dyDescent="0.25">
      <c r="C30" s="25" t="s">
        <v>333</v>
      </c>
      <c r="D30" t="s">
        <v>450</v>
      </c>
      <c r="E30" t="s">
        <v>730</v>
      </c>
    </row>
    <row r="31" spans="3:5" x14ac:dyDescent="0.25">
      <c r="C31" s="25" t="s">
        <v>334</v>
      </c>
      <c r="D31" t="s">
        <v>451</v>
      </c>
      <c r="E31" s="19" t="s">
        <v>731</v>
      </c>
    </row>
    <row r="32" spans="3:5" x14ac:dyDescent="0.25">
      <c r="C32" s="25" t="s">
        <v>335</v>
      </c>
      <c r="D32" t="s">
        <v>452</v>
      </c>
      <c r="E32" s="19" t="s">
        <v>732</v>
      </c>
    </row>
    <row r="33" spans="3:5" x14ac:dyDescent="0.25">
      <c r="C33" s="25" t="s">
        <v>336</v>
      </c>
      <c r="D33" t="s">
        <v>453</v>
      </c>
      <c r="E33" s="19" t="s">
        <v>733</v>
      </c>
    </row>
    <row r="34" spans="3:5" x14ac:dyDescent="0.25">
      <c r="C34" s="25" t="s">
        <v>337</v>
      </c>
      <c r="D34" t="s">
        <v>454</v>
      </c>
      <c r="E34" s="20" t="s">
        <v>734</v>
      </c>
    </row>
    <row r="35" spans="3:5" x14ac:dyDescent="0.25">
      <c r="C35" s="25" t="s">
        <v>338</v>
      </c>
      <c r="D35" t="s">
        <v>455</v>
      </c>
      <c r="E35" s="21" t="s">
        <v>735</v>
      </c>
    </row>
    <row r="36" spans="3:5" x14ac:dyDescent="0.25">
      <c r="C36" s="25" t="s">
        <v>339</v>
      </c>
      <c r="D36" t="s">
        <v>456</v>
      </c>
      <c r="E36" s="20" t="s">
        <v>736</v>
      </c>
    </row>
    <row r="37" spans="3:5" x14ac:dyDescent="0.25">
      <c r="C37" s="25" t="s">
        <v>340</v>
      </c>
      <c r="D37" t="s">
        <v>457</v>
      </c>
      <c r="E37" s="20" t="s">
        <v>737</v>
      </c>
    </row>
    <row r="38" spans="3:5" x14ac:dyDescent="0.25">
      <c r="C38" s="25" t="s">
        <v>341</v>
      </c>
      <c r="D38" t="s">
        <v>458</v>
      </c>
      <c r="E38" s="20" t="s">
        <v>738</v>
      </c>
    </row>
    <row r="39" spans="3:5" x14ac:dyDescent="0.25">
      <c r="C39" s="25" t="s">
        <v>342</v>
      </c>
      <c r="D39" t="s">
        <v>459</v>
      </c>
      <c r="E39" s="22" t="s">
        <v>739</v>
      </c>
    </row>
    <row r="40" spans="3:5" x14ac:dyDescent="0.25">
      <c r="C40" s="25" t="s">
        <v>343</v>
      </c>
      <c r="D40" t="s">
        <v>460</v>
      </c>
      <c r="E40" s="22" t="s">
        <v>740</v>
      </c>
    </row>
    <row r="41" spans="3:5" x14ac:dyDescent="0.25">
      <c r="C41" s="25" t="s">
        <v>344</v>
      </c>
      <c r="D41" t="s">
        <v>461</v>
      </c>
      <c r="E41" s="22" t="s">
        <v>743</v>
      </c>
    </row>
    <row r="42" spans="3:5" x14ac:dyDescent="0.25">
      <c r="C42" s="25" t="s">
        <v>345</v>
      </c>
      <c r="D42" t="s">
        <v>462</v>
      </c>
      <c r="E42" s="23" t="s">
        <v>741</v>
      </c>
    </row>
    <row r="43" spans="3:5" x14ac:dyDescent="0.25">
      <c r="C43" s="25" t="s">
        <v>346</v>
      </c>
      <c r="D43" t="s">
        <v>463</v>
      </c>
      <c r="E43" s="24" t="s">
        <v>742</v>
      </c>
    </row>
    <row r="44" spans="3:5" x14ac:dyDescent="0.25">
      <c r="C44" s="25" t="s">
        <v>347</v>
      </c>
      <c r="D44" t="s">
        <v>464</v>
      </c>
      <c r="E44" t="s">
        <v>744</v>
      </c>
    </row>
    <row r="45" spans="3:5" x14ac:dyDescent="0.25">
      <c r="C45" s="25" t="s">
        <v>348</v>
      </c>
      <c r="D45" t="s">
        <v>465</v>
      </c>
      <c r="E45" t="s">
        <v>745</v>
      </c>
    </row>
    <row r="46" spans="3:5" x14ac:dyDescent="0.25">
      <c r="C46" s="25" t="s">
        <v>349</v>
      </c>
      <c r="D46" t="s">
        <v>466</v>
      </c>
      <c r="E46" t="s">
        <v>746</v>
      </c>
    </row>
    <row r="47" spans="3:5" x14ac:dyDescent="0.25">
      <c r="C47" s="25" t="s">
        <v>350</v>
      </c>
      <c r="D47" t="s">
        <v>467</v>
      </c>
      <c r="E47" t="s">
        <v>747</v>
      </c>
    </row>
    <row r="48" spans="3:5" x14ac:dyDescent="0.25">
      <c r="C48" s="25" t="s">
        <v>351</v>
      </c>
      <c r="D48" t="s">
        <v>468</v>
      </c>
      <c r="E48" t="s">
        <v>748</v>
      </c>
    </row>
    <row r="49" spans="3:4" x14ac:dyDescent="0.25">
      <c r="C49" s="25" t="s">
        <v>352</v>
      </c>
      <c r="D49" t="s">
        <v>469</v>
      </c>
    </row>
    <row r="50" spans="3:4" x14ac:dyDescent="0.25">
      <c r="C50" s="25" t="s">
        <v>353</v>
      </c>
      <c r="D50" t="s">
        <v>470</v>
      </c>
    </row>
    <row r="51" spans="3:4" x14ac:dyDescent="0.25">
      <c r="C51" s="25" t="s">
        <v>354</v>
      </c>
      <c r="D51" t="s">
        <v>471</v>
      </c>
    </row>
    <row r="52" spans="3:4" x14ac:dyDescent="0.25">
      <c r="C52" s="25" t="s">
        <v>355</v>
      </c>
      <c r="D52" t="s">
        <v>472</v>
      </c>
    </row>
    <row r="53" spans="3:4" x14ac:dyDescent="0.25">
      <c r="C53" s="25" t="s">
        <v>356</v>
      </c>
      <c r="D53" t="s">
        <v>473</v>
      </c>
    </row>
    <row r="54" spans="3:4" x14ac:dyDescent="0.25">
      <c r="C54" s="25" t="s">
        <v>357</v>
      </c>
      <c r="D54" t="s">
        <v>474</v>
      </c>
    </row>
    <row r="55" spans="3:4" x14ac:dyDescent="0.25">
      <c r="C55" s="25" t="s">
        <v>358</v>
      </c>
      <c r="D55" t="s">
        <v>475</v>
      </c>
    </row>
    <row r="56" spans="3:4" x14ac:dyDescent="0.25">
      <c r="C56" s="25" t="s">
        <v>359</v>
      </c>
      <c r="D56" t="s">
        <v>476</v>
      </c>
    </row>
    <row r="57" spans="3:4" x14ac:dyDescent="0.25">
      <c r="C57" s="25" t="s">
        <v>360</v>
      </c>
      <c r="D57" t="s">
        <v>477</v>
      </c>
    </row>
    <row r="58" spans="3:4" x14ac:dyDescent="0.25">
      <c r="C58" s="25" t="s">
        <v>361</v>
      </c>
      <c r="D58" t="s">
        <v>478</v>
      </c>
    </row>
    <row r="59" spans="3:4" x14ac:dyDescent="0.25">
      <c r="C59" s="25" t="s">
        <v>362</v>
      </c>
      <c r="D59" t="s">
        <v>479</v>
      </c>
    </row>
    <row r="60" spans="3:4" x14ac:dyDescent="0.25">
      <c r="C60" s="25" t="s">
        <v>363</v>
      </c>
      <c r="D60" t="s">
        <v>480</v>
      </c>
    </row>
    <row r="61" spans="3:4" x14ac:dyDescent="0.25">
      <c r="C61" s="25" t="s">
        <v>364</v>
      </c>
      <c r="D61" t="s">
        <v>481</v>
      </c>
    </row>
    <row r="62" spans="3:4" x14ac:dyDescent="0.25">
      <c r="C62" s="25" t="s">
        <v>365</v>
      </c>
      <c r="D62" t="s">
        <v>482</v>
      </c>
    </row>
    <row r="63" spans="3:4" x14ac:dyDescent="0.25">
      <c r="C63" s="25" t="s">
        <v>366</v>
      </c>
      <c r="D63" t="s">
        <v>483</v>
      </c>
    </row>
    <row r="64" spans="3:4" x14ac:dyDescent="0.25">
      <c r="C64" s="25" t="s">
        <v>367</v>
      </c>
      <c r="D64" t="s">
        <v>484</v>
      </c>
    </row>
    <row r="65" spans="3:4" x14ac:dyDescent="0.25">
      <c r="C65" s="25" t="s">
        <v>368</v>
      </c>
      <c r="D65" t="s">
        <v>485</v>
      </c>
    </row>
    <row r="66" spans="3:4" x14ac:dyDescent="0.25">
      <c r="C66" s="25" t="s">
        <v>369</v>
      </c>
      <c r="D66" t="s">
        <v>486</v>
      </c>
    </row>
    <row r="67" spans="3:4" x14ac:dyDescent="0.25">
      <c r="C67" s="25" t="s">
        <v>370</v>
      </c>
      <c r="D67" t="s">
        <v>487</v>
      </c>
    </row>
    <row r="68" spans="3:4" x14ac:dyDescent="0.25">
      <c r="C68" s="25" t="s">
        <v>371</v>
      </c>
      <c r="D68" t="s">
        <v>488</v>
      </c>
    </row>
    <row r="69" spans="3:4" x14ac:dyDescent="0.25">
      <c r="C69" s="25" t="s">
        <v>372</v>
      </c>
      <c r="D69" t="s">
        <v>489</v>
      </c>
    </row>
    <row r="70" spans="3:4" x14ac:dyDescent="0.25">
      <c r="C70" s="25" t="s">
        <v>373</v>
      </c>
      <c r="D70" t="s">
        <v>490</v>
      </c>
    </row>
    <row r="71" spans="3:4" x14ac:dyDescent="0.25">
      <c r="C71" s="25" t="s">
        <v>374</v>
      </c>
      <c r="D71" t="s">
        <v>491</v>
      </c>
    </row>
    <row r="72" spans="3:4" x14ac:dyDescent="0.25">
      <c r="C72" s="25" t="s">
        <v>375</v>
      </c>
      <c r="D72" t="s">
        <v>492</v>
      </c>
    </row>
    <row r="73" spans="3:4" x14ac:dyDescent="0.25">
      <c r="C73" s="25" t="s">
        <v>376</v>
      </c>
      <c r="D73" t="s">
        <v>493</v>
      </c>
    </row>
    <row r="74" spans="3:4" x14ac:dyDescent="0.25">
      <c r="C74" s="25" t="s">
        <v>377</v>
      </c>
      <c r="D74" t="s">
        <v>494</v>
      </c>
    </row>
    <row r="75" spans="3:4" x14ac:dyDescent="0.25">
      <c r="C75" s="25" t="s">
        <v>378</v>
      </c>
      <c r="D75" t="s">
        <v>495</v>
      </c>
    </row>
    <row r="76" spans="3:4" x14ac:dyDescent="0.25">
      <c r="C76" s="25" t="s">
        <v>379</v>
      </c>
      <c r="D76" t="s">
        <v>496</v>
      </c>
    </row>
    <row r="77" spans="3:4" x14ac:dyDescent="0.25">
      <c r="C77" s="25" t="s">
        <v>380</v>
      </c>
      <c r="D77" t="s">
        <v>497</v>
      </c>
    </row>
    <row r="78" spans="3:4" x14ac:dyDescent="0.25">
      <c r="C78" s="25" t="s">
        <v>381</v>
      </c>
      <c r="D78" t="s">
        <v>498</v>
      </c>
    </row>
    <row r="79" spans="3:4" x14ac:dyDescent="0.25">
      <c r="C79" s="25" t="s">
        <v>382</v>
      </c>
      <c r="D79" t="s">
        <v>499</v>
      </c>
    </row>
    <row r="80" spans="3:4" x14ac:dyDescent="0.25">
      <c r="C80" s="25" t="s">
        <v>383</v>
      </c>
      <c r="D80" t="s">
        <v>500</v>
      </c>
    </row>
    <row r="81" spans="3:4" x14ac:dyDescent="0.25">
      <c r="C81" s="25" t="s">
        <v>384</v>
      </c>
      <c r="D81" t="s">
        <v>501</v>
      </c>
    </row>
    <row r="82" spans="3:4" x14ac:dyDescent="0.25">
      <c r="C82" s="25" t="s">
        <v>385</v>
      </c>
      <c r="D82" t="s">
        <v>502</v>
      </c>
    </row>
    <row r="83" spans="3:4" x14ac:dyDescent="0.25">
      <c r="C83" s="25" t="s">
        <v>386</v>
      </c>
      <c r="D83" t="s">
        <v>503</v>
      </c>
    </row>
    <row r="84" spans="3:4" x14ac:dyDescent="0.25">
      <c r="C84" s="25" t="s">
        <v>387</v>
      </c>
      <c r="D84" t="s">
        <v>504</v>
      </c>
    </row>
    <row r="85" spans="3:4" x14ac:dyDescent="0.25">
      <c r="C85" s="25" t="s">
        <v>388</v>
      </c>
      <c r="D85" t="s">
        <v>505</v>
      </c>
    </row>
    <row r="86" spans="3:4" x14ac:dyDescent="0.25">
      <c r="C86" s="25" t="s">
        <v>389</v>
      </c>
      <c r="D86" t="s">
        <v>506</v>
      </c>
    </row>
    <row r="87" spans="3:4" x14ac:dyDescent="0.25">
      <c r="C87" s="25" t="s">
        <v>390</v>
      </c>
      <c r="D87" t="s">
        <v>507</v>
      </c>
    </row>
    <row r="88" spans="3:4" x14ac:dyDescent="0.25">
      <c r="C88" s="25" t="s">
        <v>391</v>
      </c>
      <c r="D88" t="s">
        <v>508</v>
      </c>
    </row>
    <row r="89" spans="3:4" x14ac:dyDescent="0.25">
      <c r="C89" s="25" t="s">
        <v>392</v>
      </c>
      <c r="D89" t="s">
        <v>509</v>
      </c>
    </row>
    <row r="90" spans="3:4" x14ac:dyDescent="0.25">
      <c r="C90" s="25" t="s">
        <v>393</v>
      </c>
      <c r="D90" t="s">
        <v>510</v>
      </c>
    </row>
    <row r="91" spans="3:4" x14ac:dyDescent="0.25">
      <c r="C91" s="25" t="s">
        <v>394</v>
      </c>
      <c r="D91" t="s">
        <v>511</v>
      </c>
    </row>
    <row r="92" spans="3:4" x14ac:dyDescent="0.25">
      <c r="C92" s="25" t="s">
        <v>395</v>
      </c>
      <c r="D92" t="s">
        <v>512</v>
      </c>
    </row>
    <row r="93" spans="3:4" x14ac:dyDescent="0.25">
      <c r="C93" s="25" t="s">
        <v>396</v>
      </c>
      <c r="D93" t="s">
        <v>513</v>
      </c>
    </row>
    <row r="94" spans="3:4" x14ac:dyDescent="0.25">
      <c r="C94" s="25" t="s">
        <v>397</v>
      </c>
      <c r="D94" t="s">
        <v>514</v>
      </c>
    </row>
    <row r="95" spans="3:4" x14ac:dyDescent="0.25">
      <c r="C95" s="25" t="s">
        <v>398</v>
      </c>
      <c r="D95" t="s">
        <v>515</v>
      </c>
    </row>
    <row r="96" spans="3:4" x14ac:dyDescent="0.25">
      <c r="C96" s="25" t="s">
        <v>399</v>
      </c>
      <c r="D96" t="s">
        <v>516</v>
      </c>
    </row>
    <row r="97" spans="3:4" x14ac:dyDescent="0.25">
      <c r="C97" s="25" t="s">
        <v>400</v>
      </c>
      <c r="D97" t="s">
        <v>517</v>
      </c>
    </row>
    <row r="98" spans="3:4" x14ac:dyDescent="0.25">
      <c r="C98" s="25" t="s">
        <v>401</v>
      </c>
      <c r="D98" t="s">
        <v>518</v>
      </c>
    </row>
    <row r="99" spans="3:4" x14ac:dyDescent="0.25">
      <c r="C99" s="25" t="s">
        <v>402</v>
      </c>
      <c r="D99" t="s">
        <v>519</v>
      </c>
    </row>
    <row r="100" spans="3:4" x14ac:dyDescent="0.25">
      <c r="C100" s="25" t="s">
        <v>403</v>
      </c>
      <c r="D100" t="s">
        <v>520</v>
      </c>
    </row>
    <row r="101" spans="3:4" x14ac:dyDescent="0.25">
      <c r="C101" s="25" t="s">
        <v>404</v>
      </c>
      <c r="D101" t="s">
        <v>521</v>
      </c>
    </row>
    <row r="102" spans="3:4" x14ac:dyDescent="0.25">
      <c r="C102" s="25" t="s">
        <v>405</v>
      </c>
      <c r="D102" t="s">
        <v>522</v>
      </c>
    </row>
    <row r="103" spans="3:4" x14ac:dyDescent="0.25">
      <c r="C103" s="25" t="s">
        <v>406</v>
      </c>
      <c r="D103" t="s">
        <v>523</v>
      </c>
    </row>
    <row r="104" spans="3:4" x14ac:dyDescent="0.25">
      <c r="C104" s="25" t="s">
        <v>407</v>
      </c>
      <c r="D104" t="s">
        <v>524</v>
      </c>
    </row>
    <row r="105" spans="3:4" x14ac:dyDescent="0.25">
      <c r="C105" s="25" t="s">
        <v>408</v>
      </c>
      <c r="D105" t="s">
        <v>525</v>
      </c>
    </row>
    <row r="106" spans="3:4" x14ac:dyDescent="0.25">
      <c r="C106" s="25" t="s">
        <v>409</v>
      </c>
      <c r="D106" t="s">
        <v>526</v>
      </c>
    </row>
    <row r="107" spans="3:4" x14ac:dyDescent="0.25">
      <c r="C107" s="25" t="s">
        <v>410</v>
      </c>
      <c r="D107" t="s">
        <v>527</v>
      </c>
    </row>
    <row r="108" spans="3:4" x14ac:dyDescent="0.25">
      <c r="C108" s="25" t="s">
        <v>411</v>
      </c>
      <c r="D108" t="s">
        <v>528</v>
      </c>
    </row>
    <row r="109" spans="3:4" x14ac:dyDescent="0.25">
      <c r="C109" s="25" t="s">
        <v>412</v>
      </c>
      <c r="D109" t="s">
        <v>529</v>
      </c>
    </row>
    <row r="110" spans="3:4" x14ac:dyDescent="0.25">
      <c r="C110" s="25" t="s">
        <v>413</v>
      </c>
      <c r="D110" t="s">
        <v>530</v>
      </c>
    </row>
    <row r="111" spans="3:4" x14ac:dyDescent="0.25">
      <c r="C111" s="25" t="s">
        <v>414</v>
      </c>
      <c r="D111" t="s">
        <v>531</v>
      </c>
    </row>
    <row r="112" spans="3:4" x14ac:dyDescent="0.25">
      <c r="C112" s="25" t="s">
        <v>415</v>
      </c>
      <c r="D112" t="s">
        <v>532</v>
      </c>
    </row>
    <row r="113" spans="3:4" x14ac:dyDescent="0.25">
      <c r="C113" s="25" t="s">
        <v>416</v>
      </c>
      <c r="D113" t="s">
        <v>533</v>
      </c>
    </row>
    <row r="114" spans="3:4" x14ac:dyDescent="0.25">
      <c r="C114" s="25" t="s">
        <v>417</v>
      </c>
      <c r="D114" t="s">
        <v>534</v>
      </c>
    </row>
    <row r="115" spans="3:4" x14ac:dyDescent="0.25">
      <c r="C115" s="26" t="s">
        <v>79</v>
      </c>
      <c r="D115" t="s">
        <v>535</v>
      </c>
    </row>
    <row r="116" spans="3:4" x14ac:dyDescent="0.25">
      <c r="C116" s="26" t="s">
        <v>80</v>
      </c>
      <c r="D116" t="s">
        <v>536</v>
      </c>
    </row>
    <row r="117" spans="3:4" x14ac:dyDescent="0.25">
      <c r="C117" s="26" t="s">
        <v>88</v>
      </c>
      <c r="D117" t="s">
        <v>537</v>
      </c>
    </row>
    <row r="118" spans="3:4" x14ac:dyDescent="0.25">
      <c r="C118" s="26" t="s">
        <v>89</v>
      </c>
      <c r="D118" t="s">
        <v>538</v>
      </c>
    </row>
    <row r="119" spans="3:4" x14ac:dyDescent="0.25">
      <c r="C119" s="26" t="s">
        <v>90</v>
      </c>
      <c r="D119" t="s">
        <v>539</v>
      </c>
    </row>
    <row r="120" spans="3:4" x14ac:dyDescent="0.25">
      <c r="C120" s="26" t="s">
        <v>91</v>
      </c>
      <c r="D120" t="s">
        <v>540</v>
      </c>
    </row>
    <row r="121" spans="3:4" x14ac:dyDescent="0.25">
      <c r="C121" s="26" t="s">
        <v>92</v>
      </c>
      <c r="D121" t="s">
        <v>541</v>
      </c>
    </row>
    <row r="122" spans="3:4" x14ac:dyDescent="0.25">
      <c r="C122" s="26" t="s">
        <v>93</v>
      </c>
      <c r="D122" t="s">
        <v>542</v>
      </c>
    </row>
    <row r="123" spans="3:4" x14ac:dyDescent="0.25">
      <c r="C123" s="26" t="s">
        <v>94</v>
      </c>
      <c r="D123" t="s">
        <v>543</v>
      </c>
    </row>
    <row r="124" spans="3:4" x14ac:dyDescent="0.25">
      <c r="C124" s="26" t="s">
        <v>95</v>
      </c>
      <c r="D124" t="s">
        <v>544</v>
      </c>
    </row>
    <row r="125" spans="3:4" x14ac:dyDescent="0.25">
      <c r="C125" s="26" t="s">
        <v>96</v>
      </c>
      <c r="D125" t="s">
        <v>545</v>
      </c>
    </row>
    <row r="126" spans="3:4" x14ac:dyDescent="0.25">
      <c r="C126" s="26" t="s">
        <v>97</v>
      </c>
      <c r="D126" t="s">
        <v>546</v>
      </c>
    </row>
    <row r="127" spans="3:4" x14ac:dyDescent="0.25">
      <c r="C127" s="26" t="s">
        <v>98</v>
      </c>
      <c r="D127" t="s">
        <v>547</v>
      </c>
    </row>
    <row r="128" spans="3:4" x14ac:dyDescent="0.25">
      <c r="C128" s="26" t="s">
        <v>99</v>
      </c>
      <c r="D128" t="s">
        <v>548</v>
      </c>
    </row>
    <row r="129" spans="3:4" x14ac:dyDescent="0.25">
      <c r="C129" s="26" t="s">
        <v>147</v>
      </c>
      <c r="D129" t="s">
        <v>549</v>
      </c>
    </row>
    <row r="130" spans="3:4" x14ac:dyDescent="0.25">
      <c r="C130" s="26" t="s">
        <v>148</v>
      </c>
      <c r="D130" t="s">
        <v>550</v>
      </c>
    </row>
    <row r="131" spans="3:4" x14ac:dyDescent="0.25">
      <c r="C131" s="26" t="s">
        <v>149</v>
      </c>
      <c r="D131" t="s">
        <v>551</v>
      </c>
    </row>
    <row r="132" spans="3:4" x14ac:dyDescent="0.25">
      <c r="C132" s="26" t="s">
        <v>150</v>
      </c>
      <c r="D132" t="s">
        <v>552</v>
      </c>
    </row>
    <row r="133" spans="3:4" x14ac:dyDescent="0.25">
      <c r="C133" s="26" t="s">
        <v>151</v>
      </c>
      <c r="D133" t="s">
        <v>553</v>
      </c>
    </row>
    <row r="134" spans="3:4" x14ac:dyDescent="0.25">
      <c r="C134" s="26" t="s">
        <v>152</v>
      </c>
      <c r="D134" t="s">
        <v>554</v>
      </c>
    </row>
    <row r="135" spans="3:4" x14ac:dyDescent="0.25">
      <c r="C135" s="26" t="s">
        <v>153</v>
      </c>
      <c r="D135" t="s">
        <v>555</v>
      </c>
    </row>
    <row r="136" spans="3:4" x14ac:dyDescent="0.25">
      <c r="C136" s="26" t="s">
        <v>154</v>
      </c>
      <c r="D136" t="s">
        <v>556</v>
      </c>
    </row>
    <row r="137" spans="3:4" x14ac:dyDescent="0.25">
      <c r="C137" s="26" t="s">
        <v>155</v>
      </c>
      <c r="D137" t="s">
        <v>557</v>
      </c>
    </row>
    <row r="138" spans="3:4" x14ac:dyDescent="0.25">
      <c r="C138" s="26" t="s">
        <v>156</v>
      </c>
      <c r="D138" t="s">
        <v>558</v>
      </c>
    </row>
    <row r="139" spans="3:4" x14ac:dyDescent="0.25">
      <c r="C139" s="26" t="s">
        <v>157</v>
      </c>
      <c r="D139" t="s">
        <v>559</v>
      </c>
    </row>
    <row r="140" spans="3:4" x14ac:dyDescent="0.25">
      <c r="C140" s="26" t="s">
        <v>158</v>
      </c>
      <c r="D140" t="s">
        <v>560</v>
      </c>
    </row>
    <row r="141" spans="3:4" x14ac:dyDescent="0.25">
      <c r="C141" s="26" t="s">
        <v>159</v>
      </c>
      <c r="D141" t="s">
        <v>561</v>
      </c>
    </row>
    <row r="142" spans="3:4" x14ac:dyDescent="0.25">
      <c r="C142" s="26" t="s">
        <v>160</v>
      </c>
      <c r="D142" t="s">
        <v>562</v>
      </c>
    </row>
    <row r="143" spans="3:4" x14ac:dyDescent="0.25">
      <c r="C143" s="26" t="s">
        <v>161</v>
      </c>
      <c r="D143" t="s">
        <v>563</v>
      </c>
    </row>
    <row r="144" spans="3:4" x14ac:dyDescent="0.25">
      <c r="C144" s="26" t="s">
        <v>162</v>
      </c>
      <c r="D144" t="s">
        <v>564</v>
      </c>
    </row>
    <row r="145" spans="3:4" x14ac:dyDescent="0.25">
      <c r="C145" s="26" t="s">
        <v>163</v>
      </c>
      <c r="D145" t="s">
        <v>565</v>
      </c>
    </row>
    <row r="146" spans="3:4" x14ac:dyDescent="0.25">
      <c r="C146" s="26" t="s">
        <v>164</v>
      </c>
      <c r="D146" t="s">
        <v>566</v>
      </c>
    </row>
    <row r="147" spans="3:4" x14ac:dyDescent="0.25">
      <c r="C147" s="26" t="s">
        <v>165</v>
      </c>
      <c r="D147" t="s">
        <v>567</v>
      </c>
    </row>
    <row r="148" spans="3:4" x14ac:dyDescent="0.25">
      <c r="C148" s="26" t="s">
        <v>166</v>
      </c>
      <c r="D148" t="s">
        <v>568</v>
      </c>
    </row>
    <row r="149" spans="3:4" x14ac:dyDescent="0.25">
      <c r="C149" s="26" t="s">
        <v>167</v>
      </c>
      <c r="D149" t="s">
        <v>569</v>
      </c>
    </row>
    <row r="150" spans="3:4" x14ac:dyDescent="0.25">
      <c r="C150" s="26" t="s">
        <v>168</v>
      </c>
      <c r="D150" t="s">
        <v>570</v>
      </c>
    </row>
    <row r="151" spans="3:4" x14ac:dyDescent="0.25">
      <c r="C151" s="26" t="s">
        <v>169</v>
      </c>
      <c r="D151" t="s">
        <v>571</v>
      </c>
    </row>
    <row r="152" spans="3:4" x14ac:dyDescent="0.25">
      <c r="C152" s="26" t="s">
        <v>170</v>
      </c>
      <c r="D152" t="s">
        <v>572</v>
      </c>
    </row>
    <row r="153" spans="3:4" x14ac:dyDescent="0.25">
      <c r="C153" s="26" t="s">
        <v>171</v>
      </c>
      <c r="D153" t="s">
        <v>573</v>
      </c>
    </row>
    <row r="154" spans="3:4" x14ac:dyDescent="0.25">
      <c r="C154" s="26" t="s">
        <v>172</v>
      </c>
      <c r="D154" t="s">
        <v>574</v>
      </c>
    </row>
    <row r="155" spans="3:4" x14ac:dyDescent="0.25">
      <c r="C155" s="26" t="s">
        <v>173</v>
      </c>
      <c r="D155" t="s">
        <v>575</v>
      </c>
    </row>
    <row r="156" spans="3:4" x14ac:dyDescent="0.25">
      <c r="C156" s="26" t="s">
        <v>174</v>
      </c>
      <c r="D156" t="s">
        <v>576</v>
      </c>
    </row>
    <row r="157" spans="3:4" x14ac:dyDescent="0.25">
      <c r="C157" s="26" t="s">
        <v>175</v>
      </c>
      <c r="D157" t="s">
        <v>577</v>
      </c>
    </row>
    <row r="158" spans="3:4" x14ac:dyDescent="0.25">
      <c r="C158" s="26" t="s">
        <v>176</v>
      </c>
      <c r="D158" t="s">
        <v>578</v>
      </c>
    </row>
    <row r="159" spans="3:4" x14ac:dyDescent="0.25">
      <c r="C159" s="26" t="s">
        <v>177</v>
      </c>
      <c r="D159" t="s">
        <v>579</v>
      </c>
    </row>
    <row r="160" spans="3:4" x14ac:dyDescent="0.25">
      <c r="C160" s="26" t="s">
        <v>178</v>
      </c>
      <c r="D160" t="s">
        <v>580</v>
      </c>
    </row>
    <row r="161" spans="3:4" x14ac:dyDescent="0.25">
      <c r="C161" s="26" t="s">
        <v>179</v>
      </c>
      <c r="D161" t="s">
        <v>581</v>
      </c>
    </row>
    <row r="162" spans="3:4" x14ac:dyDescent="0.25">
      <c r="C162" s="26" t="s">
        <v>180</v>
      </c>
      <c r="D162" t="s">
        <v>582</v>
      </c>
    </row>
    <row r="163" spans="3:4" x14ac:dyDescent="0.25">
      <c r="C163" s="26" t="s">
        <v>181</v>
      </c>
      <c r="D163" t="s">
        <v>583</v>
      </c>
    </row>
    <row r="164" spans="3:4" x14ac:dyDescent="0.25">
      <c r="C164" s="26" t="s">
        <v>182</v>
      </c>
      <c r="D164" t="s">
        <v>584</v>
      </c>
    </row>
    <row r="165" spans="3:4" x14ac:dyDescent="0.25">
      <c r="C165" s="26" t="s">
        <v>183</v>
      </c>
      <c r="D165" t="s">
        <v>585</v>
      </c>
    </row>
    <row r="166" spans="3:4" x14ac:dyDescent="0.25">
      <c r="C166" s="26" t="s">
        <v>193</v>
      </c>
      <c r="D166" t="s">
        <v>586</v>
      </c>
    </row>
    <row r="167" spans="3:4" x14ac:dyDescent="0.25">
      <c r="C167" s="26" t="s">
        <v>209</v>
      </c>
      <c r="D167" t="s">
        <v>587</v>
      </c>
    </row>
    <row r="168" spans="3:4" x14ac:dyDescent="0.25">
      <c r="C168" s="26" t="s">
        <v>210</v>
      </c>
      <c r="D168" t="s">
        <v>588</v>
      </c>
    </row>
    <row r="169" spans="3:4" x14ac:dyDescent="0.25">
      <c r="C169" s="26" t="s">
        <v>211</v>
      </c>
      <c r="D169" t="s">
        <v>589</v>
      </c>
    </row>
    <row r="170" spans="3:4" x14ac:dyDescent="0.25">
      <c r="C170" s="26" t="s">
        <v>212</v>
      </c>
      <c r="D170" t="s">
        <v>590</v>
      </c>
    </row>
    <row r="171" spans="3:4" x14ac:dyDescent="0.25">
      <c r="C171" s="26" t="s">
        <v>213</v>
      </c>
      <c r="D171" t="s">
        <v>591</v>
      </c>
    </row>
    <row r="172" spans="3:4" x14ac:dyDescent="0.25">
      <c r="C172" s="26" t="s">
        <v>214</v>
      </c>
      <c r="D172" t="s">
        <v>592</v>
      </c>
    </row>
    <row r="173" spans="3:4" x14ac:dyDescent="0.25">
      <c r="C173" s="26" t="s">
        <v>215</v>
      </c>
      <c r="D173" t="s">
        <v>593</v>
      </c>
    </row>
    <row r="174" spans="3:4" x14ac:dyDescent="0.25">
      <c r="C174" s="26" t="s">
        <v>216</v>
      </c>
      <c r="D174" t="s">
        <v>594</v>
      </c>
    </row>
    <row r="175" spans="3:4" x14ac:dyDescent="0.25">
      <c r="C175" s="26" t="s">
        <v>217</v>
      </c>
      <c r="D175" t="s">
        <v>595</v>
      </c>
    </row>
    <row r="176" spans="3:4" x14ac:dyDescent="0.25">
      <c r="C176" s="26" t="s">
        <v>218</v>
      </c>
      <c r="D176" t="s">
        <v>596</v>
      </c>
    </row>
    <row r="177" spans="3:4" x14ac:dyDescent="0.25">
      <c r="C177" s="26" t="s">
        <v>219</v>
      </c>
      <c r="D177" t="s">
        <v>597</v>
      </c>
    </row>
    <row r="178" spans="3:4" x14ac:dyDescent="0.25">
      <c r="C178" s="26" t="s">
        <v>228</v>
      </c>
      <c r="D178" t="s">
        <v>598</v>
      </c>
    </row>
    <row r="179" spans="3:4" x14ac:dyDescent="0.25">
      <c r="C179" s="26" t="s">
        <v>229</v>
      </c>
      <c r="D179" t="s">
        <v>599</v>
      </c>
    </row>
    <row r="180" spans="3:4" x14ac:dyDescent="0.25">
      <c r="C180" s="26" t="s">
        <v>235</v>
      </c>
      <c r="D180" t="s">
        <v>600</v>
      </c>
    </row>
    <row r="181" spans="3:4" x14ac:dyDescent="0.25">
      <c r="C181" s="26" t="s">
        <v>236</v>
      </c>
      <c r="D181" t="s">
        <v>601</v>
      </c>
    </row>
    <row r="182" spans="3:4" x14ac:dyDescent="0.25">
      <c r="C182" s="26" t="s">
        <v>238</v>
      </c>
      <c r="D182" t="s">
        <v>602</v>
      </c>
    </row>
    <row r="183" spans="3:4" x14ac:dyDescent="0.25">
      <c r="C183" s="26" t="s">
        <v>241</v>
      </c>
      <c r="D183" t="s">
        <v>603</v>
      </c>
    </row>
    <row r="184" spans="3:4" x14ac:dyDescent="0.25">
      <c r="C184" s="26" t="s">
        <v>245</v>
      </c>
      <c r="D184" t="s">
        <v>604</v>
      </c>
    </row>
    <row r="185" spans="3:4" x14ac:dyDescent="0.25">
      <c r="C185" s="26" t="s">
        <v>246</v>
      </c>
      <c r="D185" t="s">
        <v>605</v>
      </c>
    </row>
    <row r="186" spans="3:4" x14ac:dyDescent="0.25">
      <c r="C186" s="26" t="s">
        <v>247</v>
      </c>
      <c r="D186" t="s">
        <v>606</v>
      </c>
    </row>
    <row r="187" spans="3:4" x14ac:dyDescent="0.25">
      <c r="C187" s="26" t="s">
        <v>248</v>
      </c>
      <c r="D187" t="s">
        <v>607</v>
      </c>
    </row>
    <row r="188" spans="3:4" x14ac:dyDescent="0.25">
      <c r="C188" s="26" t="s">
        <v>249</v>
      </c>
      <c r="D188" t="s">
        <v>608</v>
      </c>
    </row>
    <row r="189" spans="3:4" x14ac:dyDescent="0.25">
      <c r="C189" s="26" t="s">
        <v>250</v>
      </c>
      <c r="D189" t="s">
        <v>609</v>
      </c>
    </row>
    <row r="190" spans="3:4" x14ac:dyDescent="0.25">
      <c r="C190" s="26" t="s">
        <v>251</v>
      </c>
      <c r="D190" t="s">
        <v>610</v>
      </c>
    </row>
    <row r="191" spans="3:4" x14ac:dyDescent="0.25">
      <c r="C191" s="26" t="s">
        <v>252</v>
      </c>
      <c r="D191" t="s">
        <v>611</v>
      </c>
    </row>
    <row r="192" spans="3:4" x14ac:dyDescent="0.25">
      <c r="C192" s="26" t="s">
        <v>253</v>
      </c>
      <c r="D192" t="s">
        <v>612</v>
      </c>
    </row>
    <row r="193" spans="3:4" x14ac:dyDescent="0.25">
      <c r="C193" s="26" t="s">
        <v>254</v>
      </c>
      <c r="D193" t="s">
        <v>613</v>
      </c>
    </row>
    <row r="194" spans="3:4" x14ac:dyDescent="0.25">
      <c r="C194" s="26" t="s">
        <v>255</v>
      </c>
      <c r="D194" t="s">
        <v>614</v>
      </c>
    </row>
    <row r="195" spans="3:4" x14ac:dyDescent="0.25">
      <c r="C195" s="26" t="s">
        <v>256</v>
      </c>
      <c r="D195" t="s">
        <v>615</v>
      </c>
    </row>
    <row r="196" spans="3:4" x14ac:dyDescent="0.25">
      <c r="C196" s="26" t="s">
        <v>260</v>
      </c>
      <c r="D196" t="s">
        <v>616</v>
      </c>
    </row>
    <row r="197" spans="3:4" x14ac:dyDescent="0.25">
      <c r="C197" s="26" t="s">
        <v>262</v>
      </c>
      <c r="D197" t="s">
        <v>617</v>
      </c>
    </row>
    <row r="198" spans="3:4" x14ac:dyDescent="0.25">
      <c r="C198" s="26" t="s">
        <v>265</v>
      </c>
      <c r="D198" t="s">
        <v>618</v>
      </c>
    </row>
    <row r="199" spans="3:4" x14ac:dyDescent="0.25">
      <c r="C199" s="26" t="s">
        <v>266</v>
      </c>
      <c r="D199" t="s">
        <v>619</v>
      </c>
    </row>
    <row r="200" spans="3:4" x14ac:dyDescent="0.25">
      <c r="C200" s="26" t="s">
        <v>267</v>
      </c>
      <c r="D200" t="s">
        <v>620</v>
      </c>
    </row>
    <row r="201" spans="3:4" x14ac:dyDescent="0.25">
      <c r="C201" s="26" t="s">
        <v>268</v>
      </c>
      <c r="D201" t="s">
        <v>621</v>
      </c>
    </row>
    <row r="202" spans="3:4" x14ac:dyDescent="0.25">
      <c r="C202" s="26" t="s">
        <v>269</v>
      </c>
      <c r="D202" t="s">
        <v>622</v>
      </c>
    </row>
    <row r="203" spans="3:4" x14ac:dyDescent="0.25">
      <c r="C203" s="26" t="s">
        <v>270</v>
      </c>
      <c r="D203" t="s">
        <v>623</v>
      </c>
    </row>
    <row r="204" spans="3:4" x14ac:dyDescent="0.25">
      <c r="C204" s="26" t="s">
        <v>271</v>
      </c>
      <c r="D204" t="s">
        <v>624</v>
      </c>
    </row>
    <row r="205" spans="3:4" x14ac:dyDescent="0.25">
      <c r="C205" s="26" t="s">
        <v>276</v>
      </c>
      <c r="D205" t="s">
        <v>625</v>
      </c>
    </row>
    <row r="206" spans="3:4" x14ac:dyDescent="0.25">
      <c r="C206" s="26" t="s">
        <v>277</v>
      </c>
      <c r="D206" t="s">
        <v>626</v>
      </c>
    </row>
    <row r="207" spans="3:4" x14ac:dyDescent="0.25">
      <c r="C207" s="26" t="s">
        <v>278</v>
      </c>
      <c r="D207" t="s">
        <v>627</v>
      </c>
    </row>
    <row r="208" spans="3:4" x14ac:dyDescent="0.25">
      <c r="C208" s="26" t="s">
        <v>279</v>
      </c>
      <c r="D208" t="s">
        <v>628</v>
      </c>
    </row>
    <row r="209" spans="3:4" x14ac:dyDescent="0.25">
      <c r="C209" s="26" t="s">
        <v>280</v>
      </c>
      <c r="D209" t="s">
        <v>629</v>
      </c>
    </row>
    <row r="210" spans="3:4" x14ac:dyDescent="0.25">
      <c r="C210" s="26" t="s">
        <v>281</v>
      </c>
      <c r="D210" t="s">
        <v>630</v>
      </c>
    </row>
    <row r="211" spans="3:4" x14ac:dyDescent="0.25">
      <c r="C211" s="26" t="s">
        <v>282</v>
      </c>
      <c r="D211" t="s">
        <v>631</v>
      </c>
    </row>
    <row r="212" spans="3:4" x14ac:dyDescent="0.25">
      <c r="C212" s="26" t="s">
        <v>283</v>
      </c>
      <c r="D212" t="s">
        <v>632</v>
      </c>
    </row>
    <row r="213" spans="3:4" x14ac:dyDescent="0.25">
      <c r="C213" s="26" t="s">
        <v>284</v>
      </c>
      <c r="D213" t="s">
        <v>633</v>
      </c>
    </row>
    <row r="214" spans="3:4" x14ac:dyDescent="0.25">
      <c r="C214" s="26" t="s">
        <v>285</v>
      </c>
      <c r="D214" t="s">
        <v>634</v>
      </c>
    </row>
    <row r="215" spans="3:4" x14ac:dyDescent="0.25">
      <c r="C215" s="26" t="s">
        <v>286</v>
      </c>
      <c r="D215" t="s">
        <v>635</v>
      </c>
    </row>
    <row r="216" spans="3:4" x14ac:dyDescent="0.25">
      <c r="C216" s="26" t="s">
        <v>287</v>
      </c>
      <c r="D216" t="s">
        <v>636</v>
      </c>
    </row>
    <row r="217" spans="3:4" x14ac:dyDescent="0.25">
      <c r="C217" s="26" t="s">
        <v>296</v>
      </c>
      <c r="D217" t="s">
        <v>637</v>
      </c>
    </row>
    <row r="218" spans="3:4" x14ac:dyDescent="0.25">
      <c r="C218" s="26" t="s">
        <v>298</v>
      </c>
      <c r="D218" t="s">
        <v>638</v>
      </c>
    </row>
    <row r="219" spans="3:4" x14ac:dyDescent="0.25">
      <c r="C219" s="26" t="s">
        <v>299</v>
      </c>
      <c r="D219" t="s">
        <v>639</v>
      </c>
    </row>
    <row r="220" spans="3:4" x14ac:dyDescent="0.25">
      <c r="C220" s="26" t="s">
        <v>300</v>
      </c>
      <c r="D220" t="s">
        <v>640</v>
      </c>
    </row>
    <row r="221" spans="3:4" x14ac:dyDescent="0.25">
      <c r="C221" s="26" t="s">
        <v>304</v>
      </c>
      <c r="D221" t="s">
        <v>641</v>
      </c>
    </row>
    <row r="222" spans="3:4" x14ac:dyDescent="0.25">
      <c r="C222" s="26" t="s">
        <v>305</v>
      </c>
      <c r="D222" t="s">
        <v>642</v>
      </c>
    </row>
    <row r="223" spans="3:4" x14ac:dyDescent="0.25">
      <c r="C223" s="26" t="s">
        <v>306</v>
      </c>
      <c r="D223" t="s">
        <v>643</v>
      </c>
    </row>
    <row r="224" spans="3:4" x14ac:dyDescent="0.25">
      <c r="C224" s="26" t="s">
        <v>307</v>
      </c>
      <c r="D224" t="s">
        <v>644</v>
      </c>
    </row>
    <row r="225" spans="3:4" x14ac:dyDescent="0.25">
      <c r="C225" s="26" t="s">
        <v>308</v>
      </c>
      <c r="D225" t="s">
        <v>645</v>
      </c>
    </row>
    <row r="226" spans="3:4" x14ac:dyDescent="0.25">
      <c r="C226" s="26" t="s">
        <v>309</v>
      </c>
      <c r="D226" t="s">
        <v>646</v>
      </c>
    </row>
    <row r="227" spans="3:4" x14ac:dyDescent="0.25">
      <c r="C227" s="26" t="s">
        <v>310</v>
      </c>
      <c r="D227" t="s">
        <v>647</v>
      </c>
    </row>
    <row r="228" spans="3:4" x14ac:dyDescent="0.25">
      <c r="C228" s="26" t="s">
        <v>311</v>
      </c>
      <c r="D228" t="s">
        <v>648</v>
      </c>
    </row>
    <row r="229" spans="3:4" x14ac:dyDescent="0.25">
      <c r="C229" s="26" t="s">
        <v>312</v>
      </c>
      <c r="D229" t="s">
        <v>649</v>
      </c>
    </row>
    <row r="230" spans="3:4" x14ac:dyDescent="0.25">
      <c r="C230" s="26" t="s">
        <v>313</v>
      </c>
      <c r="D230" t="s">
        <v>650</v>
      </c>
    </row>
    <row r="231" spans="3:4" x14ac:dyDescent="0.25">
      <c r="C231" s="26" t="s">
        <v>314</v>
      </c>
      <c r="D231" t="s">
        <v>651</v>
      </c>
    </row>
    <row r="232" spans="3:4" x14ac:dyDescent="0.25">
      <c r="C232" s="26" t="s">
        <v>315</v>
      </c>
      <c r="D232" t="s">
        <v>652</v>
      </c>
    </row>
    <row r="233" spans="3:4" x14ac:dyDescent="0.25">
      <c r="C233" s="26" t="s">
        <v>316</v>
      </c>
      <c r="D233" t="s">
        <v>653</v>
      </c>
    </row>
    <row r="234" spans="3:4" x14ac:dyDescent="0.25">
      <c r="C234" s="26" t="s">
        <v>317</v>
      </c>
      <c r="D234" t="s">
        <v>654</v>
      </c>
    </row>
    <row r="235" spans="3:4" x14ac:dyDescent="0.25">
      <c r="C235" s="26" t="s">
        <v>318</v>
      </c>
      <c r="D235" t="s">
        <v>655</v>
      </c>
    </row>
    <row r="236" spans="3:4" x14ac:dyDescent="0.25">
      <c r="C236" s="26" t="s">
        <v>319</v>
      </c>
      <c r="D236" t="s">
        <v>656</v>
      </c>
    </row>
    <row r="237" spans="3:4" x14ac:dyDescent="0.25">
      <c r="C237" s="26" t="s">
        <v>320</v>
      </c>
      <c r="D237" t="s">
        <v>657</v>
      </c>
    </row>
    <row r="238" spans="3:4" x14ac:dyDescent="0.25">
      <c r="C238" s="26" t="s">
        <v>321</v>
      </c>
      <c r="D238" t="s">
        <v>658</v>
      </c>
    </row>
    <row r="239" spans="3:4" x14ac:dyDescent="0.25">
      <c r="C239" s="26" t="s">
        <v>322</v>
      </c>
      <c r="D239" t="s">
        <v>659</v>
      </c>
    </row>
    <row r="240" spans="3:4" x14ac:dyDescent="0.25">
      <c r="C240" s="27" t="s">
        <v>81</v>
      </c>
      <c r="D240" t="s">
        <v>660</v>
      </c>
    </row>
    <row r="241" spans="3:4" x14ac:dyDescent="0.25">
      <c r="C241" s="27" t="s">
        <v>82</v>
      </c>
      <c r="D241" t="s">
        <v>661</v>
      </c>
    </row>
    <row r="242" spans="3:4" x14ac:dyDescent="0.25">
      <c r="C242" s="27" t="s">
        <v>83</v>
      </c>
      <c r="D242" t="s">
        <v>662</v>
      </c>
    </row>
    <row r="243" spans="3:4" x14ac:dyDescent="0.25">
      <c r="C243" s="27" t="s">
        <v>84</v>
      </c>
      <c r="D243" t="s">
        <v>663</v>
      </c>
    </row>
    <row r="244" spans="3:4" x14ac:dyDescent="0.25">
      <c r="C244" s="27" t="s">
        <v>85</v>
      </c>
      <c r="D244" t="s">
        <v>664</v>
      </c>
    </row>
    <row r="245" spans="3:4" x14ac:dyDescent="0.25">
      <c r="C245" s="27" t="s">
        <v>86</v>
      </c>
      <c r="D245" t="s">
        <v>665</v>
      </c>
    </row>
    <row r="246" spans="3:4" x14ac:dyDescent="0.25">
      <c r="C246" s="27" t="s">
        <v>87</v>
      </c>
      <c r="D246" t="s">
        <v>666</v>
      </c>
    </row>
    <row r="247" spans="3:4" x14ac:dyDescent="0.25">
      <c r="C247" s="27" t="s">
        <v>100</v>
      </c>
      <c r="D247" t="s">
        <v>667</v>
      </c>
    </row>
    <row r="248" spans="3:4" x14ac:dyDescent="0.25">
      <c r="C248" s="27" t="s">
        <v>101</v>
      </c>
      <c r="D248" t="s">
        <v>668</v>
      </c>
    </row>
    <row r="249" spans="3:4" x14ac:dyDescent="0.25">
      <c r="C249" s="27" t="s">
        <v>147</v>
      </c>
      <c r="D249" t="s">
        <v>669</v>
      </c>
    </row>
    <row r="250" spans="3:4" x14ac:dyDescent="0.25">
      <c r="C250" s="27" t="s">
        <v>148</v>
      </c>
      <c r="D250" t="s">
        <v>670</v>
      </c>
    </row>
    <row r="251" spans="3:4" x14ac:dyDescent="0.25">
      <c r="C251" s="27" t="s">
        <v>194</v>
      </c>
      <c r="D251" t="s">
        <v>671</v>
      </c>
    </row>
    <row r="252" spans="3:4" x14ac:dyDescent="0.25">
      <c r="C252" s="27" t="s">
        <v>195</v>
      </c>
      <c r="D252" t="s">
        <v>672</v>
      </c>
    </row>
    <row r="253" spans="3:4" x14ac:dyDescent="0.25">
      <c r="C253" s="27" t="s">
        <v>196</v>
      </c>
      <c r="D253" t="s">
        <v>673</v>
      </c>
    </row>
    <row r="254" spans="3:4" x14ac:dyDescent="0.25">
      <c r="C254" s="27" t="s">
        <v>197</v>
      </c>
      <c r="D254" t="s">
        <v>674</v>
      </c>
    </row>
    <row r="255" spans="3:4" x14ac:dyDescent="0.25">
      <c r="C255" s="27" t="s">
        <v>198</v>
      </c>
      <c r="D255" t="s">
        <v>675</v>
      </c>
    </row>
    <row r="256" spans="3:4" x14ac:dyDescent="0.25">
      <c r="C256" s="27" t="s">
        <v>199</v>
      </c>
      <c r="D256" t="s">
        <v>676</v>
      </c>
    </row>
    <row r="257" spans="3:4" x14ac:dyDescent="0.25">
      <c r="C257" s="27" t="s">
        <v>200</v>
      </c>
      <c r="D257" t="s">
        <v>677</v>
      </c>
    </row>
    <row r="258" spans="3:4" x14ac:dyDescent="0.25">
      <c r="C258" s="27" t="s">
        <v>201</v>
      </c>
      <c r="D258" t="s">
        <v>678</v>
      </c>
    </row>
    <row r="259" spans="3:4" x14ac:dyDescent="0.25">
      <c r="C259" s="27" t="s">
        <v>202</v>
      </c>
      <c r="D259" t="s">
        <v>679</v>
      </c>
    </row>
    <row r="260" spans="3:4" x14ac:dyDescent="0.25">
      <c r="C260" s="27" t="s">
        <v>203</v>
      </c>
      <c r="D260" t="s">
        <v>680</v>
      </c>
    </row>
    <row r="261" spans="3:4" x14ac:dyDescent="0.25">
      <c r="C261" s="27" t="s">
        <v>204</v>
      </c>
      <c r="D261" t="s">
        <v>681</v>
      </c>
    </row>
    <row r="262" spans="3:4" x14ac:dyDescent="0.25">
      <c r="C262" s="27" t="s">
        <v>205</v>
      </c>
      <c r="D262" t="s">
        <v>682</v>
      </c>
    </row>
    <row r="263" spans="3:4" x14ac:dyDescent="0.25">
      <c r="C263" s="27" t="s">
        <v>206</v>
      </c>
      <c r="D263" t="s">
        <v>683</v>
      </c>
    </row>
    <row r="264" spans="3:4" x14ac:dyDescent="0.25">
      <c r="C264" s="27" t="s">
        <v>207</v>
      </c>
      <c r="D264" t="s">
        <v>684</v>
      </c>
    </row>
    <row r="265" spans="3:4" x14ac:dyDescent="0.25">
      <c r="C265" s="27" t="s">
        <v>208</v>
      </c>
      <c r="D265" t="s">
        <v>685</v>
      </c>
    </row>
    <row r="266" spans="3:4" x14ac:dyDescent="0.25">
      <c r="C266" s="27" t="s">
        <v>220</v>
      </c>
      <c r="D266" t="s">
        <v>686</v>
      </c>
    </row>
    <row r="267" spans="3:4" x14ac:dyDescent="0.25">
      <c r="C267" s="27" t="s">
        <v>221</v>
      </c>
      <c r="D267" t="s">
        <v>687</v>
      </c>
    </row>
    <row r="268" spans="3:4" x14ac:dyDescent="0.25">
      <c r="C268" s="27" t="s">
        <v>222</v>
      </c>
      <c r="D268" t="s">
        <v>688</v>
      </c>
    </row>
    <row r="269" spans="3:4" x14ac:dyDescent="0.25">
      <c r="C269" s="27" t="s">
        <v>223</v>
      </c>
      <c r="D269" t="s">
        <v>689</v>
      </c>
    </row>
    <row r="270" spans="3:4" x14ac:dyDescent="0.25">
      <c r="C270" s="27" t="s">
        <v>224</v>
      </c>
      <c r="D270" t="s">
        <v>690</v>
      </c>
    </row>
    <row r="271" spans="3:4" x14ac:dyDescent="0.25">
      <c r="C271" s="27" t="s">
        <v>225</v>
      </c>
      <c r="D271" t="s">
        <v>691</v>
      </c>
    </row>
    <row r="272" spans="3:4" x14ac:dyDescent="0.25">
      <c r="C272" s="27" t="s">
        <v>226</v>
      </c>
      <c r="D272" t="s">
        <v>692</v>
      </c>
    </row>
    <row r="273" spans="3:4" x14ac:dyDescent="0.25">
      <c r="C273" s="27" t="s">
        <v>227</v>
      </c>
      <c r="D273" t="s">
        <v>693</v>
      </c>
    </row>
    <row r="274" spans="3:4" x14ac:dyDescent="0.25">
      <c r="C274" s="27" t="s">
        <v>228</v>
      </c>
      <c r="D274" t="s">
        <v>694</v>
      </c>
    </row>
    <row r="275" spans="3:4" x14ac:dyDescent="0.25">
      <c r="C275" s="27" t="s">
        <v>230</v>
      </c>
      <c r="D275" t="s">
        <v>695</v>
      </c>
    </row>
    <row r="276" spans="3:4" x14ac:dyDescent="0.25">
      <c r="C276" s="27" t="s">
        <v>231</v>
      </c>
      <c r="D276" t="s">
        <v>696</v>
      </c>
    </row>
    <row r="277" spans="3:4" x14ac:dyDescent="0.25">
      <c r="C277" s="27" t="s">
        <v>232</v>
      </c>
      <c r="D277" t="s">
        <v>697</v>
      </c>
    </row>
    <row r="278" spans="3:4" x14ac:dyDescent="0.25">
      <c r="C278" s="27" t="s">
        <v>233</v>
      </c>
      <c r="D278" t="s">
        <v>698</v>
      </c>
    </row>
    <row r="279" spans="3:4" x14ac:dyDescent="0.25">
      <c r="C279" s="27" t="s">
        <v>236</v>
      </c>
      <c r="D279" t="s">
        <v>699</v>
      </c>
    </row>
    <row r="280" spans="3:4" x14ac:dyDescent="0.25">
      <c r="C280" s="27" t="s">
        <v>237</v>
      </c>
      <c r="D280" t="s">
        <v>700</v>
      </c>
    </row>
    <row r="281" spans="3:4" x14ac:dyDescent="0.25">
      <c r="C281" s="27" t="s">
        <v>242</v>
      </c>
      <c r="D281" t="s">
        <v>701</v>
      </c>
    </row>
    <row r="282" spans="3:4" x14ac:dyDescent="0.25">
      <c r="C282" s="27" t="s">
        <v>243</v>
      </c>
    </row>
    <row r="283" spans="3:4" x14ac:dyDescent="0.25">
      <c r="C283" s="27" t="s">
        <v>244</v>
      </c>
    </row>
    <row r="284" spans="3:4" x14ac:dyDescent="0.25">
      <c r="C284" s="27" t="s">
        <v>257</v>
      </c>
    </row>
    <row r="285" spans="3:4" x14ac:dyDescent="0.25">
      <c r="C285" s="27" t="s">
        <v>258</v>
      </c>
    </row>
    <row r="286" spans="3:4" x14ac:dyDescent="0.25">
      <c r="C286" s="27" t="s">
        <v>259</v>
      </c>
    </row>
    <row r="287" spans="3:4" x14ac:dyDescent="0.25">
      <c r="C287" s="27" t="s">
        <v>261</v>
      </c>
    </row>
    <row r="288" spans="3:4" x14ac:dyDescent="0.25">
      <c r="C288" s="27" t="s">
        <v>263</v>
      </c>
    </row>
    <row r="289" spans="3:3" x14ac:dyDescent="0.25">
      <c r="C289" s="27" t="s">
        <v>264</v>
      </c>
    </row>
    <row r="290" spans="3:3" x14ac:dyDescent="0.25">
      <c r="C290" s="27" t="s">
        <v>301</v>
      </c>
    </row>
    <row r="291" spans="3:3" x14ac:dyDescent="0.25">
      <c r="C291" s="27" t="s">
        <v>272</v>
      </c>
    </row>
    <row r="292" spans="3:3" x14ac:dyDescent="0.25">
      <c r="C292" s="27" t="s">
        <v>273</v>
      </c>
    </row>
    <row r="293" spans="3:3" x14ac:dyDescent="0.25">
      <c r="C293" s="27" t="s">
        <v>274</v>
      </c>
    </row>
    <row r="294" spans="3:3" x14ac:dyDescent="0.25">
      <c r="C294" s="27" t="s">
        <v>275</v>
      </c>
    </row>
    <row r="295" spans="3:3" x14ac:dyDescent="0.25">
      <c r="C295" s="27" t="s">
        <v>418</v>
      </c>
    </row>
    <row r="296" spans="3:3" x14ac:dyDescent="0.25">
      <c r="C296" s="27" t="s">
        <v>419</v>
      </c>
    </row>
    <row r="297" spans="3:3" x14ac:dyDescent="0.25">
      <c r="C297" s="27" t="s">
        <v>420</v>
      </c>
    </row>
    <row r="298" spans="3:3" x14ac:dyDescent="0.25">
      <c r="C298" s="28" t="s">
        <v>116</v>
      </c>
    </row>
    <row r="299" spans="3:3" x14ac:dyDescent="0.25">
      <c r="C299" s="28" t="s">
        <v>117</v>
      </c>
    </row>
    <row r="300" spans="3:3" x14ac:dyDescent="0.25">
      <c r="C300" s="28" t="s">
        <v>118</v>
      </c>
    </row>
    <row r="301" spans="3:3" x14ac:dyDescent="0.25">
      <c r="C301" s="28" t="s">
        <v>119</v>
      </c>
    </row>
    <row r="302" spans="3:3" x14ac:dyDescent="0.25">
      <c r="C302" s="28" t="s">
        <v>120</v>
      </c>
    </row>
    <row r="303" spans="3:3" x14ac:dyDescent="0.25">
      <c r="C303" s="28" t="s">
        <v>121</v>
      </c>
    </row>
    <row r="304" spans="3:3" x14ac:dyDescent="0.25">
      <c r="C304" s="28" t="s">
        <v>122</v>
      </c>
    </row>
    <row r="305" spans="3:3" x14ac:dyDescent="0.25">
      <c r="C305" s="28" t="s">
        <v>123</v>
      </c>
    </row>
    <row r="306" spans="3:3" x14ac:dyDescent="0.25">
      <c r="C306" s="28" t="s">
        <v>124</v>
      </c>
    </row>
    <row r="307" spans="3:3" x14ac:dyDescent="0.25">
      <c r="C307" s="28" t="s">
        <v>125</v>
      </c>
    </row>
    <row r="308" spans="3:3" x14ac:dyDescent="0.25">
      <c r="C308" s="28" t="s">
        <v>126</v>
      </c>
    </row>
    <row r="309" spans="3:3" x14ac:dyDescent="0.25">
      <c r="C309" s="28" t="s">
        <v>127</v>
      </c>
    </row>
    <row r="310" spans="3:3" x14ac:dyDescent="0.25">
      <c r="C310" s="28" t="s">
        <v>128</v>
      </c>
    </row>
    <row r="311" spans="3:3" x14ac:dyDescent="0.25">
      <c r="C311" s="28" t="s">
        <v>129</v>
      </c>
    </row>
    <row r="312" spans="3:3" x14ac:dyDescent="0.25">
      <c r="C312" s="28" t="s">
        <v>130</v>
      </c>
    </row>
    <row r="313" spans="3:3" x14ac:dyDescent="0.25">
      <c r="C313" s="28" t="s">
        <v>131</v>
      </c>
    </row>
    <row r="314" spans="3:3" x14ac:dyDescent="0.25">
      <c r="C314" s="28" t="s">
        <v>132</v>
      </c>
    </row>
    <row r="315" spans="3:3" x14ac:dyDescent="0.25">
      <c r="C315" s="28" t="s">
        <v>133</v>
      </c>
    </row>
    <row r="316" spans="3:3" x14ac:dyDescent="0.25">
      <c r="C316" s="28" t="s">
        <v>134</v>
      </c>
    </row>
    <row r="317" spans="3:3" x14ac:dyDescent="0.25">
      <c r="C317" s="28" t="s">
        <v>135</v>
      </c>
    </row>
    <row r="318" spans="3:3" x14ac:dyDescent="0.25">
      <c r="C318" s="28" t="s">
        <v>136</v>
      </c>
    </row>
    <row r="319" spans="3:3" x14ac:dyDescent="0.25">
      <c r="C319" s="28" t="s">
        <v>137</v>
      </c>
    </row>
    <row r="320" spans="3:3" x14ac:dyDescent="0.25">
      <c r="C320" s="28" t="s">
        <v>138</v>
      </c>
    </row>
    <row r="321" spans="3:3" x14ac:dyDescent="0.25">
      <c r="C321" s="28" t="s">
        <v>139</v>
      </c>
    </row>
    <row r="322" spans="3:3" x14ac:dyDescent="0.25">
      <c r="C322" s="28" t="s">
        <v>140</v>
      </c>
    </row>
    <row r="323" spans="3:3" x14ac:dyDescent="0.25">
      <c r="C323" s="28" t="s">
        <v>141</v>
      </c>
    </row>
    <row r="324" spans="3:3" x14ac:dyDescent="0.25">
      <c r="C324" s="28" t="s">
        <v>142</v>
      </c>
    </row>
    <row r="325" spans="3:3" x14ac:dyDescent="0.25">
      <c r="C325" s="28" t="s">
        <v>143</v>
      </c>
    </row>
    <row r="326" spans="3:3" x14ac:dyDescent="0.25">
      <c r="C326" s="28" t="s">
        <v>144</v>
      </c>
    </row>
    <row r="327" spans="3:3" x14ac:dyDescent="0.25">
      <c r="C327" s="28" t="s">
        <v>145</v>
      </c>
    </row>
    <row r="328" spans="3:3" x14ac:dyDescent="0.25">
      <c r="C328" s="28" t="s">
        <v>146</v>
      </c>
    </row>
    <row r="329" spans="3:3" x14ac:dyDescent="0.25">
      <c r="C329" s="28" t="s">
        <v>184</v>
      </c>
    </row>
    <row r="330" spans="3:3" x14ac:dyDescent="0.25">
      <c r="C330" s="28" t="s">
        <v>185</v>
      </c>
    </row>
    <row r="331" spans="3:3" x14ac:dyDescent="0.25">
      <c r="C331" s="28" t="s">
        <v>186</v>
      </c>
    </row>
    <row r="332" spans="3:3" x14ac:dyDescent="0.25">
      <c r="C332" s="28" t="s">
        <v>187</v>
      </c>
    </row>
    <row r="333" spans="3:3" x14ac:dyDescent="0.25">
      <c r="C333" s="28" t="s">
        <v>188</v>
      </c>
    </row>
    <row r="334" spans="3:3" x14ac:dyDescent="0.25">
      <c r="C334" s="28" t="s">
        <v>189</v>
      </c>
    </row>
    <row r="335" spans="3:3" x14ac:dyDescent="0.25">
      <c r="C335" s="28" t="s">
        <v>190</v>
      </c>
    </row>
    <row r="336" spans="3:3" x14ac:dyDescent="0.25">
      <c r="C336" s="28" t="s">
        <v>191</v>
      </c>
    </row>
    <row r="337" spans="3:3" x14ac:dyDescent="0.25">
      <c r="C337" s="28" t="s">
        <v>192</v>
      </c>
    </row>
    <row r="338" spans="3:3" x14ac:dyDescent="0.25">
      <c r="C338" s="28" t="s">
        <v>288</v>
      </c>
    </row>
    <row r="339" spans="3:3" x14ac:dyDescent="0.25">
      <c r="C339" s="28" t="s">
        <v>289</v>
      </c>
    </row>
    <row r="340" spans="3:3" x14ac:dyDescent="0.25">
      <c r="C340" s="28" t="s">
        <v>290</v>
      </c>
    </row>
    <row r="341" spans="3:3" x14ac:dyDescent="0.25">
      <c r="C341" s="28" t="s">
        <v>291</v>
      </c>
    </row>
    <row r="342" spans="3:3" x14ac:dyDescent="0.25">
      <c r="C342" s="28" t="s">
        <v>292</v>
      </c>
    </row>
    <row r="343" spans="3:3" x14ac:dyDescent="0.25">
      <c r="C343" s="28" t="s">
        <v>293</v>
      </c>
    </row>
    <row r="344" spans="3:3" x14ac:dyDescent="0.25">
      <c r="C344" s="28" t="s">
        <v>294</v>
      </c>
    </row>
    <row r="345" spans="3:3" x14ac:dyDescent="0.25">
      <c r="C345" s="28" t="s">
        <v>295</v>
      </c>
    </row>
    <row r="346" spans="3:3" x14ac:dyDescent="0.25">
      <c r="C346" s="28" t="s">
        <v>239</v>
      </c>
    </row>
    <row r="347" spans="3:3" x14ac:dyDescent="0.25">
      <c r="C347" s="28" t="s">
        <v>234</v>
      </c>
    </row>
    <row r="348" spans="3:3" x14ac:dyDescent="0.25">
      <c r="C348" s="17"/>
    </row>
    <row r="349" spans="3:3" x14ac:dyDescent="0.25">
      <c r="C349" s="17"/>
    </row>
    <row r="350" spans="3:3" x14ac:dyDescent="0.25">
      <c r="C350" s="17"/>
    </row>
    <row r="351" spans="3:3" x14ac:dyDescent="0.25">
      <c r="C351" s="17"/>
    </row>
    <row r="352" spans="3:3" x14ac:dyDescent="0.25">
      <c r="C352" s="17"/>
    </row>
    <row r="353" spans="3:3" x14ac:dyDescent="0.25">
      <c r="C353" s="17"/>
    </row>
    <row r="354" spans="3:3" x14ac:dyDescent="0.25">
      <c r="C354" s="17"/>
    </row>
    <row r="355" spans="3:3" x14ac:dyDescent="0.25">
      <c r="C355" s="17"/>
    </row>
    <row r="356" spans="3:3" x14ac:dyDescent="0.25">
      <c r="C356" s="17"/>
    </row>
    <row r="357" spans="3:3" x14ac:dyDescent="0.25">
      <c r="C357" s="17"/>
    </row>
    <row r="358" spans="3:3" x14ac:dyDescent="0.25">
      <c r="C358" s="17"/>
    </row>
    <row r="359" spans="3:3" x14ac:dyDescent="0.25">
      <c r="C359" s="17"/>
    </row>
    <row r="360" spans="3:3" x14ac:dyDescent="0.25">
      <c r="C360" s="17"/>
    </row>
    <row r="361" spans="3:3" x14ac:dyDescent="0.25">
      <c r="C361" s="17"/>
    </row>
    <row r="362" spans="3:3" x14ac:dyDescent="0.25">
      <c r="C362" s="17"/>
    </row>
    <row r="363" spans="3:3" x14ac:dyDescent="0.25">
      <c r="C363" s="17"/>
    </row>
    <row r="364" spans="3:3" x14ac:dyDescent="0.25">
      <c r="C364" s="17"/>
    </row>
    <row r="365" spans="3:3" x14ac:dyDescent="0.25">
      <c r="C365" s="17"/>
    </row>
    <row r="366" spans="3:3" x14ac:dyDescent="0.25">
      <c r="C366" s="17"/>
    </row>
    <row r="367" spans="3:3" x14ac:dyDescent="0.25">
      <c r="C367" s="17"/>
    </row>
    <row r="368" spans="3:3" x14ac:dyDescent="0.25">
      <c r="C368" s="17"/>
    </row>
    <row r="369" spans="3:3" x14ac:dyDescent="0.25">
      <c r="C369" s="17"/>
    </row>
    <row r="370" spans="3:3" x14ac:dyDescent="0.25">
      <c r="C370" s="17"/>
    </row>
    <row r="371" spans="3:3" x14ac:dyDescent="0.25">
      <c r="C371" s="17"/>
    </row>
    <row r="372" spans="3:3" x14ac:dyDescent="0.25">
      <c r="C372" s="17"/>
    </row>
    <row r="373" spans="3:3" x14ac:dyDescent="0.25">
      <c r="C373" s="17"/>
    </row>
    <row r="374" spans="3:3" x14ac:dyDescent="0.25">
      <c r="C374" s="17"/>
    </row>
    <row r="375" spans="3:3" x14ac:dyDescent="0.25">
      <c r="C375" s="17"/>
    </row>
    <row r="376" spans="3:3" x14ac:dyDescent="0.25">
      <c r="C376" s="17"/>
    </row>
    <row r="377" spans="3:3" x14ac:dyDescent="0.25">
      <c r="C377" s="17"/>
    </row>
    <row r="378" spans="3:3" x14ac:dyDescent="0.25">
      <c r="C378" s="17"/>
    </row>
    <row r="379" spans="3:3" x14ac:dyDescent="0.25">
      <c r="C379" s="17"/>
    </row>
    <row r="380" spans="3:3" x14ac:dyDescent="0.25">
      <c r="C380" s="17"/>
    </row>
    <row r="381" spans="3:3" x14ac:dyDescent="0.25">
      <c r="C381" s="17"/>
    </row>
    <row r="382" spans="3:3" x14ac:dyDescent="0.25">
      <c r="C382" s="17"/>
    </row>
    <row r="383" spans="3:3" x14ac:dyDescent="0.25">
      <c r="C383" s="17"/>
    </row>
    <row r="384" spans="3:3" x14ac:dyDescent="0.25">
      <c r="C384" s="17"/>
    </row>
    <row r="385" spans="3:3" x14ac:dyDescent="0.25">
      <c r="C385" s="17"/>
    </row>
    <row r="386" spans="3:3" x14ac:dyDescent="0.25">
      <c r="C386" s="17"/>
    </row>
    <row r="387" spans="3:3" x14ac:dyDescent="0.25">
      <c r="C387" s="17"/>
    </row>
    <row r="388" spans="3:3" x14ac:dyDescent="0.25">
      <c r="C388" s="17"/>
    </row>
    <row r="389" spans="3:3" x14ac:dyDescent="0.25">
      <c r="C389" s="17"/>
    </row>
    <row r="390" spans="3:3" x14ac:dyDescent="0.25">
      <c r="C390" s="17"/>
    </row>
    <row r="391" spans="3:3" x14ac:dyDescent="0.25">
      <c r="C391" s="17"/>
    </row>
    <row r="392" spans="3:3" x14ac:dyDescent="0.25">
      <c r="C392" s="17"/>
    </row>
    <row r="393" spans="3:3" x14ac:dyDescent="0.25">
      <c r="C393" s="17"/>
    </row>
    <row r="394" spans="3:3" x14ac:dyDescent="0.25">
      <c r="C394" s="17"/>
    </row>
    <row r="395" spans="3:3" x14ac:dyDescent="0.25">
      <c r="C395" s="17"/>
    </row>
    <row r="396" spans="3:3" x14ac:dyDescent="0.25">
      <c r="C396" s="17"/>
    </row>
    <row r="397" spans="3:3" x14ac:dyDescent="0.25">
      <c r="C397" s="17"/>
    </row>
    <row r="398" spans="3:3" x14ac:dyDescent="0.25">
      <c r="C398" s="17"/>
    </row>
    <row r="399" spans="3:3" x14ac:dyDescent="0.25">
      <c r="C399" s="17"/>
    </row>
    <row r="400" spans="3:3" x14ac:dyDescent="0.25">
      <c r="C400" s="17"/>
    </row>
    <row r="401" spans="3:3" x14ac:dyDescent="0.25">
      <c r="C401" s="17"/>
    </row>
    <row r="402" spans="3:3" x14ac:dyDescent="0.25">
      <c r="C402" s="17"/>
    </row>
    <row r="403" spans="3:3" x14ac:dyDescent="0.25">
      <c r="C403" s="17"/>
    </row>
    <row r="404" spans="3:3" x14ac:dyDescent="0.25">
      <c r="C404" s="17"/>
    </row>
    <row r="405" spans="3:3" x14ac:dyDescent="0.25">
      <c r="C405" s="17"/>
    </row>
    <row r="406" spans="3:3" x14ac:dyDescent="0.25">
      <c r="C406" s="17"/>
    </row>
    <row r="407" spans="3:3" x14ac:dyDescent="0.25">
      <c r="C407" s="17"/>
    </row>
    <row r="408" spans="3:3" x14ac:dyDescent="0.25">
      <c r="C408" s="17"/>
    </row>
    <row r="409" spans="3:3" x14ac:dyDescent="0.25">
      <c r="C409" s="17"/>
    </row>
    <row r="410" spans="3:3" x14ac:dyDescent="0.25">
      <c r="C410" s="17"/>
    </row>
    <row r="411" spans="3:3" x14ac:dyDescent="0.25">
      <c r="C411" s="17"/>
    </row>
    <row r="412" spans="3:3" x14ac:dyDescent="0.25">
      <c r="C412" s="17"/>
    </row>
    <row r="413" spans="3:3" x14ac:dyDescent="0.25">
      <c r="C413" s="17"/>
    </row>
    <row r="414" spans="3:3" x14ac:dyDescent="0.25">
      <c r="C414" s="17"/>
    </row>
    <row r="415" spans="3:3" x14ac:dyDescent="0.25">
      <c r="C415" s="17"/>
    </row>
    <row r="416" spans="3:3" x14ac:dyDescent="0.25">
      <c r="C416" s="17"/>
    </row>
    <row r="417" spans="3:3" x14ac:dyDescent="0.25">
      <c r="C417" s="17"/>
    </row>
    <row r="418" spans="3:3" x14ac:dyDescent="0.25">
      <c r="C418" s="17"/>
    </row>
    <row r="419" spans="3:3" x14ac:dyDescent="0.25">
      <c r="C419" s="17"/>
    </row>
    <row r="420" spans="3:3" x14ac:dyDescent="0.25">
      <c r="C420" s="17"/>
    </row>
    <row r="421" spans="3:3" x14ac:dyDescent="0.25">
      <c r="C421" s="17"/>
    </row>
    <row r="422" spans="3:3" x14ac:dyDescent="0.25">
      <c r="C422" s="17"/>
    </row>
    <row r="423" spans="3:3" x14ac:dyDescent="0.25">
      <c r="C423" s="17"/>
    </row>
    <row r="424" spans="3:3" x14ac:dyDescent="0.25">
      <c r="C424" s="17"/>
    </row>
    <row r="425" spans="3:3" x14ac:dyDescent="0.25">
      <c r="C425" s="17"/>
    </row>
    <row r="426" spans="3:3" x14ac:dyDescent="0.25">
      <c r="C426" s="17"/>
    </row>
    <row r="427" spans="3:3" x14ac:dyDescent="0.25">
      <c r="C427" s="17"/>
    </row>
    <row r="428" spans="3:3" x14ac:dyDescent="0.25">
      <c r="C428" s="17"/>
    </row>
    <row r="429" spans="3:3" x14ac:dyDescent="0.25">
      <c r="C429" s="17"/>
    </row>
    <row r="430" spans="3:3" x14ac:dyDescent="0.25">
      <c r="C430" s="17"/>
    </row>
    <row r="431" spans="3:3" x14ac:dyDescent="0.25">
      <c r="C431" s="17"/>
    </row>
    <row r="432" spans="3:3" x14ac:dyDescent="0.25">
      <c r="C432" s="17"/>
    </row>
    <row r="433" spans="3:3" x14ac:dyDescent="0.25">
      <c r="C433" s="17"/>
    </row>
    <row r="434" spans="3:3" x14ac:dyDescent="0.25">
      <c r="C434" s="17"/>
    </row>
    <row r="435" spans="3:3" x14ac:dyDescent="0.25">
      <c r="C435" s="17"/>
    </row>
    <row r="436" spans="3:3" x14ac:dyDescent="0.25">
      <c r="C436" s="17"/>
    </row>
    <row r="437" spans="3:3" x14ac:dyDescent="0.25">
      <c r="C437" s="17"/>
    </row>
    <row r="438" spans="3:3" x14ac:dyDescent="0.25">
      <c r="C438" s="17"/>
    </row>
    <row r="439" spans="3:3" x14ac:dyDescent="0.25">
      <c r="C439" s="17"/>
    </row>
    <row r="440" spans="3:3" x14ac:dyDescent="0.25">
      <c r="C440" s="17"/>
    </row>
    <row r="441" spans="3:3" x14ac:dyDescent="0.25">
      <c r="C441" s="17"/>
    </row>
    <row r="442" spans="3:3" x14ac:dyDescent="0.25">
      <c r="C442" s="17"/>
    </row>
    <row r="443" spans="3:3" x14ac:dyDescent="0.25">
      <c r="C443" s="17"/>
    </row>
    <row r="444" spans="3:3" x14ac:dyDescent="0.25">
      <c r="C444" s="17"/>
    </row>
    <row r="445" spans="3:3" x14ac:dyDescent="0.25">
      <c r="C445" s="17"/>
    </row>
    <row r="446" spans="3:3" x14ac:dyDescent="0.25">
      <c r="C446" s="17"/>
    </row>
    <row r="447" spans="3:3" x14ac:dyDescent="0.25">
      <c r="C447" s="17"/>
    </row>
    <row r="448" spans="3:3" x14ac:dyDescent="0.25">
      <c r="C448" s="17"/>
    </row>
    <row r="449" spans="3:3" x14ac:dyDescent="0.25">
      <c r="C449" s="17"/>
    </row>
    <row r="450" spans="3:3" x14ac:dyDescent="0.25">
      <c r="C450" s="17"/>
    </row>
    <row r="451" spans="3:3" x14ac:dyDescent="0.25">
      <c r="C451" s="17"/>
    </row>
    <row r="452" spans="3:3" x14ac:dyDescent="0.25">
      <c r="C452" s="17"/>
    </row>
    <row r="453" spans="3:3" x14ac:dyDescent="0.25">
      <c r="C453" s="17"/>
    </row>
    <row r="454" spans="3:3" x14ac:dyDescent="0.25">
      <c r="C454" s="17"/>
    </row>
    <row r="455" spans="3:3" x14ac:dyDescent="0.25">
      <c r="C455" s="17"/>
    </row>
    <row r="456" spans="3:3" x14ac:dyDescent="0.25">
      <c r="C456" s="17"/>
    </row>
    <row r="457" spans="3:3" x14ac:dyDescent="0.25">
      <c r="C457" s="17"/>
    </row>
    <row r="458" spans="3:3" x14ac:dyDescent="0.25">
      <c r="C458" s="17"/>
    </row>
    <row r="459" spans="3:3" x14ac:dyDescent="0.25">
      <c r="C459" s="17"/>
    </row>
    <row r="460" spans="3:3" x14ac:dyDescent="0.25">
      <c r="C460" s="17"/>
    </row>
    <row r="461" spans="3:3" x14ac:dyDescent="0.25">
      <c r="C461" s="17"/>
    </row>
    <row r="462" spans="3:3" x14ac:dyDescent="0.25">
      <c r="C462" s="17"/>
    </row>
    <row r="463" spans="3:3" x14ac:dyDescent="0.25">
      <c r="C463" s="17"/>
    </row>
    <row r="464" spans="3:3" x14ac:dyDescent="0.25">
      <c r="C464" s="17"/>
    </row>
    <row r="465" spans="3:3" x14ac:dyDescent="0.25">
      <c r="C465" s="17"/>
    </row>
    <row r="466" spans="3:3" x14ac:dyDescent="0.25">
      <c r="C466" s="17"/>
    </row>
    <row r="467" spans="3:3" x14ac:dyDescent="0.25">
      <c r="C467" s="17"/>
    </row>
    <row r="468" spans="3:3" x14ac:dyDescent="0.25">
      <c r="C468" s="17"/>
    </row>
    <row r="469" spans="3:3" x14ac:dyDescent="0.25">
      <c r="C469" s="17"/>
    </row>
    <row r="470" spans="3:3" x14ac:dyDescent="0.25">
      <c r="C470" s="17"/>
    </row>
    <row r="471" spans="3:3" x14ac:dyDescent="0.25">
      <c r="C471" s="17"/>
    </row>
    <row r="472" spans="3:3" x14ac:dyDescent="0.25">
      <c r="C472" s="17"/>
    </row>
    <row r="473" spans="3:3" x14ac:dyDescent="0.25">
      <c r="C473" s="17"/>
    </row>
    <row r="474" spans="3:3" x14ac:dyDescent="0.25">
      <c r="C474" s="17"/>
    </row>
    <row r="475" spans="3:3" x14ac:dyDescent="0.25">
      <c r="C475" s="17"/>
    </row>
    <row r="476" spans="3:3" x14ac:dyDescent="0.25">
      <c r="C476" s="17"/>
    </row>
    <row r="477" spans="3:3" x14ac:dyDescent="0.25">
      <c r="C477" s="17"/>
    </row>
    <row r="478" spans="3:3" x14ac:dyDescent="0.25">
      <c r="C478" s="17"/>
    </row>
    <row r="479" spans="3:3" x14ac:dyDescent="0.25">
      <c r="C479" s="17"/>
    </row>
    <row r="480" spans="3:3" x14ac:dyDescent="0.25">
      <c r="C480" s="17"/>
    </row>
    <row r="481" spans="3:3" x14ac:dyDescent="0.25">
      <c r="C481" s="17"/>
    </row>
    <row r="482" spans="3:3" x14ac:dyDescent="0.25">
      <c r="C482" s="17"/>
    </row>
    <row r="483" spans="3:3" x14ac:dyDescent="0.25">
      <c r="C483" s="17"/>
    </row>
    <row r="484" spans="3:3" x14ac:dyDescent="0.25">
      <c r="C484" s="17"/>
    </row>
    <row r="485" spans="3:3" x14ac:dyDescent="0.25">
      <c r="C485" s="17"/>
    </row>
    <row r="486" spans="3:3" x14ac:dyDescent="0.25">
      <c r="C486" s="17"/>
    </row>
    <row r="487" spans="3:3" x14ac:dyDescent="0.25">
      <c r="C487" s="17"/>
    </row>
    <row r="488" spans="3:3" x14ac:dyDescent="0.25">
      <c r="C488" s="17"/>
    </row>
    <row r="489" spans="3:3" x14ac:dyDescent="0.25">
      <c r="C489" s="17"/>
    </row>
    <row r="490" spans="3:3" x14ac:dyDescent="0.25">
      <c r="C490" s="17"/>
    </row>
    <row r="491" spans="3:3" x14ac:dyDescent="0.25">
      <c r="C491" s="17"/>
    </row>
    <row r="492" spans="3:3" x14ac:dyDescent="0.25">
      <c r="C492" s="17"/>
    </row>
    <row r="493" spans="3:3" x14ac:dyDescent="0.25">
      <c r="C493" s="17"/>
    </row>
    <row r="494" spans="3:3" x14ac:dyDescent="0.25">
      <c r="C494" s="17"/>
    </row>
    <row r="495" spans="3:3" x14ac:dyDescent="0.25">
      <c r="C495" s="17"/>
    </row>
    <row r="496" spans="3:3" x14ac:dyDescent="0.25">
      <c r="C496" s="17"/>
    </row>
    <row r="497" spans="3:3" x14ac:dyDescent="0.25">
      <c r="C497" s="17"/>
    </row>
    <row r="498" spans="3:3" x14ac:dyDescent="0.25">
      <c r="C498" s="17"/>
    </row>
    <row r="499" spans="3:3" x14ac:dyDescent="0.25">
      <c r="C499" s="17"/>
    </row>
    <row r="500" spans="3:3" x14ac:dyDescent="0.25">
      <c r="C500" s="17"/>
    </row>
    <row r="501" spans="3:3" x14ac:dyDescent="0.25">
      <c r="C501" s="17"/>
    </row>
    <row r="502" spans="3:3" x14ac:dyDescent="0.25">
      <c r="C502" s="17"/>
    </row>
    <row r="503" spans="3:3" x14ac:dyDescent="0.25">
      <c r="C503" s="17"/>
    </row>
    <row r="504" spans="3:3" x14ac:dyDescent="0.25">
      <c r="C504" s="17"/>
    </row>
    <row r="505" spans="3:3" x14ac:dyDescent="0.25">
      <c r="C505" s="17"/>
    </row>
    <row r="506" spans="3:3" x14ac:dyDescent="0.25">
      <c r="C506" s="17"/>
    </row>
    <row r="507" spans="3:3" x14ac:dyDescent="0.25">
      <c r="C507" s="17"/>
    </row>
    <row r="508" spans="3:3" x14ac:dyDescent="0.25">
      <c r="C508" s="17"/>
    </row>
    <row r="509" spans="3:3" x14ac:dyDescent="0.25">
      <c r="C509" s="17"/>
    </row>
    <row r="510" spans="3:3" x14ac:dyDescent="0.25">
      <c r="C510" s="17"/>
    </row>
    <row r="511" spans="3:3" x14ac:dyDescent="0.25">
      <c r="C511" s="17"/>
    </row>
    <row r="512" spans="3:3" x14ac:dyDescent="0.25">
      <c r="C512" s="17"/>
    </row>
    <row r="513" spans="3:3" x14ac:dyDescent="0.25">
      <c r="C513" s="17"/>
    </row>
    <row r="514" spans="3:3" x14ac:dyDescent="0.25">
      <c r="C514" s="17"/>
    </row>
    <row r="515" spans="3:3" x14ac:dyDescent="0.25">
      <c r="C515" s="17"/>
    </row>
    <row r="516" spans="3:3" x14ac:dyDescent="0.25">
      <c r="C516" s="17"/>
    </row>
    <row r="517" spans="3:3" x14ac:dyDescent="0.25">
      <c r="C517" s="17"/>
    </row>
    <row r="518" spans="3:3" x14ac:dyDescent="0.25">
      <c r="C518" s="17"/>
    </row>
    <row r="519" spans="3:3" x14ac:dyDescent="0.25">
      <c r="C519" s="17"/>
    </row>
    <row r="520" spans="3:3" x14ac:dyDescent="0.25">
      <c r="C520" s="17"/>
    </row>
    <row r="521" spans="3:3" x14ac:dyDescent="0.25">
      <c r="C521" s="17"/>
    </row>
    <row r="522" spans="3:3" x14ac:dyDescent="0.25">
      <c r="C522" s="17"/>
    </row>
    <row r="523" spans="3:3" x14ac:dyDescent="0.25">
      <c r="C523" s="17"/>
    </row>
    <row r="524" spans="3:3" x14ac:dyDescent="0.25">
      <c r="C524" s="17"/>
    </row>
    <row r="525" spans="3:3" x14ac:dyDescent="0.25">
      <c r="C525" s="17"/>
    </row>
    <row r="526" spans="3:3" x14ac:dyDescent="0.25">
      <c r="C526" s="17"/>
    </row>
    <row r="527" spans="3:3" x14ac:dyDescent="0.25">
      <c r="C527" s="17"/>
    </row>
    <row r="528" spans="3:3" x14ac:dyDescent="0.25">
      <c r="C528" s="17"/>
    </row>
    <row r="529" spans="3:3" x14ac:dyDescent="0.25">
      <c r="C529" s="17"/>
    </row>
    <row r="530" spans="3:3" x14ac:dyDescent="0.25">
      <c r="C530" s="17"/>
    </row>
    <row r="531" spans="3:3" x14ac:dyDescent="0.25">
      <c r="C531" s="17"/>
    </row>
    <row r="532" spans="3:3" x14ac:dyDescent="0.25">
      <c r="C532" s="17"/>
    </row>
    <row r="533" spans="3:3" x14ac:dyDescent="0.25">
      <c r="C533" s="17"/>
    </row>
    <row r="534" spans="3:3" x14ac:dyDescent="0.25">
      <c r="C534" s="17"/>
    </row>
    <row r="535" spans="3:3" x14ac:dyDescent="0.25">
      <c r="C535" s="17"/>
    </row>
    <row r="536" spans="3:3" x14ac:dyDescent="0.25">
      <c r="C536" s="17"/>
    </row>
    <row r="537" spans="3:3" x14ac:dyDescent="0.25">
      <c r="C537" s="17"/>
    </row>
    <row r="538" spans="3:3" x14ac:dyDescent="0.25">
      <c r="C538" s="17"/>
    </row>
    <row r="539" spans="3:3" x14ac:dyDescent="0.25">
      <c r="C539" s="17"/>
    </row>
    <row r="540" spans="3:3" x14ac:dyDescent="0.25">
      <c r="C540" s="17"/>
    </row>
    <row r="541" spans="3:3" x14ac:dyDescent="0.25">
      <c r="C541" s="17"/>
    </row>
    <row r="542" spans="3:3" x14ac:dyDescent="0.25">
      <c r="C542" s="17"/>
    </row>
    <row r="543" spans="3:3" x14ac:dyDescent="0.25">
      <c r="C543" s="17"/>
    </row>
    <row r="544" spans="3:3" x14ac:dyDescent="0.25">
      <c r="C544" s="17"/>
    </row>
    <row r="545" spans="3:3" x14ac:dyDescent="0.25">
      <c r="C545" s="17"/>
    </row>
    <row r="546" spans="3:3" x14ac:dyDescent="0.25">
      <c r="C546" s="17"/>
    </row>
    <row r="547" spans="3:3" x14ac:dyDescent="0.25">
      <c r="C547" s="17"/>
    </row>
    <row r="548" spans="3:3" x14ac:dyDescent="0.25">
      <c r="C548" s="17"/>
    </row>
    <row r="549" spans="3:3" x14ac:dyDescent="0.25">
      <c r="C549" s="17"/>
    </row>
    <row r="550" spans="3:3" x14ac:dyDescent="0.25">
      <c r="C550" s="17"/>
    </row>
    <row r="551" spans="3:3" x14ac:dyDescent="0.25">
      <c r="C551" s="17"/>
    </row>
    <row r="552" spans="3:3" x14ac:dyDescent="0.25">
      <c r="C552" s="17"/>
    </row>
    <row r="553" spans="3:3" x14ac:dyDescent="0.25">
      <c r="C553" s="17"/>
    </row>
    <row r="554" spans="3:3" x14ac:dyDescent="0.25">
      <c r="C554" s="17"/>
    </row>
    <row r="555" spans="3:3" x14ac:dyDescent="0.25">
      <c r="C555" s="17"/>
    </row>
    <row r="556" spans="3:3" x14ac:dyDescent="0.25">
      <c r="C556" s="17"/>
    </row>
    <row r="557" spans="3:3" x14ac:dyDescent="0.25">
      <c r="C557" s="17"/>
    </row>
    <row r="558" spans="3:3" x14ac:dyDescent="0.25">
      <c r="C558" s="17"/>
    </row>
    <row r="559" spans="3:3" x14ac:dyDescent="0.25">
      <c r="C559" s="17"/>
    </row>
    <row r="560" spans="3:3" x14ac:dyDescent="0.25">
      <c r="C560" s="17"/>
    </row>
    <row r="561" spans="3:3" x14ac:dyDescent="0.25">
      <c r="C561" s="17"/>
    </row>
    <row r="562" spans="3:3" x14ac:dyDescent="0.25">
      <c r="C562" s="17"/>
    </row>
    <row r="563" spans="3:3" x14ac:dyDescent="0.25">
      <c r="C563" s="17"/>
    </row>
    <row r="564" spans="3:3" x14ac:dyDescent="0.25">
      <c r="C564" s="17"/>
    </row>
    <row r="565" spans="3:3" x14ac:dyDescent="0.25">
      <c r="C565" s="17"/>
    </row>
    <row r="566" spans="3:3" x14ac:dyDescent="0.25">
      <c r="C566" s="17"/>
    </row>
    <row r="567" spans="3:3" x14ac:dyDescent="0.25">
      <c r="C567" s="17"/>
    </row>
    <row r="568" spans="3:3" x14ac:dyDescent="0.25">
      <c r="C568" s="17"/>
    </row>
    <row r="569" spans="3:3" x14ac:dyDescent="0.25">
      <c r="C569" s="17"/>
    </row>
    <row r="570" spans="3:3" x14ac:dyDescent="0.25">
      <c r="C570" s="17"/>
    </row>
    <row r="571" spans="3:3" x14ac:dyDescent="0.25">
      <c r="C571" s="17"/>
    </row>
    <row r="572" spans="3:3" x14ac:dyDescent="0.25">
      <c r="C572" s="17"/>
    </row>
    <row r="573" spans="3:3" x14ac:dyDescent="0.25">
      <c r="C573" s="17"/>
    </row>
    <row r="574" spans="3:3" x14ac:dyDescent="0.25">
      <c r="C574" s="17"/>
    </row>
    <row r="575" spans="3:3" x14ac:dyDescent="0.25">
      <c r="C575" s="17"/>
    </row>
    <row r="576" spans="3:3" x14ac:dyDescent="0.25">
      <c r="C576" s="17"/>
    </row>
    <row r="577" spans="3:3" x14ac:dyDescent="0.25">
      <c r="C577" s="17"/>
    </row>
    <row r="578" spans="3:3" x14ac:dyDescent="0.25">
      <c r="C578" s="17"/>
    </row>
    <row r="579" spans="3:3" x14ac:dyDescent="0.25">
      <c r="C579" s="17"/>
    </row>
    <row r="580" spans="3:3" x14ac:dyDescent="0.25">
      <c r="C580" s="17"/>
    </row>
    <row r="581" spans="3:3" x14ac:dyDescent="0.25">
      <c r="C581" s="17"/>
    </row>
    <row r="582" spans="3:3" x14ac:dyDescent="0.25">
      <c r="C582" s="17"/>
    </row>
    <row r="583" spans="3:3" x14ac:dyDescent="0.25">
      <c r="C583" s="17"/>
    </row>
    <row r="584" spans="3:3" x14ac:dyDescent="0.25">
      <c r="C584" s="17"/>
    </row>
    <row r="585" spans="3:3" x14ac:dyDescent="0.25">
      <c r="C585" s="17"/>
    </row>
    <row r="586" spans="3:3" x14ac:dyDescent="0.25">
      <c r="C586" s="17"/>
    </row>
    <row r="587" spans="3:3" x14ac:dyDescent="0.25">
      <c r="C587" s="17"/>
    </row>
    <row r="588" spans="3:3" x14ac:dyDescent="0.25">
      <c r="C588" s="17"/>
    </row>
    <row r="589" spans="3:3" x14ac:dyDescent="0.25">
      <c r="C589" s="17"/>
    </row>
    <row r="590" spans="3:3" x14ac:dyDescent="0.25">
      <c r="C590" s="17"/>
    </row>
    <row r="591" spans="3:3" x14ac:dyDescent="0.25">
      <c r="C591" s="17"/>
    </row>
    <row r="592" spans="3:3" x14ac:dyDescent="0.25">
      <c r="C592" s="17"/>
    </row>
    <row r="593" spans="3:3" x14ac:dyDescent="0.25">
      <c r="C593" s="17"/>
    </row>
    <row r="594" spans="3:3" x14ac:dyDescent="0.25">
      <c r="C594" s="17"/>
    </row>
    <row r="595" spans="3:3" x14ac:dyDescent="0.25">
      <c r="C595" s="17"/>
    </row>
    <row r="596" spans="3:3" x14ac:dyDescent="0.25">
      <c r="C596" s="17"/>
    </row>
    <row r="597" spans="3:3" x14ac:dyDescent="0.25">
      <c r="C597" s="17"/>
    </row>
    <row r="598" spans="3:3" x14ac:dyDescent="0.25">
      <c r="C598" s="17"/>
    </row>
    <row r="599" spans="3:3" x14ac:dyDescent="0.25">
      <c r="C599" s="17"/>
    </row>
    <row r="600" spans="3:3" x14ac:dyDescent="0.25">
      <c r="C600" s="17"/>
    </row>
    <row r="601" spans="3:3" x14ac:dyDescent="0.25">
      <c r="C601" s="17"/>
    </row>
    <row r="602" spans="3:3" x14ac:dyDescent="0.25">
      <c r="C602" s="17"/>
    </row>
    <row r="603" spans="3:3" x14ac:dyDescent="0.25">
      <c r="C603" s="17"/>
    </row>
    <row r="604" spans="3:3" x14ac:dyDescent="0.25">
      <c r="C604" s="17"/>
    </row>
    <row r="605" spans="3:3" x14ac:dyDescent="0.25">
      <c r="C605" s="17"/>
    </row>
    <row r="606" spans="3:3" x14ac:dyDescent="0.25">
      <c r="C606" s="17"/>
    </row>
    <row r="607" spans="3:3" x14ac:dyDescent="0.25">
      <c r="C607" s="17"/>
    </row>
    <row r="608" spans="3:3" x14ac:dyDescent="0.25">
      <c r="C608" s="17"/>
    </row>
    <row r="609" spans="3:3" x14ac:dyDescent="0.25">
      <c r="C609" s="17"/>
    </row>
    <row r="610" spans="3:3" x14ac:dyDescent="0.25">
      <c r="C610" s="17"/>
    </row>
    <row r="611" spans="3:3" x14ac:dyDescent="0.25">
      <c r="C611" s="17"/>
    </row>
    <row r="612" spans="3:3" x14ac:dyDescent="0.25">
      <c r="C612" s="17"/>
    </row>
    <row r="613" spans="3:3" x14ac:dyDescent="0.25">
      <c r="C613" s="17"/>
    </row>
    <row r="614" spans="3:3" x14ac:dyDescent="0.25">
      <c r="C614" s="17"/>
    </row>
    <row r="615" spans="3:3" x14ac:dyDescent="0.25">
      <c r="C615" s="17"/>
    </row>
    <row r="616" spans="3:3" x14ac:dyDescent="0.25">
      <c r="C616" s="17"/>
    </row>
    <row r="617" spans="3:3" x14ac:dyDescent="0.25">
      <c r="C617" s="17"/>
    </row>
    <row r="618" spans="3:3" x14ac:dyDescent="0.25">
      <c r="C618" s="17"/>
    </row>
    <row r="619" spans="3:3" x14ac:dyDescent="0.25">
      <c r="C619" s="17"/>
    </row>
    <row r="620" spans="3:3" x14ac:dyDescent="0.25">
      <c r="C620" s="17"/>
    </row>
    <row r="621" spans="3:3" x14ac:dyDescent="0.25">
      <c r="C621" s="17"/>
    </row>
    <row r="622" spans="3:3" x14ac:dyDescent="0.25">
      <c r="C622" s="17"/>
    </row>
    <row r="623" spans="3:3" x14ac:dyDescent="0.25">
      <c r="C623" s="17"/>
    </row>
    <row r="624" spans="3:3" x14ac:dyDescent="0.25">
      <c r="C624" s="17"/>
    </row>
    <row r="625" spans="3:3" x14ac:dyDescent="0.25">
      <c r="C625" s="17"/>
    </row>
    <row r="626" spans="3:3" x14ac:dyDescent="0.25">
      <c r="C626" s="17"/>
    </row>
    <row r="627" spans="3:3" x14ac:dyDescent="0.25">
      <c r="C627" s="17"/>
    </row>
    <row r="628" spans="3:3" x14ac:dyDescent="0.25">
      <c r="C628" s="17"/>
    </row>
    <row r="629" spans="3:3" x14ac:dyDescent="0.25">
      <c r="C629" s="17"/>
    </row>
    <row r="630" spans="3:3" x14ac:dyDescent="0.25">
      <c r="C630" s="17"/>
    </row>
    <row r="631" spans="3:3" x14ac:dyDescent="0.25">
      <c r="C631" s="17"/>
    </row>
    <row r="632" spans="3:3" x14ac:dyDescent="0.25">
      <c r="C632" s="17"/>
    </row>
    <row r="633" spans="3:3" x14ac:dyDescent="0.25">
      <c r="C633" s="17"/>
    </row>
    <row r="634" spans="3:3" x14ac:dyDescent="0.25">
      <c r="C634" s="17"/>
    </row>
    <row r="635" spans="3:3" x14ac:dyDescent="0.25">
      <c r="C635" s="17"/>
    </row>
    <row r="636" spans="3:3" x14ac:dyDescent="0.25">
      <c r="C636" s="17"/>
    </row>
    <row r="637" spans="3:3" x14ac:dyDescent="0.25">
      <c r="C637" s="17"/>
    </row>
    <row r="638" spans="3:3" x14ac:dyDescent="0.25">
      <c r="C638" s="17"/>
    </row>
    <row r="639" spans="3:3" x14ac:dyDescent="0.25">
      <c r="C639" s="17"/>
    </row>
    <row r="640" spans="3:3" x14ac:dyDescent="0.25">
      <c r="C640" s="17"/>
    </row>
    <row r="641" spans="3:3" x14ac:dyDescent="0.25">
      <c r="C641" s="17"/>
    </row>
    <row r="642" spans="3:3" x14ac:dyDescent="0.25">
      <c r="C642" s="17"/>
    </row>
    <row r="643" spans="3:3" x14ac:dyDescent="0.25">
      <c r="C643" s="17"/>
    </row>
    <row r="644" spans="3:3" x14ac:dyDescent="0.25">
      <c r="C644" s="17"/>
    </row>
    <row r="645" spans="3:3" x14ac:dyDescent="0.25">
      <c r="C645" s="17"/>
    </row>
    <row r="646" spans="3:3" x14ac:dyDescent="0.25">
      <c r="C646" s="17"/>
    </row>
    <row r="647" spans="3:3" x14ac:dyDescent="0.25">
      <c r="C647" s="17"/>
    </row>
    <row r="648" spans="3:3" x14ac:dyDescent="0.25">
      <c r="C648" s="17"/>
    </row>
    <row r="649" spans="3:3" x14ac:dyDescent="0.25">
      <c r="C649" s="17"/>
    </row>
    <row r="650" spans="3:3" x14ac:dyDescent="0.25">
      <c r="C650" s="17"/>
    </row>
    <row r="651" spans="3:3" x14ac:dyDescent="0.25">
      <c r="C651" s="17"/>
    </row>
    <row r="652" spans="3:3" x14ac:dyDescent="0.25">
      <c r="C652" s="17"/>
    </row>
    <row r="653" spans="3:3" x14ac:dyDescent="0.25">
      <c r="C653" s="17"/>
    </row>
    <row r="654" spans="3:3" x14ac:dyDescent="0.25">
      <c r="C654" s="17"/>
    </row>
    <row r="655" spans="3:3" x14ac:dyDescent="0.25">
      <c r="C655" s="17"/>
    </row>
    <row r="656" spans="3:3" x14ac:dyDescent="0.25">
      <c r="C656" s="17"/>
    </row>
    <row r="657" spans="3:3" x14ac:dyDescent="0.25">
      <c r="C657" s="17"/>
    </row>
    <row r="658" spans="3:3" x14ac:dyDescent="0.25">
      <c r="C658" s="17"/>
    </row>
    <row r="659" spans="3:3" x14ac:dyDescent="0.25">
      <c r="C659" s="17"/>
    </row>
    <row r="660" spans="3:3" x14ac:dyDescent="0.25">
      <c r="C660" s="17"/>
    </row>
    <row r="661" spans="3:3" x14ac:dyDescent="0.25">
      <c r="C661" s="17"/>
    </row>
    <row r="662" spans="3:3" x14ac:dyDescent="0.25">
      <c r="C662" s="17"/>
    </row>
    <row r="663" spans="3:3" x14ac:dyDescent="0.25">
      <c r="C663" s="17"/>
    </row>
    <row r="664" spans="3:3" x14ac:dyDescent="0.25">
      <c r="C664" s="17"/>
    </row>
    <row r="665" spans="3:3" x14ac:dyDescent="0.25">
      <c r="C665" s="17"/>
    </row>
    <row r="666" spans="3:3" x14ac:dyDescent="0.25">
      <c r="C666" s="17"/>
    </row>
    <row r="667" spans="3:3" x14ac:dyDescent="0.25">
      <c r="C667" s="17"/>
    </row>
    <row r="668" spans="3:3" x14ac:dyDescent="0.25">
      <c r="C668" s="17"/>
    </row>
    <row r="669" spans="3:3" x14ac:dyDescent="0.25">
      <c r="C669" s="17"/>
    </row>
    <row r="670" spans="3:3" x14ac:dyDescent="0.25">
      <c r="C670" s="17"/>
    </row>
    <row r="671" spans="3:3" x14ac:dyDescent="0.25">
      <c r="C671" s="17"/>
    </row>
    <row r="672" spans="3:3" x14ac:dyDescent="0.25">
      <c r="C672" s="17"/>
    </row>
    <row r="673" spans="3:3" x14ac:dyDescent="0.25">
      <c r="C673" s="17"/>
    </row>
    <row r="674" spans="3:3" x14ac:dyDescent="0.25">
      <c r="C674" s="17"/>
    </row>
    <row r="675" spans="3:3" x14ac:dyDescent="0.25">
      <c r="C675" s="17"/>
    </row>
    <row r="676" spans="3:3" x14ac:dyDescent="0.25">
      <c r="C676" s="17"/>
    </row>
    <row r="677" spans="3:3" x14ac:dyDescent="0.25">
      <c r="C677" s="17"/>
    </row>
    <row r="678" spans="3:3" x14ac:dyDescent="0.25">
      <c r="C678" s="17"/>
    </row>
    <row r="679" spans="3:3" x14ac:dyDescent="0.25">
      <c r="C679" s="17"/>
    </row>
    <row r="680" spans="3:3" x14ac:dyDescent="0.25">
      <c r="C680" s="17"/>
    </row>
    <row r="681" spans="3:3" x14ac:dyDescent="0.25">
      <c r="C681" s="17"/>
    </row>
    <row r="682" spans="3:3" x14ac:dyDescent="0.25">
      <c r="C682" s="17"/>
    </row>
    <row r="683" spans="3:3" x14ac:dyDescent="0.25">
      <c r="C683" s="17"/>
    </row>
    <row r="684" spans="3:3" x14ac:dyDescent="0.25">
      <c r="C684" s="17"/>
    </row>
    <row r="685" spans="3:3" x14ac:dyDescent="0.25">
      <c r="C685" s="17"/>
    </row>
    <row r="686" spans="3:3" x14ac:dyDescent="0.25">
      <c r="C686" s="17"/>
    </row>
    <row r="687" spans="3:3" x14ac:dyDescent="0.25">
      <c r="C687" s="17"/>
    </row>
    <row r="688" spans="3:3" x14ac:dyDescent="0.25">
      <c r="C688" s="17"/>
    </row>
    <row r="689" spans="3:3" x14ac:dyDescent="0.25">
      <c r="C689" s="17"/>
    </row>
    <row r="690" spans="3:3" x14ac:dyDescent="0.25">
      <c r="C690" s="17"/>
    </row>
    <row r="691" spans="3:3" x14ac:dyDescent="0.25">
      <c r="C691" s="17"/>
    </row>
    <row r="692" spans="3:3" x14ac:dyDescent="0.25">
      <c r="C692" s="17"/>
    </row>
    <row r="693" spans="3:3" x14ac:dyDescent="0.25">
      <c r="C693" s="17"/>
    </row>
    <row r="694" spans="3:3" x14ac:dyDescent="0.25">
      <c r="C694" s="17"/>
    </row>
    <row r="695" spans="3:3" x14ac:dyDescent="0.25">
      <c r="C695" s="17"/>
    </row>
    <row r="696" spans="3:3" x14ac:dyDescent="0.25">
      <c r="C696" s="17"/>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9178F94AECDCE142805E217C6740B622" ma:contentTypeVersion="5" ma:contentTypeDescription="Create a new document." ma:contentTypeScope="" ma:versionID="f7cefb8ccc6c64da5b2ef93305f16297">
  <xsd:schema xmlns:xsd="http://www.w3.org/2001/XMLSchema" xmlns:xs="http://www.w3.org/2001/XMLSchema" xmlns:p="http://schemas.microsoft.com/office/2006/metadata/properties" xmlns:ns2="85c78508-e54a-48f2-993e-4acc853f9978" targetNamespace="http://schemas.microsoft.com/office/2006/metadata/properties" ma:root="true" ma:fieldsID="8a090f17d6b22424285f7baeb5c904df" ns2:_="">
    <xsd:import namespace="85c78508-e54a-48f2-993e-4acc853f9978"/>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5c78508-e54a-48f2-993e-4acc853f997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35F59C3-544E-4F51-8CDE-3569326008B7}">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6CADFE26-AFD7-456F-ABFC-E9FC87F469E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5c78508-e54a-48f2-993e-4acc853f997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F87D2DE-8B59-437C-B3D3-43917987AE1D}">
  <ds:schemaRefs>
    <ds:schemaRef ds:uri="http://schemas.microsoft.com/sharepoint/v3/contenttype/forms"/>
  </ds:schemaRefs>
</ds:datastoreItem>
</file>

<file path=docMetadata/LabelInfo.xml><?xml version="1.0" encoding="utf-8"?>
<clbl:labelList xmlns:clbl="http://schemas.microsoft.com/office/2020/mipLabelMetadata">
  <clbl:label id="{70115954-0ccd-45f0-87bd-03b2a3587569}" enabled="0" method="" siteId="{70115954-0ccd-45f0-87bd-03b2a3587569}"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risk</vt:lpstr>
      <vt:lpstr>attendance</vt:lpstr>
      <vt:lpstr>ISO 17025</vt:lpstr>
      <vt:lpstr>Definition </vt:lpstr>
      <vt:lpstr>TCD for Jeff H</vt:lpstr>
      <vt:lpstr>Sheet1</vt:lpstr>
      <vt:lpstr>Site_NA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Windler, Michael J.</dc:creator>
  <cp:lastModifiedBy>Berger, Kenneth</cp:lastModifiedBy>
  <dcterms:created xsi:type="dcterms:W3CDTF">2020-05-27T16:23:17Z</dcterms:created>
  <dcterms:modified xsi:type="dcterms:W3CDTF">2023-08-25T16:23:11Z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0x0101009178F94AECDCE142805E217C6740B622</vt:lpwstr>
  </property>
</Properties>
</file>