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95, Life S&amp;S/"/>
    </mc:Choice>
  </mc:AlternateContent>
  <xr:revisionPtr revIDLastSave="625" documentId="8_{32EC0CC8-68D1-4E4F-99B8-6C46D08D43FC}" xr6:coauthVersionLast="47" xr6:coauthVersionMax="47" xr10:uidLastSave="{EFB585FC-41E9-4754-83A1-AF26F1FA75B7}"/>
  <bookViews>
    <workbookView xWindow="-120" yWindow="-120" windowWidth="27870" windowHeight="16440" activeTab="2" xr2:uid="{5426C36E-AAE0-45E3-9C4C-2C971D0504DB}"/>
  </bookViews>
  <sheets>
    <sheet name="ISO 17065" sheetId="13" r:id="rId1"/>
    <sheet name="ISO 17025" sheetId="10" r:id="rId2"/>
    <sheet name="risk" sheetId="16" r:id="rId3"/>
    <sheet name="attendance" sheetId="15" r:id="rId4"/>
    <sheet name="Definition " sheetId="11" r:id="rId5"/>
    <sheet name="Sheet1" sheetId="14" state="hidden" r:id="rId6"/>
  </sheets>
  <definedNames>
    <definedName name="_xlnm._FilterDatabase" localSheetId="1" hidden="1">'ISO 17025'!$Q$2:$Q$83</definedName>
    <definedName name="_xlnm._FilterDatabase" localSheetId="0" hidden="1">'ISO 17065'!$A$2:$U$29</definedName>
    <definedName name="EnsuringValiditysite">'ISO 17025'!$H$16</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6" l="1"/>
  <c r="C4"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tc={B49824A9-694F-428B-B9ED-FCC8B697A160}</author>
    <author>tc={6D00E5E5-ED77-47B3-8174-68779A9E8EC9}</author>
    <author>tc={3C900C8F-04F4-4667-BAE2-16810D464EEB}</author>
    <author>tc={67AC82C2-DD59-4FAC-93C8-D0F5A095B170}</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67AC82C2-DD59-4FAC-93C8-D0F5A095B17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<sst xmlns="http://schemas.openxmlformats.org/spreadsheetml/2006/main" count="1282" uniqueCount="981">
  <si>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</si>
  <si>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</si>
  <si>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</si>
  <si>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</si>
  <si>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</si>
  <si>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</si>
  <si>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</si>
  <si>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</si>
  <si>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</si>
  <si>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</si>
  <si>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</si>
  <si>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</si>
  <si>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</si>
  <si>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</si>
  <si>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</si>
  <si>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</si>
  <si>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</si>
  <si>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</si>
  <si>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</si>
  <si>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</si>
  <si>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</si>
  <si>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</si>
  <si>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</si>
  <si>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</si>
  <si>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</si>
  <si>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</si>
  <si>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</si>
  <si>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</si>
  <si>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</si>
  <si>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</si>
  <si>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</si>
  <si>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</si>
  <si>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</si>
  <si>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</si>
  <si>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</si>
  <si>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</si>
  <si>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</si>
  <si>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</si>
  <si>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</si>
  <si>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</si>
  <si>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</si>
  <si>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</si>
  <si>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</si>
  <si>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</si>
  <si>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</si>
  <si>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</si>
  <si>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</si>
  <si>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</si>
  <si>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</si>
  <si>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</si>
  <si>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</si>
  <si>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</si>
  <si>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</si>
  <si>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</si>
  <si>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</si>
  <si>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</si>
  <si>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</si>
  <si>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</si>
  <si>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</si>
  <si>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</si>
  <si>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</si>
  <si>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</si>
  <si>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</si>
  <si>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</si>
  <si>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</si>
  <si>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</si>
  <si>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</si>
  <si>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</si>
  <si>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</si>
  <si>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</si>
  <si>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</si>
  <si>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</si>
  <si>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</si>
  <si>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</si>
  <si>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</si>
  <si>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</si>
  <si>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</si>
  <si>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</si>
  <si>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</si>
  <si>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</si>
  <si>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</si>
  <si>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</si>
  <si>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</si>
  <si>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</si>
  <si>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</si>
  <si>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</si>
  <si>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</si>
  <si>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</si>
  <si>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</si>
  <si>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</si>
  <si>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</si>
  <si>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</si>
  <si>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</si>
  <si>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</si>
  <si>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</si>
  <si>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</si>
  <si>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</si>
  <si>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</si>
  <si>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</si>
  <si>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</si>
  <si>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</si>
  <si>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</si>
  <si>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</si>
  <si>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</si>
  <si>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</si>
  <si>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</si>
  <si>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</si>
  <si>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</si>
  <si>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</si>
  <si>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</si>
  <si>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</si>
  <si>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</si>
  <si>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</si>
  <si>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</si>
  <si>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</si>
  <si>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</si>
  <si>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</si>
  <si>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</si>
  <si>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</si>
  <si>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</si>
  <si>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</si>
  <si>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</si>
  <si>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</si>
  <si>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</si>
  <si>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</si>
  <si>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</si>
  <si>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</si>
  <si>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</si>
  <si>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</si>
  <si>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</si>
  <si>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</si>
  <si>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</si>
  <si>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</si>
  <si>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</si>
  <si>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</si>
  <si>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</si>
  <si>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</si>
  <si>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</si>
  <si>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</si>
  <si>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</si>
  <si>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</si>
  <si>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</si>
  <si>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</si>
  <si>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</si>
  <si>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</si>
  <si>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</si>
  <si>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</si>
  <si>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</si>
  <si>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</si>
  <si>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</si>
  <si>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</si>
  <si>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</si>
  <si>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</si>
  <si>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</si>
  <si>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</si>
  <si>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</si>
  <si>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</si>
  <si>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</si>
  <si>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</si>
  <si>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</si>
  <si>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</si>
  <si>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</si>
  <si>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</si>
  <si>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</si>
  <si>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</si>
  <si>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</si>
  <si>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</si>
  <si>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</si>
  <si>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</si>
  <si>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</si>
  <si>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</si>
  <si>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</si>
  <si>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</si>
  <si>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</si>
  <si>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</si>
  <si>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</si>
  <si>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</si>
  <si>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</si>
  <si>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</si>
  <si>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</si>
  <si>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</si>
  <si>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</si>
  <si>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</si>
  <si>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</si>
  <si>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</si>
  <si>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</si>
  <si>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</si>
  <si>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</si>
  <si>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</si>
  <si>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</si>
  <si>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</si>
  <si>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</si>
  <si>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</si>
  <si>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</si>
  <si>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</si>
  <si>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</si>
  <si>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</si>
  <si>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</si>
  <si>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</si>
  <si>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</si>
  <si>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</si>
  <si>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</si>
  <si>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</si>
  <si>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</si>
  <si>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</si>
  <si>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</si>
  <si>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</si>
  <si>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</si>
  <si>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</si>
  <si>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</si>
  <si>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</si>
  <si>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</si>
  <si>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</si>
  <si>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</si>
  <si>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</si>
  <si>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</si>
  <si>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</si>
  <si>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</si>
  <si>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</si>
  <si>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</si>
  <si>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</si>
  <si>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</si>
  <si>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</si>
  <si>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</si>
  <si>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</si>
  <si>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</si>
  <si>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</si>
  <si>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</si>
  <si>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</si>
  <si>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</si>
  <si>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</si>
  <si>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</si>
  <si>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</si>
  <si>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</si>
  <si>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</si>
  <si>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</si>
  <si>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</si>
  <si>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</si>
  <si>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</si>
  <si>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</si>
  <si>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</si>
  <si>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</si>
  <si>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</si>
  <si>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</si>
  <si>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</si>
  <si>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</si>
  <si>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</si>
  <si>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</si>
  <si>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</si>
  <si>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</si>
  <si>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</si>
  <si>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</si>
  <si>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</si>
  <si>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</si>
  <si>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</si>
  <si>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</si>
  <si>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</si>
  <si>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</si>
  <si>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</si>
  <si>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</si>
  <si>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</si>
  <si>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</si>
  <si>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</si>
  <si>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</si>
  <si>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</si>
  <si>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</si>
  <si>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</si>
  <si>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</si>
  <si>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</si>
  <si>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</si>
  <si>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</si>
  <si>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</si>
  <si>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</si>
  <si>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</si>
  <si>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</si>
  <si>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</si>
  <si>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</si>
  <si>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</si>
  <si>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</si>
  <si>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</si>
  <si>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</si>
  <si>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</si>
  <si>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</si>
  <si>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</si>
  <si>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</si>
  <si>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</si>
  <si>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</si>
  <si>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</si>
  <si>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</si>
  <si>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</si>
  <si>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</si>
  <si>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</si>
  <si>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</si>
  <si>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</si>
  <si>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</si>
  <si>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</si>
  <si>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</si>
  <si>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</si>
  <si>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</si>
  <si>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</si>
  <si>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</si>
  <si>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</si>
  <si>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</si>
  <si>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</si>
  <si>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</si>
  <si>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</si>
  <si>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</si>
  <si>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</si>
  <si>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</si>
  <si>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</si>
  <si>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</si>
  <si>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</si>
  <si>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</si>
  <si>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</si>
  <si>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</si>
  <si>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</si>
  <si>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</si>
  <si>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</si>
  <si>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</si>
  <si>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</si>
  <si>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</si>
  <si>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</si>
  <si>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</si>
  <si>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</si>
  <si>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</si>
  <si>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</si>
  <si>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</si>
  <si>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</si>
  <si>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</si>
  <si>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</si>
  <si>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</si>
  <si>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</si>
  <si>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</si>
  <si>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</si>
  <si>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</si>
  <si>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</si>
  <si>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</si>
  <si>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</si>
  <si>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</si>
  <si>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</si>
  <si>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</si>
  <si>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</si>
  <si>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</si>
  <si>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</si>
  <si>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</si>
  <si>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</si>
  <si>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</si>
  <si>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</si>
  <si>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</si>
  <si>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</si>
  <si>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</si>
  <si>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</si>
  <si>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</si>
  <si>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</si>
  <si>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</si>
  <si>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</si>
  <si>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</si>
  <si>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</si>
  <si>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</si>
  <si>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</si>
  <si>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</si>
  <si>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</si>
  <si>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</si>
  <si>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</si>
  <si>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</si>
  <si>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</si>
  <si>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</si>
  <si>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</si>
  <si>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</si>
  <si>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</si>
  <si>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</si>
  <si>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</si>
  <si>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</si>
  <si>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</si>
  <si>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</si>
  <si>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</si>
  <si>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</si>
  <si>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</si>
  <si>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</si>
  <si>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</si>
  <si>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</si>
  <si>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</si>
  <si>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</si>
  <si>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</si>
  <si>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</si>
  <si>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</si>
  <si>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</si>
  <si>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</si>
  <si>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</si>
  <si>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</si>
  <si>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</si>
  <si>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</si>
  <si>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</si>
  <si>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</si>
  <si>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</si>
  <si>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</si>
  <si>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</si>
  <si>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</si>
  <si>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</si>
  <si>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</si>
  <si>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</si>
  <si>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</si>
  <si>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</si>
  <si>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</si>
  <si>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</si>
  <si>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</si>
  <si>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</si>
  <si>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</si>
  <si>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</si>
  <si>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</si>
  <si>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</si>
  <si>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</si>
  <si>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</si>
  <si>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</si>
  <si>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</si>
  <si>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</si>
  <si>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</si>
  <si>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</si>
  <si>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</si>
  <si>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</si>
  <si>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</si>
  <si>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</si>
  <si>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</si>
  <si>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</si>
  <si>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</si>
  <si>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</si>
  <si>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</si>
  <si>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</si>
  <si>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</si>
  <si>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</si>
  <si>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</si>
  <si>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</si>
  <si>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</si>
  <si>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</si>
  <si>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</si>
  <si>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</si>
  <si>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</si>
  <si>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</si>
  <si>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</si>
  <si>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</si>
  <si>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</si>
  <si>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</si>
  <si>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</si>
  <si>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</si>
  <si>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</si>
  <si>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</si>
  <si>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</si>
  <si>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</si>
  <si>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</si>
  <si>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</si>
  <si>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</si>
  <si>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</si>
  <si>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</si>
  <si>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</si>
  <si>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</si>
  <si>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</si>
  <si>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</si>
  <si>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</si>
  <si>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</si>
  <si>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</si>
  <si>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</si>
  <si>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</si>
  <si>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</si>
  <si>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</si>
  <si>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</si>
  <si>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</si>
  <si>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</si>
  <si>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</si>
  <si>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</si>
  <si>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</si>
  <si>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</si>
  <si>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</si>
  <si>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</si>
  <si>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</si>
  <si>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</si>
  <si>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</si>
  <si>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</si>
  <si>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</si>
  <si>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</si>
  <si>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</si>
  <si>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</si>
  <si>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</si>
  <si>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</si>
  <si>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</si>
  <si>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</si>
  <si>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</si>
  <si>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</si>
  <si>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</si>
  <si>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</si>
  <si>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</si>
  <si>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</si>
  <si>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</si>
  <si>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</si>
  <si>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</si>
  <si>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</si>
  <si>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</si>
  <si>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</si>
  <si>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</si>
  <si>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</si>
  <si>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</si>
  <si>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</si>
  <si>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</si>
  <si>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</si>
  <si>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</si>
  <si>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</si>
  <si>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</si>
  <si>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</si>
  <si>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</si>
  <si>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</si>
  <si>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</si>
  <si>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</si>
  <si>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</si>
  <si>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</si>
  <si>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</si>
  <si>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</si>
  <si>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</si>
  <si>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</si>
  <si>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</si>
  <si>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</si>
  <si>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</si>
  <si>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</si>
  <si>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</si>
  <si>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</si>
  <si>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</si>
  <si>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</si>
  <si>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</si>
  <si>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</si>
  <si>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</si>
  <si>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</si>
  <si>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</si>
  <si>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</si>
  <si>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</si>
  <si>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</si>
  <si>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</si>
  <si>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</si>
  <si>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</si>
  <si>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</si>
  <si>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</si>
  <si>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</si>
  <si>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</si>
  <si>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</si>
  <si>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</si>
  <si>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</si>
  <si>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</si>
  <si>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</si>
  <si>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</si>
  <si>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</si>
  <si>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</si>
  <si>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</si>
  <si>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</si>
  <si>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</si>
  <si>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</si>
  <si>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</si>
  <si>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</si>
  <si>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</si>
  <si>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</si>
  <si>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</si>
  <si>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</si>
  <si>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</si>
  <si>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</si>
  <si>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</si>
  <si>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</si>
  <si>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</si>
  <si>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</si>
  <si>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</si>
  <si>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</si>
  <si>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</si>
  <si>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</si>
  <si>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</si>
  <si>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</si>
  <si>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</si>
  <si>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</si>
  <si>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</si>
  <si>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</si>
  <si>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</si>
  <si>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</si>
  <si>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</si>
  <si>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</si>
  <si>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</si>
  <si>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</si>
  <si>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</si>
  <si>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</si>
  <si>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</si>
  <si>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</si>
  <si>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</si>
  <si>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</si>
  <si>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</si>
  <si>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</si>
  <si>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</si>
  <si>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</si>
  <si>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</si>
  <si>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</si>
  <si>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</si>
  <si>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</si>
  <si>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</si>
  <si>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</si>
  <si>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</si>
  <si>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</si>
  <si>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</si>
  <si>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</si>
  <si>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</si>
  <si>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</si>
  <si>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</si>
  <si>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</si>
  <si>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</si>
  <si>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</si>
  <si>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</si>
  <si>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</si>
  <si>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</si>
  <si>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</si>
  <si>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</si>
  <si>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</si>
  <si>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</si>
  <si>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</si>
  <si>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</si>
  <si>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</si>
  <si>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</si>
  <si>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</si>
  <si>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</si>
  <si>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</si>
  <si>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</si>
  <si>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</si>
  <si>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</si>
  <si>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</si>
  <si>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</si>
  <si>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</si>
  <si>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</si>
  <si>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</si>
  <si>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</si>
  <si>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</si>
  <si>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</si>
  <si>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</si>
  <si>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</si>
  <si>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</si>
  <si>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</si>
  <si>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</si>
  <si>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</si>
  <si>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</si>
  <si>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</si>
  <si>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</si>
  <si>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</si>
  <si>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</si>
  <si>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</si>
  <si>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</si>
  <si>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</si>
  <si>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</si>
  <si>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</si>
  <si>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</si>
  <si>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</si>
  <si>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</si>
  <si>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</si>
  <si>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</si>
  <si>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</si>
  <si>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</si>
  <si>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</si>
  <si>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</si>
  <si>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</si>
  <si>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</si>
  <si>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</si>
  <si>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</si>
  <si>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</si>
  <si>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</si>
  <si>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</si>
  <si>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</si>
  <si>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</si>
  <si>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</si>
  <si>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</si>
  <si>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</si>
  <si>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</si>
  <si>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</si>
  <si>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</si>
  <si>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</si>
  <si>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</si>
  <si>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</si>
  <si>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</si>
  <si>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</si>
  <si>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</si>
  <si>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</si>
  <si>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</si>
  <si>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</si>
  <si>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</si>
  <si>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</si>
  <si>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</si>
  <si>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</si>
  <si>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</si>
  <si>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</si>
  <si>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</si>
  <si>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</si>
  <si>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</si>
  <si>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</si>
  <si>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</si>
  <si>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</si>
  <si>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</si>
  <si>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</si>
  <si>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</si>
  <si>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</si>
  <si>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</si>
  <si>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</si>
  <si>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</si>
  <si>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</si>
  <si>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</si>
  <si>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</si>
  <si>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</si>
  <si>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</si>
  <si>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</si>
  <si>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</si>
  <si>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</si>
  <si>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</si>
  <si>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</si>
  <si>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</si>
  <si>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</si>
  <si>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</si>
  <si>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</si>
  <si>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</si>
  <si>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</si>
  <si>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</si>
  <si>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</si>
  <si>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</si>
  <si>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</si>
  <si>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</si>
  <si>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</si>
  <si>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</si>
  <si>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</si>
  <si>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</si>
  <si>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</si>
  <si>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</si>
  <si>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</si>
  <si>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</si>
  <si>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</si>
  <si>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</si>
  <si>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</si>
  <si>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</si>
  <si>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</si>
  <si>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</si>
  <si>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</si>
  <si>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</si>
  <si>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</si>
  <si>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</si>
  <si>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</si>
  <si>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</si>
  <si>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</si>
  <si>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</si>
  <si>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</si>
  <si>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</si>
  <si>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</si>
  <si>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</si>
  <si>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</si>
  <si>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</si>
  <si>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</si>
  <si>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</si>
  <si>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</si>
  <si>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</si>
  <si>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</si>
  <si>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</si>
  <si>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</si>
  <si>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</si>
  <si>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</si>
  <si>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</si>
  <si>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</si>
  <si>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</si>
  <si>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</si>
  <si>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</si>
  <si>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</si>
  <si>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</si>
  <si>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</si>
  <si>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</si>
  <si>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</si>
  <si>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</si>
  <si>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</si>
  <si>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</si>
  <si>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</si>
  <si>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</si>
  <si>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</si>
  <si>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</si>
  <si>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</si>
  <si>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</si>
  <si>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</si>
  <si>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</si>
  <si>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</si>
  <si>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</si>
  <si>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</si>
  <si>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</si>
  <si>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</si>
  <si>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</si>
  <si>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</si>
  <si>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</si>
  <si>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</si>
  <si>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</si>
  <si>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</si>
  <si>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</si>
  <si>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</si>
  <si>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</si>
  <si>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</si>
  <si>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</si>
  <si>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</si>
  <si>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</si>
  <si>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</si>
  <si>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</si>
  <si>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</si>
  <si>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</si>
  <si>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</si>
  <si>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</si>
  <si>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</si>
  <si>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</si>
  <si>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</si>
  <si>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</si>
  <si>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</si>
  <si>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</si>
  <si>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</si>
  <si>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</si>
  <si>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</si>
  <si>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</si>
  <si>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</si>
  <si>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</si>
  <si>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</si>
  <si>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</si>
  <si>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</si>
  <si>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</si>
  <si>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</si>
  <si>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</si>
  <si>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</si>
  <si>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</si>
  <si>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</si>
  <si>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</si>
  <si>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</si>
  <si>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</si>
  <si>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</si>
  <si>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</si>
  <si>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</si>
  <si>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</si>
  <si>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</si>
  <si>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</si>
  <si>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</si>
  <si>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</si>
  <si>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</si>
  <si>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</si>
  <si>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</si>
  <si>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</si>
  <si>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</si>
  <si>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</si>
  <si>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</si>
  <si>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</si>
  <si>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Built Environment - Resistance/Security</t>
  </si>
  <si>
    <t>To be audited under NBK site audit, 2022-134-IQA</t>
  </si>
  <si>
    <t>US Safety Scheme, Canada Safety Scheme</t>
  </si>
  <si>
    <t>Customer Experience - Lab, US Safety Scheme, Canada Safety Scheme</t>
  </si>
  <si>
    <t>https://ul.sharepoint.com/sites/lab/1094/Shared%20Documents/Forms/AllItems.aspx</t>
  </si>
  <si>
    <t xml:space="preserve">Joseph  Carey - 12530 (FACP Lab)
Paul Obrochta - 12065 </t>
  </si>
  <si>
    <t xml:space="preserve">It was checked during tests witnessing. See "Selection, verification and validation of methods below". </t>
  </si>
  <si>
    <t>N/A</t>
  </si>
  <si>
    <t xml:space="preserve">Share Point Non Conforming Work, Log of Noconforming Work for NBK </t>
  </si>
  <si>
    <t>Records on ECM, Labware, Oracle, Sharepoint.</t>
  </si>
  <si>
    <t xml:space="preserve">Lab Technical Supports sends an e-mail with the list of equipment to be calibrated next month.  The list is forwarded to the Lab team. Support team look at the history of the equipment in order to get an extension, if the equipment is still used  during test. Or use a back up.    
If it is damaged they put in the area to be taken imediately to the suport team. </t>
  </si>
  <si>
    <t>Thermocouple batch CC 150652
Cheese cloth CC21874</t>
  </si>
  <si>
    <t>Storage area for consumables: 
termocouples new and used, cheese cloth.</t>
  </si>
  <si>
    <t>Accordance with Option A, and shall use the UL certification body management system (Document Control, Internal Quality Audits, Records Control, Corrective Action Process, Management Review, Improvement and Preventative Action – Actions to Address Risks and Opportunities).</t>
  </si>
  <si>
    <t>Other local documents are calibration procedures;
Job Aids and Work Instructions.</t>
  </si>
  <si>
    <t>Audit # 2023-95-IQA</t>
  </si>
  <si>
    <t>Auditor Name: Ken Berger</t>
  </si>
  <si>
    <t>Audit Date Range: 03/14-15/2023</t>
  </si>
  <si>
    <t xml:space="preserve">To be audited under NBK site audit, 2023-97-IQA </t>
  </si>
  <si>
    <t>n/a</t>
  </si>
  <si>
    <t>ULID-000490 (DCS:00-LC-P0029), Issue #: 14.0
PROFICIENCY TESTING POLICY</t>
  </si>
  <si>
    <t xml:space="preserve">Policy-ULID-000489 (DCS:00-LC-P0028), Issue: 17.1, IAS – AC 89 </t>
  </si>
  <si>
    <t>ULID-014435,  Issue: 2.0; Policy-ULID-009203, Issue 3.0; ULID-000907, issue 2.0; ULID-000866, issue 2.0</t>
  </si>
  <si>
    <t>Location:</t>
  </si>
  <si>
    <t>Opening date:</t>
  </si>
  <si>
    <t>Closing date:</t>
  </si>
  <si>
    <t>Name</t>
  </si>
  <si>
    <t>Title/role</t>
  </si>
  <si>
    <t>Opening</t>
  </si>
  <si>
    <t xml:space="preserve">Closing </t>
  </si>
  <si>
    <t>x</t>
  </si>
  <si>
    <t>Life Safety and Security – Lab, NBK</t>
  </si>
  <si>
    <t>Ken Berger</t>
  </si>
  <si>
    <t>Quality Eng</t>
  </si>
  <si>
    <t>Lab Manager</t>
  </si>
  <si>
    <t xml:space="preserve">Eric Mueller - 13752
Paul Obrochta - 12065 </t>
  </si>
  <si>
    <t>ULID-014435,  Issue: 2.0; Policy-ULID-009203, Issue 3.0, ULID-000207, Issue #: 3.0
RECORD OF AGREEMENTS…</t>
  </si>
  <si>
    <t xml:space="preserve">
Eric Mueller - 13752
Paul Obrochta - 12065</t>
  </si>
  <si>
    <t xml:space="preserve">
Eric Mueller - 13752
Paul Obrochta - 12063 </t>
  </si>
  <si>
    <t xml:space="preserve">
Eric Mueller - 13752
Paul Obrochta - 12064</t>
  </si>
  <si>
    <t xml:space="preserve">
Eric Mueller - 13752
Paul Obrochta - 12065 </t>
  </si>
  <si>
    <t xml:space="preserve">
Eric Mueller - 13752
Paul Obrochta - 12065 
</t>
  </si>
  <si>
    <t xml:space="preserve">
Eric Mueller - 13752
</t>
  </si>
  <si>
    <t>ULID-000687 (DCS:00-LO-S0855), Issue #: 19.0
LABORATORY PERSONNEL REQUIREMENTS, 
Form-ULID-000611 (DCS:00-LO-F0861)
Issue #:  3.0, Monitoring</t>
  </si>
  <si>
    <t>Policy-ULID-000487 (DCS:00-LC-P0025), Issue #: 15.0, LABORATORY FACILITIES &amp; ENVIRONMENTAL CONDITIONS POLICY</t>
  </si>
  <si>
    <t xml:space="preserve">https://ul.sharepoint.com/sites/GRPNASLSRegionalLabQuality/Shared%20Documents/Forms/AllItems.aspx?isAscending=false&amp;sortField=Modified&amp;id=%2Fsites%2FGRPNASLSRegionalLabQuality%2FShared%20Documents%2FOrganization%2FScience%20and%20Operations%20%E2%80%93%20Americas%20Labs%20and%20Operations%20Organization%2Epdf&amp;viewid=e6cb9c64%2D486a%2D4315%2Db404%2D56affa9f8428&amp;parent=%2Fsites%2FGRPNASLSRegionalLabQuality%2FShared%20Documents%2FOrganization
</t>
  </si>
  <si>
    <r>
      <t xml:space="preserve">ULID-000682 (DCS:00-LO-S0408), Issue #: 6.0
LABORATORY ACTIVITY VERIFICATION, ULID-014435,  Issue: 2.0; Policy-ULID-009203, Issue 3.0.  
</t>
    </r>
    <r>
      <rPr>
        <b/>
        <sz val="11"/>
        <rFont val="Calibri"/>
        <family val="2"/>
        <scheme val="minor"/>
      </rPr>
      <t>Notes:</t>
    </r>
    <r>
      <rPr>
        <sz val="11"/>
        <rFont val="Calibri"/>
        <family val="2"/>
        <scheme val="minor"/>
      </rPr>
      <t xml:space="preserve">  There are no addings, nor cancellations to Scope of Capability NBK_TRT S&amp;S. 
No subcontracted testings. 
UL Job Descriptions no changes - saw file in Additonal HR Content sharepoint site.</t>
    </r>
  </si>
  <si>
    <t>Saw Trello board &amp;  Project Knowledge Transfer form.  Acceptance of labware is offical review.</t>
  </si>
  <si>
    <t>Lab is not involved with quotes. Orders processed are in ECM, Labware and Aurora. 
Trello board is used to plan and assign the work to technicians.
Checklist is filled out during Project Knowledge Transfer talk between PH &amp; Technician.  Non-certification is  about 10% of work</t>
  </si>
  <si>
    <t>To be audited in Global Audit Programs &amp; Corrective and Preventive Action audit</t>
  </si>
  <si>
    <t>ULID-014435,  Issue: 2.0; UL Solutions TESTING AND CALIBRATION Policy.</t>
  </si>
  <si>
    <t>bldg 11, fire test:  Timothy J Nelson - 02098 (Fire/Smoke Lab 1st shift), Andrew Woynerowski.  
Paul Obrochta - 12065</t>
  </si>
  <si>
    <t xml:space="preserve"> UL 268, 7th ed</t>
  </si>
  <si>
    <t>UL 687, edition 15</t>
  </si>
  <si>
    <t xml:space="preserve">bldg 1, safe &amp; balistics &amp; duct fire:  Dave O, (91370), Al Conrad (), Trenton Humble ( ).  </t>
  </si>
  <si>
    <t>Safe: Proj 4790460909, sample 5137825, saw datatsheet, timer 54590 (due 12/2035), , no environmnet required, &amp; not recorded.  Balistics:  powder CC 2899,  CC2904.  chronograph 112047, 112049, 118088 (due 2/29/24)., timer 222065, CPU NBK0219MJ082LVB. duct fire: dAC NB484809 (due 5/31/23), annamometer 73160 (due 7/31/23)</t>
  </si>
  <si>
    <t>UL 268, 7th</t>
  </si>
  <si>
    <t>Tim for Labware 1001817484, UL Fire Test,  ID 177999 software v 1.1.1.5 (DMC). , condition at 23C/50%, (not in DS).  Also AJ for project labware 1001811613 (F230122653),  crib CC 943853, heptane  CC 5501764, polyurathane CC 2194628, 10 ft photo cell 1573030 (due 2/28/23), North wall 77762 (due 2/28/23) - both replaced during the audit.  Temp gauge 167032, test software 177999.  Discussed non-conforming work, confidentiality, impartiality..</t>
  </si>
  <si>
    <t>Fire/smoke bench:  JohnPaul Leong</t>
  </si>
  <si>
    <t>Gas lab:  Nat Doan (new)</t>
  </si>
  <si>
    <t>Ul 1480, ed 6;  ULC-S451, ed 4; ANSI-636, CTA CEB-19, Abnormal Operation and Burnout</t>
  </si>
  <si>
    <t xml:space="preserve">Bldg 8, Audibility (Reverberation), Julie Leong (4 yrs) </t>
  </si>
  <si>
    <t xml:space="preserve">UL 2075, 2nd ed &amp; C6.19-1, Humidity; ULID-000486 </t>
  </si>
  <si>
    <t>Proj:  4790167238, sample: 4662042 (verified location), 4506968;  chamber 155226 (due 10/31/23, verif due jun 2023), zero c chamber 124413 (10/31/23, verif 2025).  Discussed non-conforming work.  Datasheet</t>
  </si>
  <si>
    <t>Security - Ryan Kim
Paul Obrochta - 12065</t>
  </si>
  <si>
    <t>Ul 294, ed 7.Endurance</t>
  </si>
  <si>
    <t>Ul 294, ed 7,  IO Transients</t>
  </si>
  <si>
    <t>Proj: 4790741403, sample  SMp-94060, 5820355 (verified tag &amp; location),  ecat 31730 (due 9/13/23), discussed confidentiality &amp; impartiality.  SW id 176339 (labeled during the audit).</t>
  </si>
  <si>
    <t>Calibration labels were checked during test witnessing.  See "Selection, verification and validation of methods"  below for samples.  Storage room chamber:31240 (due 6/30/23)</t>
  </si>
  <si>
    <t xml:space="preserve">Eric Mueller - 13752
Paul Obrochta - 12066
</t>
  </si>
  <si>
    <t xml:space="preserve">
Eric Mueller - 13752
Paul Obrochta - 12065,  
Dave Oravec</t>
  </si>
  <si>
    <t>Anthony Trail: Sample 5193473, Bldg 11: 2490454, 5726090, 5732450.  see method below for more.  Sample storage room:  5720501, 55448811, 4798368, 3599067 (wrong location), 4719216 (shows destroyed), 5587104, 4265436, 4912976.</t>
  </si>
  <si>
    <t>Proj:  4790358001, Sample: 4821073 (625), sound generator 171685 (due 10/31/2023), SW 176336 (ver 22.0.0.442, validation in 2019), tissue paper cc 639.  Discussed non-conforming work, confidentiality</t>
  </si>
  <si>
    <t>no change since Prior audit.</t>
  </si>
  <si>
    <t>SharePoint Page 03/29/2022.  Chris B will integrate this lab into Science &amp; Ops - Americas Lab &amp; operation PTP &amp; ILC Plan</t>
  </si>
  <si>
    <t xml:space="preserve">BE MOU Andres Sarmiento, saw name on sharepoint list &amp; Hardness MOU dated 3/24/22
</t>
  </si>
  <si>
    <t>Reconfirmed the following:  
Allan T Conrad - 02820 - (Security Lab) - TEST, Monitoring, and Qualificatino form 
Gas lab:  Nat Doan (87482) - TEST, no others, in-training
Timothy J Nelson - 02098 -  (Fire/Smoke Lab 1st shift)- TEST and saw ongoing monitoring
Joseph Carey - 12530 - (FACP) -Hired 5/22/2017 - TEST
 John Paul Leong ( 83339) - TEST, 00-LO-F0863</t>
  </si>
  <si>
    <t>verified CAR 223924538</t>
  </si>
  <si>
    <t xml:space="preserve">
Eric Mueller - 13752, Chris Bednar
Paul Obrochta - 12065</t>
  </si>
  <si>
    <t xml:space="preserve">
Eric Mueller - 13752, 
Paul Obrochta - 12065</t>
  </si>
  <si>
    <t xml:space="preserve">
Eric Mueller - 13752, Chris Bednar
Paul Obrochta - 12065, </t>
  </si>
  <si>
    <t xml:space="preserve">
Eric Mueller - 13752, Chris Bednar
Paul Obrochta - 12065, Frank Calabrase</t>
  </si>
  <si>
    <t>Eric Mueller - 13752, Chris Bednar
Paul Obrochta - 12065</t>
  </si>
  <si>
    <t>saw UL systems used for info/data/records throughout the audit</t>
  </si>
  <si>
    <t>Ensure Validity</t>
  </si>
  <si>
    <t>None since last audite</t>
  </si>
  <si>
    <t>see records listed in methods section below.</t>
  </si>
  <si>
    <t>Christ Bednar</t>
  </si>
  <si>
    <t>Lab Quality Manager</t>
  </si>
  <si>
    <t>Eric Mueller</t>
  </si>
  <si>
    <t>Paul Obrochta</t>
  </si>
  <si>
    <t>Lab Lead</t>
  </si>
  <si>
    <t>Joe Tito</t>
  </si>
  <si>
    <t xml:space="preserve">MR occurs on annual basis. 
</t>
  </si>
  <si>
    <t xml:space="preserve">MR: prior BE COU 03/24/2022 NBK, next one due this month, but this lab will submit data to Integrated labs going forward.  Review input was sent to Frank C (BE Quality) on 2/18/2023.
</t>
  </si>
  <si>
    <t>see above documents in this checklist, column G</t>
  </si>
  <si>
    <t>2023-95-1, 2023-95-2</t>
  </si>
  <si>
    <t>2023-95-3</t>
  </si>
  <si>
    <t>see above related CAR 2023-95-1</t>
  </si>
  <si>
    <t>Proj 4790416696,  datasheet, sample 5197281 (verified location), sample 5469097 (verified location), chamber 216704 (due 4/30/23), timer 89632 (due 6/30/25), temp probe, 117243 (due 11/30/23).  Discussed confidentiality &amp; nonconforming work.  Analyzer 218144 (due 4/11/23)</t>
  </si>
  <si>
    <t>ULID-009203, Issue #: 3.0
UL ENTERPRISE TESTING AND CALIBRATION LABORATORY COMPLIANCE POLICY (ISO/IEC 17025:2017) 'New'.  
See also ULID-014435, ULID-004119.</t>
  </si>
  <si>
    <t>ULID-009203, Issue #: 3.0
UL ENTERPRISE TESTING AND CALIBRATION LABORATORY COMPLIANCE POLICY (ISO/IEC 17025:2017) 'top level, 2 year transition'; 
ULID-014435,  Issue: 2.0; UL Solutions TESTING AND CALIBRATION Policy.
ULID-004119 (DCS:00-CB-J0855), Issue #: 12.0
UL LLC CERTIFICATION BODY COMPLIANCE MATRIX FOR OSHA NRTL PROGRAM DIRECTIVE</t>
  </si>
  <si>
    <t>ULID-001013 (DCS:00-QA-S0003), Issue #: 44.2
DOCUMENT MANAGEMENT SOP</t>
  </si>
  <si>
    <t>Standard Operation Procedures-ULID-000093, Issue #:  1.0
LABORATORY CONTROL OF NONCONFORMING TESTING, 
ULID-000856 (DCS:00-OP-F0404), Issue #: 9.0
TRACEBACK PROCESS &amp; FORM</t>
  </si>
  <si>
    <t>ULID-000686 (DCS:00-LO-S0829, Issue #:  11.0
TESTING RELATED TECHNICAL RECORDS</t>
  </si>
  <si>
    <t xml:space="preserve"> Testing Organization Complaint Policy
Document Number: Policy-ULID-000094, issue 1.0;  ULID-004161, Issue #: 47.0
STANDARD OPERATION PROCEDURES</t>
  </si>
  <si>
    <t>ULID-000435 (DCS:00-IT-P0829), Issue #: 10.0
HANDLING DATA BACKUP AND RETENTION POLICY
ULID-001010 (DCS:00-QA-P0026), Issue #: 5.0
GLOBAL RECORDS POLICY</t>
  </si>
  <si>
    <t>ULID-001015 (DCS:00-QA-S0006), Issue #: 29.2
CORRECTIVE ACTION REQUEST PROCESS</t>
  </si>
  <si>
    <t>ULID-000090 Issue #: 1.0
LABORATORY RISKS AND OPPORTUNITIES</t>
  </si>
  <si>
    <t>ULID-000091, issue 2.0, Management Review</t>
  </si>
  <si>
    <t>Policy-ULID-000489 (DCS:00-LC-P0028), Issue #:17.1, LABORATORY CALIBRATION POLICY
Policy-ULID-000491 (DCS:00-LC-P0031), Issue #: 25.1 LABORATORY EQUIPMENT POLICY</t>
  </si>
  <si>
    <t xml:space="preserve">Policy-ULID-000488 (DCS:00-LC-P0026), Issue #: 10.2, POLICY FOR THE USE OF CALIBRATION VENDORS
</t>
  </si>
  <si>
    <t>ULID-000877 (DCS:00-OP-P0400), Issue #: 9.0
SAMPLE MANAGEMENT POLICY
ULID-001790 (DCS:01-LO-S0124), Issue #: 10.0
NORTHBROOK SAMPLE HANDLING PROCESS</t>
  </si>
  <si>
    <t>ULID-000680 (DCS:00-LO-S0405, Issue #: 14.0
TEST DATASHEET REQUIREMENTS
ULID-000686 (DCS:00-LO-S0829, Issue #:  11.0
TESTING RELATED TECHNICAL RECORDS</t>
  </si>
  <si>
    <t xml:space="preserve">ULID-000496 (DCS:00-LC-S0278), Issue #: 15.1
EVALUATION OF MEASUREMENT UNCERTAINTY </t>
  </si>
  <si>
    <t xml:space="preserve">. Lab Manager/Lab Leader has the responsibility to stop work and put it in place again. It referes to global documents. There are no situations so far. It was described how to proceed whether NC work would occur.  </t>
  </si>
  <si>
    <t>Project 4790522824, sample 5285365 (verified locition),  DMM 23385 (due 5/31/23),  TC cc150952, room indicator 89923 (room #89052).  Counter 166385 (due 4/30/23).  Was using counter from customer</t>
  </si>
  <si>
    <t>see above related CAR 2023-95-2</t>
  </si>
  <si>
    <t>two samples corrected during the audit - see CARs 223924814 and 223925360 regarding the sample management issues.</t>
  </si>
  <si>
    <t>00-QA-J0860 1.0</t>
  </si>
  <si>
    <t>Date</t>
  </si>
  <si>
    <t>Conducted by:</t>
  </si>
  <si>
    <t>Audit Year</t>
  </si>
  <si>
    <t xml:space="preserve">Organization being audited </t>
  </si>
  <si>
    <t>Risk Level</t>
  </si>
  <si>
    <t>Volume of work</t>
  </si>
  <si>
    <t>Accreditation/Regulation Status</t>
  </si>
  <si>
    <t>Previous Internal Audit Results</t>
  </si>
  <si>
    <t>Staff Changes</t>
  </si>
  <si>
    <t>Additional Monitoring Mechanism</t>
  </si>
  <si>
    <t>Management Review</t>
  </si>
  <si>
    <t>External Audit Results</t>
  </si>
  <si>
    <t>Product Incident Report</t>
  </si>
  <si>
    <t>Risk Score</t>
  </si>
  <si>
    <t>Life Safety &amp; Security</t>
  </si>
  <si>
    <t>Low</t>
  </si>
  <si>
    <t>High</t>
  </si>
  <si>
    <t>Medium</t>
  </si>
  <si>
    <t xml:space="preserve">Post Audit Risk Assessment for Audit Resource Arrangement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</si>
</sst>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u/>
      <sz val="11"/>
      <color theme="10"/>
      <name val="Calibri"/>
      <family val="2"/>
      <scheme val="minor"/>
    </font>
    <font>
      <sz val="18"/>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3" fillId="0" borderId="0" applyNumberFormat="0" applyFill="0" applyBorder="0" applyAlignment="0" applyProtection="0"/>
  </cellStyleXfs>
  <cellXfs count="66">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vertical="center" wrapText="1"/>
    </xf>
    <xf numFmtId="0" fontId="13" fillId="2" borderId="1" xfId="1" applyFill="1" applyBorder="1" applyAlignment="1">
      <alignment vertical="center" wrapText="1"/>
    </xf>
    <xf numFmtId="0" fontId="7" fillId="2" borderId="1" xfId="0" applyFont="1" applyFill="1" applyBorder="1" applyAlignment="1">
      <alignment vertical="center" wrapText="1"/>
    </xf>
    <xf numFmtId="0" fontId="0" fillId="0" borderId="1" xfId="0" applyFill="1" applyBorder="1" applyAlignment="1">
      <alignment vertical="center" wrapText="1"/>
    </xf>
    <xf numFmtId="0" fontId="6" fillId="2" borderId="1" xfId="0" applyFont="1" applyFill="1" applyBorder="1" applyAlignment="1">
      <alignment vertical="center" wrapText="1"/>
    </xf>
    <xf numFmtId="0" fontId="0" fillId="0" borderId="0" xfId="0" applyFill="1" applyAlignment="1">
      <alignment horizontal="center"/>
    </xf>
    <xf numFmtId="0" fontId="0" fillId="2" borderId="1" xfId="0" applyFill="1" applyBorder="1" applyAlignment="1">
      <alignment horizontal="center" vertical="center" wrapText="1"/>
    </xf>
    <xf numFmtId="0" fontId="0" fillId="2" borderId="1" xfId="0" applyFill="1" applyBorder="1" applyAlignment="1">
      <alignment horizontal="center" wrapText="1"/>
    </xf>
    <xf numFmtId="0" fontId="0" fillId="0" borderId="0" xfId="0" applyAlignment="1">
      <alignment horizontal="center"/>
    </xf>
    <xf numFmtId="0" fontId="11" fillId="0" borderId="1" xfId="0" applyFont="1" applyFill="1" applyBorder="1" applyAlignment="1">
      <alignment horizontal="center"/>
    </xf>
    <xf numFmtId="15" fontId="0" fillId="0" borderId="0" xfId="0" applyNumberFormat="1" applyAlignment="1">
      <alignment horizontal="center"/>
    </xf>
    <xf numFmtId="0" fontId="13" fillId="0" borderId="0" xfId="1" applyFill="1" applyAlignment="1">
      <alignment wrapText="1"/>
    </xf>
    <xf numFmtId="0" fontId="6" fillId="0" borderId="0" xfId="0" applyFont="1"/>
    <xf numFmtId="0" fontId="11" fillId="0" borderId="0" xfId="0" applyFont="1"/>
    <xf numFmtId="14" fontId="0" fillId="0" borderId="0" xfId="0" applyNumberFormat="1"/>
    <xf numFmtId="0" fontId="14" fillId="0" borderId="0" xfId="0" applyFont="1" applyAlignment="1">
      <alignment horizontal="left"/>
    </xf>
  </cellXfs>
  <cellStyles count="2">
    <cellStyle name="Hyperlink" xfId="1" builtinId="8"/>
    <cellStyle name="Normal" xfId="0" builtinId="0"/>
  </cellStyles>
  <dxfs count="118">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00B0F0"/>
        </patternFill>
      </fill>
    </dxf>
    <dxf>
      <fill>
        <patternFill>
          <bgColor theme="9" tint="0.39994506668294322"/>
        </patternFill>
      </fill>
    </dxf>
    <dxf>
      <fill>
        <patternFill>
          <bgColor theme="9" tint="0.59996337778862885"/>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FFFF00"/>
        </patternFill>
      </fill>
    </dxf>
    <dxf>
      <fill>
        <patternFill>
          <bgColor rgb="FFFF0000"/>
        </patternFill>
      </fill>
    </dxf>
    <dxf>
      <fill>
        <patternFill>
          <bgColor rgb="FF00B0F0"/>
        </patternFill>
      </fill>
    </dxf>
    <dxf>
      <fill>
        <patternFill>
          <bgColor theme="9" tint="0.39994506668294322"/>
        </patternFill>
      </fill>
    </dxf>
    <dxf>
      <fill>
        <patternFill>
          <bgColor theme="9" tint="0.59996337778862885"/>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385639</xdr:colOff>
      <xdr:row>11</xdr:row>
      <xdr:rowOff>26835</xdr:rowOff>
    </xdr:from>
    <xdr:to>
      <xdr:col>5</xdr:col>
      <xdr:colOff>329648</xdr:colOff>
      <xdr:row>31</xdr:row>
      <xdr:rowOff>115955</xdr:rowOff>
    </xdr:to>
    <xdr:sp macro="" textlink="">
      <xdr:nvSpPr>
        <xdr:cNvPr id="2" name="TextBox 1">
          <a:extLst>
            <a:ext uri="{FF2B5EF4-FFF2-40B4-BE49-F238E27FC236}">
              <a16:creationId xmlns:a16="http://schemas.microsoft.com/office/drawing/2014/main" id="{0B8A0F8B-580D-7355-21D6-9DA387D94E37}"/>
            </a:ext>
          </a:extLst>
        </xdr:cNvPr>
        <xdr:cNvSpPr txBox="1"/>
      </xdr:nvSpPr>
      <xdr:spPr>
        <a:xfrm>
          <a:off x="1536922" y="2122335"/>
          <a:ext cx="3497248" cy="389912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Closing</a:t>
          </a:r>
          <a:r>
            <a:rPr lang="en-US" sz="1100"/>
            <a:t>:</a:t>
          </a:r>
        </a:p>
        <a:p>
          <a:r>
            <a:rPr lang="en-US" sz="1100" b="1"/>
            <a:t>OFI  1- </a:t>
          </a:r>
          <a:r>
            <a:rPr lang="en-US" sz="1100" b="0"/>
            <a:t>consider</a:t>
          </a:r>
          <a:r>
            <a:rPr lang="en-US" sz="1100" b="1"/>
            <a:t> </a:t>
          </a:r>
          <a:r>
            <a:rPr lang="en-US" sz="1100"/>
            <a:t>conducting inventory accuracy checks in the sample storage room.</a:t>
          </a:r>
        </a:p>
        <a:p>
          <a:r>
            <a:rPr lang="en-US" sz="1100" b="1">
              <a:solidFill>
                <a:schemeClr val="dk1"/>
              </a:solidFill>
              <a:effectLst/>
              <a:latin typeface="+mn-lt"/>
              <a:ea typeface="+mn-ea"/>
              <a:cs typeface="+mn-cs"/>
            </a:rPr>
            <a:t>OFI  2- </a:t>
          </a:r>
          <a:r>
            <a:rPr lang="en-US" sz="1100" b="0">
              <a:solidFill>
                <a:schemeClr val="dk1"/>
              </a:solidFill>
              <a:effectLst/>
              <a:latin typeface="+mn-lt"/>
              <a:ea typeface="+mn-ea"/>
              <a:cs typeface="+mn-cs"/>
            </a:rPr>
            <a:t>consider adding more comments in the competency monitoring</a:t>
          </a:r>
          <a:r>
            <a:rPr lang="en-US" sz="1100" b="0" baseline="0">
              <a:solidFill>
                <a:schemeClr val="dk1"/>
              </a:solidFill>
              <a:effectLst/>
              <a:latin typeface="+mn-lt"/>
              <a:ea typeface="+mn-ea"/>
              <a:cs typeface="+mn-cs"/>
            </a:rPr>
            <a:t> records to answer the question "is the tech still competent to test?"</a:t>
          </a:r>
          <a:endParaRPr lang="en-US" sz="1100" b="0"/>
        </a:p>
        <a:p>
          <a:endParaRPr lang="en-US" sz="1100"/>
        </a:p>
        <a:p>
          <a:r>
            <a:rPr lang="en-US" sz="1100" b="1"/>
            <a:t>Draft</a:t>
          </a:r>
          <a:r>
            <a:rPr lang="en-US" sz="1100" b="1" baseline="0"/>
            <a:t> </a:t>
          </a:r>
          <a:r>
            <a:rPr lang="en-US" sz="1100" b="1"/>
            <a:t>CAR</a:t>
          </a:r>
          <a:r>
            <a:rPr lang="en-US" sz="1100" b="1" baseline="0"/>
            <a:t> 2023-95-1:  = Eric</a:t>
          </a:r>
        </a:p>
        <a:p>
          <a:r>
            <a:rPr lang="en-US" sz="1100">
              <a:solidFill>
                <a:schemeClr val="dk1"/>
              </a:solidFill>
              <a:effectLst/>
              <a:latin typeface="+mn-lt"/>
              <a:ea typeface="+mn-ea"/>
              <a:cs typeface="+mn-cs"/>
            </a:rPr>
            <a:t>Laboratory Equipment Policy,  </a:t>
          </a:r>
          <a:r>
            <a:rPr lang="en-US" sz="1100" b="1">
              <a:solidFill>
                <a:schemeClr val="dk1"/>
              </a:solidFill>
              <a:effectLst/>
              <a:latin typeface="+mn-lt"/>
              <a:ea typeface="+mn-ea"/>
              <a:cs typeface="+mn-cs"/>
            </a:rPr>
            <a:t>Policy-ULID-000491 Issue 25.1</a:t>
          </a:r>
          <a:endParaRPr lang="en-US" sz="1100" baseline="0"/>
        </a:p>
        <a:p>
          <a:r>
            <a:rPr lang="en-US" sz="1100">
              <a:solidFill>
                <a:schemeClr val="dk1"/>
              </a:solidFill>
              <a:effectLst/>
              <a:latin typeface="+mn-lt"/>
              <a:ea typeface="+mn-ea"/>
              <a:cs typeface="+mn-cs"/>
            </a:rPr>
            <a:t>Clause 8.18.4 -- M &amp; TE that is rented from a commercial source, or acquired by other means for use within UL's laboratories shall be accompanied by a calibration certificate conforming to UL calibration policy requirements. A copy of the calibration certificate shall be retained and accompany the completed data package(s) to file</a:t>
          </a:r>
        </a:p>
        <a:p>
          <a:endParaRPr lang="en-US" sz="1100">
            <a:solidFill>
              <a:schemeClr val="dk1"/>
            </a:solidFill>
            <a:effectLst/>
            <a:latin typeface="+mn-lt"/>
            <a:ea typeface="+mn-ea"/>
            <a:cs typeface="+mn-cs"/>
          </a:endParaRPr>
        </a:p>
        <a:p>
          <a:r>
            <a:rPr lang="en-US" sz="1100" b="1">
              <a:solidFill>
                <a:schemeClr val="dk1"/>
              </a:solidFill>
              <a:effectLst/>
              <a:latin typeface="+mn-lt"/>
              <a:ea typeface="+mn-ea"/>
              <a:cs typeface="+mn-cs"/>
            </a:rPr>
            <a:t>N/C</a:t>
          </a:r>
          <a:r>
            <a:rPr lang="en-US" sz="1100">
              <a:solidFill>
                <a:schemeClr val="dk1"/>
              </a:solidFill>
              <a:effectLst/>
              <a:latin typeface="+mn-lt"/>
              <a:ea typeface="+mn-ea"/>
              <a:cs typeface="+mn-cs"/>
            </a:rPr>
            <a:t>:</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No evidence</a:t>
          </a:r>
          <a:r>
            <a:rPr lang="en-US" sz="1100" baseline="0">
              <a:solidFill>
                <a:schemeClr val="dk1"/>
              </a:solidFill>
              <a:effectLst/>
              <a:latin typeface="+mn-lt"/>
              <a:ea typeface="+mn-ea"/>
              <a:cs typeface="+mn-cs"/>
            </a:rPr>
            <a:t> the above equipment records for the cycle counter provided by the customer that was being used for Project 4790522824, sample 5285365</a:t>
          </a:r>
          <a:endParaRPr lang="en-US" sz="1100"/>
        </a:p>
      </xdr:txBody>
    </xdr:sp>
    <xdr:clientData/>
  </xdr:twoCellAnchor>
  <xdr:twoCellAnchor>
    <xdr:from>
      <xdr:col>5</xdr:col>
      <xdr:colOff>528430</xdr:colOff>
      <xdr:row>11</xdr:row>
      <xdr:rowOff>35781</xdr:rowOff>
    </xdr:from>
    <xdr:to>
      <xdr:col>11</xdr:col>
      <xdr:colOff>558910</xdr:colOff>
      <xdr:row>22</xdr:row>
      <xdr:rowOff>142875</xdr:rowOff>
    </xdr:to>
    <xdr:sp macro="" textlink="">
      <xdr:nvSpPr>
        <xdr:cNvPr id="3" name="TextBox 2">
          <a:extLst>
            <a:ext uri="{FF2B5EF4-FFF2-40B4-BE49-F238E27FC236}">
              <a16:creationId xmlns:a16="http://schemas.microsoft.com/office/drawing/2014/main" id="{771CADC2-4E9D-AD0A-1596-F97BB7E8F390}"/>
            </a:ext>
          </a:extLst>
        </xdr:cNvPr>
        <xdr:cNvSpPr txBox="1"/>
      </xdr:nvSpPr>
      <xdr:spPr>
        <a:xfrm>
          <a:off x="5233780" y="2131281"/>
          <a:ext cx="3688080" cy="2202594"/>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Draft</a:t>
          </a:r>
          <a:r>
            <a:rPr lang="en-US" sz="1100" b="1" baseline="0">
              <a:solidFill>
                <a:schemeClr val="dk1"/>
              </a:solidFill>
              <a:effectLst/>
              <a:latin typeface="+mn-lt"/>
              <a:ea typeface="+mn-ea"/>
              <a:cs typeface="+mn-cs"/>
            </a:rPr>
            <a:t> </a:t>
          </a:r>
          <a:r>
            <a:rPr lang="en-US" sz="1100" b="1"/>
            <a:t>CAR</a:t>
          </a:r>
          <a:r>
            <a:rPr lang="en-US" sz="1100" b="1" baseline="0"/>
            <a:t> 2023-95-3: = </a:t>
          </a:r>
          <a:r>
            <a:rPr lang="en-US" sz="1100" b="1">
              <a:solidFill>
                <a:schemeClr val="dk1"/>
              </a:solidFill>
              <a:effectLst/>
              <a:latin typeface="+mn-lt"/>
              <a:ea typeface="+mn-ea"/>
              <a:cs typeface="+mn-cs"/>
            </a:rPr>
            <a:t>Paul Obrochta</a:t>
          </a:r>
          <a:endParaRPr lang="en-US" sz="1100">
            <a:solidFill>
              <a:schemeClr val="dk1"/>
            </a:solidFill>
            <a:effectLst/>
            <a:latin typeface="+mn-lt"/>
            <a:ea typeface="+mn-ea"/>
            <a:cs typeface="+mn-cs"/>
          </a:endParaRPr>
        </a:p>
        <a:p>
          <a:endParaRPr lang="en-US" sz="1100" b="1" baseline="0"/>
        </a:p>
        <a:p>
          <a:r>
            <a:rPr lang="en-US" sz="1100" b="1" i="0" u="none" strike="noStrike" baseline="0">
              <a:solidFill>
                <a:schemeClr val="dk1"/>
              </a:solidFill>
              <a:latin typeface="+mn-lt"/>
              <a:ea typeface="+mn-ea"/>
              <a:cs typeface="+mn-cs"/>
            </a:rPr>
            <a:t>7.2.1.1 </a:t>
          </a:r>
          <a:r>
            <a:rPr lang="en-US" sz="1100" b="0" i="0" u="none" strike="noStrike" baseline="0">
              <a:solidFill>
                <a:schemeClr val="dk1"/>
              </a:solidFill>
              <a:latin typeface="+mn-lt"/>
              <a:ea typeface="+mn-ea"/>
              <a:cs typeface="+mn-cs"/>
            </a:rPr>
            <a:t>The laboratory shall use appropriate methods and procedures for all laboratory activities and,</a:t>
          </a:r>
        </a:p>
        <a:p>
          <a:r>
            <a:rPr lang="en-US" sz="1100" b="0" i="0" u="none" strike="noStrike" baseline="0">
              <a:solidFill>
                <a:schemeClr val="dk1"/>
              </a:solidFill>
              <a:latin typeface="+mn-lt"/>
              <a:ea typeface="+mn-ea"/>
              <a:cs typeface="+mn-cs"/>
            </a:rPr>
            <a:t>where appropriate, for evaluation of the measurement uncertainty as well as statistical techniques for</a:t>
          </a:r>
        </a:p>
        <a:p>
          <a:r>
            <a:rPr lang="en-US" sz="1100" b="0" i="0" u="none" strike="noStrike" baseline="0">
              <a:solidFill>
                <a:schemeClr val="dk1"/>
              </a:solidFill>
              <a:latin typeface="+mn-lt"/>
              <a:ea typeface="+mn-ea"/>
              <a:cs typeface="+mn-cs"/>
            </a:rPr>
            <a:t>analysis of data.</a:t>
          </a:r>
          <a:endParaRPr lang="en-US" sz="1100" baseline="0"/>
        </a:p>
        <a:p>
          <a:endParaRPr lang="en-US" sz="1100" baseline="0"/>
        </a:p>
        <a:p>
          <a:pPr algn="l"/>
          <a:r>
            <a:rPr lang="en-US" sz="1100" baseline="0"/>
            <a:t>During an interview of Proj:  4790358001: Ul 1480, ed 6;  clause 7.11a.2.4 requires the use of CTA CEB-19, however the lab tech was using an image of a document number ANSI/EIA-636 (PNXXX) - see screenshot.  </a:t>
          </a:r>
        </a:p>
      </xdr:txBody>
    </xdr:sp>
    <xdr:clientData/>
  </xdr:twoCellAnchor>
  <xdr:twoCellAnchor>
    <xdr:from>
      <xdr:col>12</xdr:col>
      <xdr:colOff>484039</xdr:colOff>
      <xdr:row>23</xdr:row>
      <xdr:rowOff>79181</xdr:rowOff>
    </xdr:from>
    <xdr:to>
      <xdr:col>21</xdr:col>
      <xdr:colOff>263059</xdr:colOff>
      <xdr:row>26</xdr:row>
      <xdr:rowOff>94422</xdr:rowOff>
    </xdr:to>
    <xdr:pic>
      <xdr:nvPicPr>
        <xdr:cNvPr id="4" name="Picture 1">
          <a:extLst>
            <a:ext uri="{FF2B5EF4-FFF2-40B4-BE49-F238E27FC236}">
              <a16:creationId xmlns:a16="http://schemas.microsoft.com/office/drawing/2014/main" id="{7E500BB0-C051-BEF8-9E5B-3F530548BE8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8952" y="4460681"/>
          <a:ext cx="5295237" cy="586741"/>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480391</xdr:colOff>
      <xdr:row>17</xdr:row>
      <xdr:rowOff>107908</xdr:rowOff>
    </xdr:from>
    <xdr:to>
      <xdr:col>24</xdr:col>
      <xdr:colOff>471910</xdr:colOff>
      <xdr:row>22</xdr:row>
      <xdr:rowOff>2652</xdr:rowOff>
    </xdr:to>
    <xdr:pic>
      <xdr:nvPicPr>
        <xdr:cNvPr id="5" name="Picture 4" descr="image">
          <a:extLst>
            <a:ext uri="{FF2B5EF4-FFF2-40B4-BE49-F238E27FC236}">
              <a16:creationId xmlns:a16="http://schemas.microsoft.com/office/drawing/2014/main" id="{23792FBC-D9CF-E220-68B1-7E0183122D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75304" y="3346408"/>
          <a:ext cx="7346476" cy="8472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178904</xdr:colOff>
      <xdr:row>2</xdr:row>
      <xdr:rowOff>74874</xdr:rowOff>
    </xdr:from>
    <xdr:to>
      <xdr:col>9</xdr:col>
      <xdr:colOff>163664</xdr:colOff>
      <xdr:row>8</xdr:row>
      <xdr:rowOff>130865</xdr:rowOff>
    </xdr:to>
    <xdr:sp macro="" textlink="">
      <xdr:nvSpPr>
        <xdr:cNvPr id="6" name="TextBox 5">
          <a:extLst>
            <a:ext uri="{FF2B5EF4-FFF2-40B4-BE49-F238E27FC236}">
              <a16:creationId xmlns:a16="http://schemas.microsoft.com/office/drawing/2014/main" id="{2BC911D9-4466-9BB0-99A8-11A58F9BDEC7}"/>
            </a:ext>
          </a:extLst>
        </xdr:cNvPr>
        <xdr:cNvSpPr txBox="1"/>
      </xdr:nvSpPr>
      <xdr:spPr>
        <a:xfrm>
          <a:off x="4393095" y="445935"/>
          <a:ext cx="3032760" cy="1169173"/>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Areas to watch :</a:t>
          </a:r>
        </a:p>
        <a:p>
          <a:r>
            <a:rPr lang="en-US" sz="1100" b="1" baseline="0"/>
            <a:t>- </a:t>
          </a:r>
          <a:r>
            <a:rPr lang="en-US" sz="1100" b="0" baseline="0"/>
            <a:t>past due test equipment removed or labeled</a:t>
          </a:r>
        </a:p>
        <a:p>
          <a:r>
            <a:rPr lang="en-US" sz="1100" b="0" baseline="0"/>
            <a:t>- consumables labeled</a:t>
          </a:r>
        </a:p>
        <a:p>
          <a:r>
            <a:rPr lang="en-US" sz="1100" b="0" baseline="0"/>
            <a:t>- test samples labeled</a:t>
          </a:r>
        </a:p>
        <a:p>
          <a:r>
            <a:rPr lang="en-US" sz="1100" b="0" baseline="0"/>
            <a:t>- equipment labeled verify before use</a:t>
          </a:r>
        </a:p>
      </xdr:txBody>
    </xdr:sp>
    <xdr:clientData/>
  </xdr:twoCellAnchor>
  <xdr:twoCellAnchor>
    <xdr:from>
      <xdr:col>5</xdr:col>
      <xdr:colOff>481219</xdr:colOff>
      <xdr:row>23</xdr:row>
      <xdr:rowOff>140142</xdr:rowOff>
    </xdr:from>
    <xdr:to>
      <xdr:col>11</xdr:col>
      <xdr:colOff>511699</xdr:colOff>
      <xdr:row>31</xdr:row>
      <xdr:rowOff>57150</xdr:rowOff>
    </xdr:to>
    <xdr:sp macro="" textlink="">
      <xdr:nvSpPr>
        <xdr:cNvPr id="7" name="TextBox 6">
          <a:extLst>
            <a:ext uri="{FF2B5EF4-FFF2-40B4-BE49-F238E27FC236}">
              <a16:creationId xmlns:a16="http://schemas.microsoft.com/office/drawing/2014/main" id="{505A0406-5374-7E45-6177-3674437DEDFC}"/>
            </a:ext>
          </a:extLst>
        </xdr:cNvPr>
        <xdr:cNvSpPr txBox="1"/>
      </xdr:nvSpPr>
      <xdr:spPr>
        <a:xfrm>
          <a:off x="5186569" y="4521642"/>
          <a:ext cx="3688080" cy="144100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Draft</a:t>
          </a:r>
          <a:r>
            <a:rPr lang="en-US" sz="1100" b="1" baseline="0">
              <a:solidFill>
                <a:schemeClr val="dk1"/>
              </a:solidFill>
              <a:effectLst/>
              <a:latin typeface="+mn-lt"/>
              <a:ea typeface="+mn-ea"/>
              <a:cs typeface="+mn-cs"/>
            </a:rPr>
            <a:t> </a:t>
          </a:r>
          <a:r>
            <a:rPr lang="en-US" sz="1100" b="1"/>
            <a:t>CAR</a:t>
          </a:r>
          <a:r>
            <a:rPr lang="en-US" sz="1100" b="1" baseline="0"/>
            <a:t> 2023-95-2: = </a:t>
          </a:r>
          <a:r>
            <a:rPr lang="en-US" sz="1100" b="1">
              <a:solidFill>
                <a:schemeClr val="dk1"/>
              </a:solidFill>
              <a:effectLst/>
              <a:latin typeface="+mn-lt"/>
              <a:ea typeface="+mn-ea"/>
              <a:cs typeface="+mn-cs"/>
            </a:rPr>
            <a:t>Paul Obrochta</a:t>
          </a:r>
          <a:endParaRPr lang="en-US" sz="1100">
            <a:solidFill>
              <a:schemeClr val="dk1"/>
            </a:solidFill>
            <a:effectLst/>
            <a:latin typeface="+mn-lt"/>
            <a:ea typeface="+mn-ea"/>
            <a:cs typeface="+mn-cs"/>
          </a:endParaRPr>
        </a:p>
        <a:p>
          <a:endParaRPr lang="en-US" sz="1100" b="1" baseline="0"/>
        </a:p>
        <a:p>
          <a:endParaRPr lang="en-US" sz="1100" baseline="0"/>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Software ID 177999 for building 11 Fire test room.   The current software version is 1.1.1.5 – but the current validation is to 1.1.0.3 (shown in MetTeam file 'Smoke Detection Test Lab software</a:t>
          </a:r>
          <a:r>
            <a:rPr lang="en-US" sz="1100" baseline="0">
              <a:solidFill>
                <a:schemeClr val="dk1"/>
              </a:solidFill>
              <a:effectLst/>
              <a:latin typeface="+mn-lt"/>
              <a:ea typeface="+mn-ea"/>
              <a:cs typeface="+mn-cs"/>
            </a:rPr>
            <a:t> validation" </a:t>
          </a:r>
          <a:r>
            <a:rPr lang="en-US" sz="1100">
              <a:solidFill>
                <a:schemeClr val="dk1"/>
              </a:solidFill>
              <a:effectLst/>
              <a:latin typeface="+mn-lt"/>
              <a:ea typeface="+mn-ea"/>
              <a:cs typeface="+mn-cs"/>
            </a:rPr>
            <a:t>done in Feb. 2019).</a:t>
          </a:r>
        </a:p>
        <a:p>
          <a:pPr algn="l"/>
          <a:endParaRPr lang="en-US" sz="1100" baseline="0"/>
        </a:p>
      </xdr:txBody>
    </xdr:sp>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A7545B-9AE2-4A32-9F68-7CA097FE6754}" name="Table2" displayName="Table2" ref="A4:D17" totalsRowShown="0">
  <autoFilter ref="A4:D17" xr:uid="{9AED5F9A-4A45-4603-95B2-D2D26EA875DA}"/>
  <tableColumns count="4">
    <tableColumn id="1" xr3:uid="{6CE3F2EE-138D-4254-AA12-9A748454683C}" name="Name"/>
    <tableColumn id="2" xr3:uid="{30E7BF90-A4BD-4A97-8C6A-CFDDE81D1320}" name="Title/role"/>
    <tableColumn id="3" xr3:uid="{2AECED30-5BF1-4396-986D-0203427FD4D1}" name="Opening" dataDxfId="1"/>
    <tableColumn id="4" xr3:uid="{D9B04DC6-96B7-4F03-A71B-1610FDDF0927}" name="Closing " dataDxfId="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B49824A9-694F-428B-B9ED-FCC8B697A160}">
    <text>When looking test method,  need further discussion for additional form or pathnote</text>
  </threadedComment>
  <threadedComment ref="Q32" dT="2020-09-22T15:02:37.15" personId="{AC51E8DC-BF1C-40B5-8E58-84AE25CE4664}" id="{6D00E5E5-ED77-47B3-8174-68779A9E8EC9}">
    <text>When looking test method,  need further discussion for additional form or pathnote</text>
  </threadedComment>
  <threadedComment ref="Q33" dT="2020-09-22T15:02:37.15" personId="{AC51E8DC-BF1C-40B5-8E58-84AE25CE4664}" id="{3C900C8F-04F4-4667-BAE2-16810D464EEB}">
    <text>When looking test method,  need further discussion for additional form or pathnote</text>
  </threadedComment>
  <threadedComment ref="Q34" dT="2020-09-22T15:02:37.15" personId="{AC51E8DC-BF1C-40B5-8E58-84AE25CE4664}" id="{67AC82C2-DD59-4FAC-93C8-D0F5A095B170}">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hyperlink" Target="https://ul.sharepoint.com/:x:/r/sites/lab/577/Shared%20Documents/C%20and%20I%20PTPs/NA/BE%20Northbrook%20-%20Rosenheim%20-Toronto%20%20Validity%20of%20Results/Validity%20of%20Tests%20Plan%20for%20BE%20Lab%20Ops.xlsx?d=w4f84eca8515c423781a8fc7b101e0f48&amp;csf=1&amp;web=1" TargetMode="External"/><Relationship Id="rId7" Type="http://schemas.microsoft.com/office/2017/10/relationships/threadedComment" Target="../threadedComments/threadedComment2.xml"/><Relationship Id="rId2" Type="http://schemas.openxmlformats.org/officeDocument/2006/relationships/hyperlink" Target="https://ul.sharepoint.com/sites/GRPNASLSRegionalLabQuality/Shared%20Documents/Forms/AllItems.aspx?isAscending=false&amp;sortField=Modified&amp;id=%2Fsites%2FGRPNASLSRegionalLabQuality%2FShared%20Documents%2FOrganization%2FScience%20and%20Operations%20%E2%80%93%20Americas%20Labs%20and%20Operations%20Organization%2Epdf&amp;viewid=e6cb9c64%2D486a%2D4315%2Db404%2D56affa9f8428&amp;parent=%2Fsites%2FGRPNASLSRegionalLabQuality%2FShared%20Documents%2FOrganization" TargetMode="External"/><Relationship Id="rId1" Type="http://schemas.openxmlformats.org/officeDocument/2006/relationships/hyperlink" Target="https://ul.sharepoint.com/sites/lab/1094/Shared%20Documents/Forms/AllItems.aspx"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B3" activePane="bottomRight" state="frozen"/>
      <selection pane="topRight" activeCell="B1" sqref="B1"/>
      <selection pane="bottomLeft" activeCell="A2" sqref="A2"/>
      <selection pane="bottomRight" activeCell="D3" sqref="D3"/>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821</v>
      </c>
      <c r="B1" s="43" t="s">
        <v>832</v>
      </c>
      <c r="D1" s="44" t="s">
        <v>833</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831</v>
      </c>
      <c r="C2" s="5" t="s">
        <v>142</v>
      </c>
      <c r="D2" s="5" t="s">
        <v>143</v>
      </c>
      <c r="E2" s="5" t="s">
        <v>141</v>
      </c>
      <c r="F2" s="5" t="s">
        <v>822</v>
      </c>
      <c r="G2" s="5" t="s">
        <v>144</v>
      </c>
      <c r="H2" s="5" t="s">
        <v>23</v>
      </c>
      <c r="I2" s="5" t="s">
        <v>60</v>
      </c>
      <c r="J2" s="5" t="s">
        <v>145</v>
      </c>
      <c r="K2" s="5" t="s">
        <v>834</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835</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836</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823</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17" priority="60">
      <formula>COUNTBLANK($F3)</formula>
    </cfRule>
  </conditionalFormatting>
  <conditionalFormatting sqref="I7 I27:I32">
    <cfRule type="expression" dxfId="116" priority="58">
      <formula>COUNTBLANK($I7)</formula>
    </cfRule>
  </conditionalFormatting>
  <conditionalFormatting sqref="G3:G32">
    <cfRule type="expression" dxfId="115" priority="50">
      <formula>COUNTBLANK($G3)</formula>
    </cfRule>
  </conditionalFormatting>
  <conditionalFormatting sqref="H3:H32">
    <cfRule type="expression" dxfId="114" priority="49">
      <formula>COUNTBLANK($H3)</formula>
    </cfRule>
  </conditionalFormatting>
  <conditionalFormatting sqref="A3">
    <cfRule type="expression" dxfId="113" priority="40">
      <formula>COUNTBLANK($F3:$H3)</formula>
    </cfRule>
  </conditionalFormatting>
  <conditionalFormatting sqref="I11:I12">
    <cfRule type="expression" dxfId="112" priority="36">
      <formula>COUNTBLANK($I11)</formula>
    </cfRule>
  </conditionalFormatting>
  <conditionalFormatting sqref="I14:I18">
    <cfRule type="expression" dxfId="111" priority="35">
      <formula>COUNTBLANK($I14)</formula>
    </cfRule>
  </conditionalFormatting>
  <conditionalFormatting sqref="K3:K32">
    <cfRule type="expression" dxfId="110" priority="11">
      <formula>COUNTBLANK($K3)</formula>
    </cfRule>
  </conditionalFormatting>
  <conditionalFormatting sqref="A3">
    <cfRule type="expression" dxfId="109" priority="12">
      <formula>$K3="Not Audited"</formula>
    </cfRule>
    <cfRule type="expression" dxfId="108" priority="13">
      <formula>$K3="Not Applicable"</formula>
    </cfRule>
  </conditionalFormatting>
  <conditionalFormatting sqref="A4:A32">
    <cfRule type="expression" dxfId="107" priority="3">
      <formula>COUNTBLANK($F4:$I4)</formula>
    </cfRule>
  </conditionalFormatting>
  <conditionalFormatting sqref="A4:A32">
    <cfRule type="expression" dxfId="106" priority="1">
      <formula>$K4="Not Audited"</formula>
    </cfRule>
    <cfRule type="expression" dxfId="105"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0"/>
  <sheetViews>
    <sheetView zoomScale="80" zoomScaleNormal="80" workbookViewId="0">
      <pane xSplit="1" ySplit="2" topLeftCell="C10" activePane="bottomRight" state="frozen"/>
      <selection pane="topRight" activeCell="B1" sqref="B1"/>
      <selection pane="bottomLeft" activeCell="A2" sqref="A2"/>
      <selection pane="bottomRight" activeCell="J12" sqref="J12"/>
    </sheetView>
  </sheetViews>
  <sheetFormatPr defaultColWidth="9.140625" defaultRowHeight="15" x14ac:dyDescent="0.25"/>
  <cols>
    <col min="1" max="1" width="42.140625" customWidth="1"/>
    <col min="2" max="2" width="15.140625" style="58" customWidth="1"/>
    <col min="3" max="4" width="15.85546875" customWidth="1"/>
    <col min="5" max="5" width="12.42578125" customWidth="1"/>
    <col min="6" max="6" width="30.7109375" customWidth="1"/>
    <col min="7" max="7" width="42.7109375" customWidth="1"/>
    <col min="8" max="8" width="38.85546875" customWidth="1"/>
    <col min="9" max="9" width="30.7109375" style="58" customWidth="1"/>
    <col min="10" max="10" width="45.285156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857</v>
      </c>
      <c r="B1" s="59" t="s">
        <v>858</v>
      </c>
      <c r="D1" s="44" t="s">
        <v>859</v>
      </c>
      <c r="E1" s="43"/>
      <c r="F1" s="45"/>
      <c r="G1" s="45"/>
      <c r="H1" s="45"/>
      <c r="I1" s="55"/>
      <c r="J1" s="45"/>
      <c r="K1" s="45"/>
      <c r="L1" s="45"/>
      <c r="M1" s="45"/>
      <c r="N1" s="45"/>
      <c r="O1" s="45"/>
      <c r="P1" s="46"/>
      <c r="Q1" s="45"/>
      <c r="R1" s="47"/>
    </row>
    <row r="2" spans="1:18" s="3" customFormat="1" ht="48.6" customHeight="1" x14ac:dyDescent="0.25">
      <c r="A2" s="4" t="s">
        <v>61</v>
      </c>
      <c r="B2" s="42" t="s">
        <v>831</v>
      </c>
      <c r="C2" s="5" t="s">
        <v>142</v>
      </c>
      <c r="D2" s="5" t="s">
        <v>143</v>
      </c>
      <c r="E2" s="5" t="s">
        <v>141</v>
      </c>
      <c r="F2" s="5" t="s">
        <v>822</v>
      </c>
      <c r="G2" s="5" t="s">
        <v>144</v>
      </c>
      <c r="H2" s="5" t="s">
        <v>23</v>
      </c>
      <c r="I2" s="5" t="s">
        <v>60</v>
      </c>
      <c r="J2" s="5" t="s">
        <v>145</v>
      </c>
      <c r="K2" s="5" t="s">
        <v>834</v>
      </c>
      <c r="L2" s="5" t="s">
        <v>837</v>
      </c>
      <c r="M2" s="6" t="s">
        <v>24</v>
      </c>
      <c r="N2" s="6" t="s">
        <v>25</v>
      </c>
      <c r="O2" s="6" t="s">
        <v>26</v>
      </c>
      <c r="P2" s="4" t="s">
        <v>90</v>
      </c>
      <c r="Q2" s="4" t="s">
        <v>58</v>
      </c>
      <c r="R2" s="18" t="s">
        <v>120</v>
      </c>
    </row>
    <row r="3" spans="1:18" s="3" customFormat="1" ht="75" x14ac:dyDescent="0.25">
      <c r="A3" s="2" t="s">
        <v>29</v>
      </c>
      <c r="B3" s="56" t="s">
        <v>826</v>
      </c>
      <c r="C3" s="50" t="s">
        <v>465</v>
      </c>
      <c r="D3" s="50" t="s">
        <v>845</v>
      </c>
      <c r="E3" s="50" t="s">
        <v>799</v>
      </c>
      <c r="F3" s="52" t="s">
        <v>861</v>
      </c>
      <c r="G3" s="1" t="s">
        <v>864</v>
      </c>
      <c r="H3" s="50" t="s">
        <v>849</v>
      </c>
      <c r="I3" s="50" t="s">
        <v>849</v>
      </c>
      <c r="J3" s="50" t="s">
        <v>860</v>
      </c>
      <c r="K3" s="53" t="s">
        <v>839</v>
      </c>
      <c r="L3" s="50"/>
      <c r="M3" s="9"/>
      <c r="N3" s="9"/>
      <c r="O3" s="9"/>
      <c r="P3" s="8" t="s">
        <v>101</v>
      </c>
      <c r="Q3" s="11" t="s">
        <v>35</v>
      </c>
      <c r="R3" s="11" t="s">
        <v>132</v>
      </c>
    </row>
    <row r="4" spans="1:18" s="3" customFormat="1" ht="45" x14ac:dyDescent="0.25">
      <c r="A4" s="2" t="s">
        <v>30</v>
      </c>
      <c r="B4" s="56" t="s">
        <v>826</v>
      </c>
      <c r="C4" s="50" t="s">
        <v>465</v>
      </c>
      <c r="D4" s="50" t="s">
        <v>844</v>
      </c>
      <c r="E4" s="50" t="s">
        <v>799</v>
      </c>
      <c r="F4" s="52" t="s">
        <v>861</v>
      </c>
      <c r="G4" s="1" t="s">
        <v>878</v>
      </c>
      <c r="H4" s="50" t="s">
        <v>849</v>
      </c>
      <c r="I4" s="50" t="s">
        <v>849</v>
      </c>
      <c r="J4" s="50" t="s">
        <v>860</v>
      </c>
      <c r="K4" s="53" t="s">
        <v>839</v>
      </c>
      <c r="L4" s="50"/>
      <c r="M4" s="9"/>
      <c r="N4" s="9"/>
      <c r="O4" s="9"/>
      <c r="P4" s="8" t="s">
        <v>62</v>
      </c>
      <c r="Q4" s="11" t="s">
        <v>36</v>
      </c>
      <c r="R4" s="11"/>
    </row>
    <row r="5" spans="1:18" s="3" customFormat="1" ht="180" x14ac:dyDescent="0.25">
      <c r="A5" s="2" t="s">
        <v>28</v>
      </c>
      <c r="B5" s="56" t="s">
        <v>826</v>
      </c>
      <c r="C5" s="50" t="s">
        <v>465</v>
      </c>
      <c r="D5" s="50" t="s">
        <v>844</v>
      </c>
      <c r="E5" s="50" t="s">
        <v>799</v>
      </c>
      <c r="F5" s="52" t="s">
        <v>880</v>
      </c>
      <c r="G5" s="52" t="s">
        <v>888</v>
      </c>
      <c r="H5" s="51" t="s">
        <v>846</v>
      </c>
      <c r="I5" s="56">
        <v>2</v>
      </c>
      <c r="J5" s="61" t="s">
        <v>887</v>
      </c>
      <c r="K5" s="53" t="s">
        <v>148</v>
      </c>
      <c r="L5" s="50"/>
      <c r="M5" s="9"/>
      <c r="N5" s="9"/>
      <c r="O5" s="9"/>
      <c r="P5" s="8" t="s">
        <v>101</v>
      </c>
      <c r="Q5" s="8" t="s">
        <v>37</v>
      </c>
      <c r="R5" s="11"/>
    </row>
    <row r="6" spans="1:18" s="3" customFormat="1" ht="180" x14ac:dyDescent="0.25">
      <c r="A6" s="2" t="s">
        <v>2</v>
      </c>
      <c r="B6" s="56" t="s">
        <v>826</v>
      </c>
      <c r="C6" s="50" t="s">
        <v>465</v>
      </c>
      <c r="D6" s="50" t="s">
        <v>844</v>
      </c>
      <c r="E6" s="50" t="s">
        <v>799</v>
      </c>
      <c r="F6" s="52" t="s">
        <v>881</v>
      </c>
      <c r="G6" s="52" t="s">
        <v>885</v>
      </c>
      <c r="H6" s="50" t="s">
        <v>918</v>
      </c>
      <c r="I6" s="56">
        <v>8</v>
      </c>
      <c r="J6" s="54"/>
      <c r="K6" s="53" t="s">
        <v>148</v>
      </c>
      <c r="L6" s="50"/>
      <c r="M6" s="9"/>
      <c r="N6" s="9"/>
      <c r="O6" s="9"/>
      <c r="P6" s="8" t="s">
        <v>101</v>
      </c>
      <c r="Q6" s="8" t="s">
        <v>32</v>
      </c>
      <c r="R6" s="11" t="s">
        <v>131</v>
      </c>
    </row>
    <row r="7" spans="1:18" s="3" customFormat="1" ht="60" x14ac:dyDescent="0.25">
      <c r="A7" s="2" t="s">
        <v>1</v>
      </c>
      <c r="B7" s="56" t="s">
        <v>826</v>
      </c>
      <c r="C7" s="50" t="s">
        <v>465</v>
      </c>
      <c r="D7" s="50" t="s">
        <v>844</v>
      </c>
      <c r="E7" s="50" t="s">
        <v>799</v>
      </c>
      <c r="F7" s="52" t="s">
        <v>879</v>
      </c>
      <c r="G7" s="52" t="s">
        <v>886</v>
      </c>
      <c r="H7" s="50" t="s">
        <v>848</v>
      </c>
      <c r="I7" s="56">
        <v>8</v>
      </c>
      <c r="J7" s="50"/>
      <c r="K7" s="53" t="s">
        <v>148</v>
      </c>
      <c r="L7" s="50"/>
      <c r="M7" s="9"/>
      <c r="N7" s="9"/>
      <c r="O7" s="9"/>
      <c r="P7" s="8" t="s">
        <v>101</v>
      </c>
      <c r="Q7" s="11" t="s">
        <v>33</v>
      </c>
      <c r="R7" s="11"/>
    </row>
    <row r="8" spans="1:18" s="3" customFormat="1" ht="120" x14ac:dyDescent="0.25">
      <c r="A8" s="2" t="s">
        <v>5</v>
      </c>
      <c r="B8" s="56" t="s">
        <v>826</v>
      </c>
      <c r="C8" s="50" t="s">
        <v>465</v>
      </c>
      <c r="D8" s="50" t="s">
        <v>844</v>
      </c>
      <c r="E8" s="50" t="s">
        <v>799</v>
      </c>
      <c r="F8" s="52" t="s">
        <v>911</v>
      </c>
      <c r="G8" s="52" t="s">
        <v>952</v>
      </c>
      <c r="H8" s="50" t="s">
        <v>910</v>
      </c>
      <c r="I8" s="56">
        <v>16</v>
      </c>
      <c r="J8" s="50" t="s">
        <v>852</v>
      </c>
      <c r="K8" s="53" t="s">
        <v>149</v>
      </c>
      <c r="L8" s="50" t="s">
        <v>938</v>
      </c>
      <c r="M8" s="9"/>
      <c r="N8" s="9"/>
      <c r="O8" s="9"/>
      <c r="P8" s="8" t="s">
        <v>101</v>
      </c>
      <c r="Q8" s="8" t="s">
        <v>43</v>
      </c>
      <c r="R8" s="11" t="s">
        <v>140</v>
      </c>
    </row>
    <row r="9" spans="1:18" s="3" customFormat="1" ht="60" x14ac:dyDescent="0.25">
      <c r="A9" s="2" t="s">
        <v>17</v>
      </c>
      <c r="B9" s="56" t="s">
        <v>826</v>
      </c>
      <c r="C9" s="50" t="s">
        <v>465</v>
      </c>
      <c r="D9" s="50" t="s">
        <v>844</v>
      </c>
      <c r="E9" s="50" t="s">
        <v>799</v>
      </c>
      <c r="F9" s="52" t="s">
        <v>877</v>
      </c>
      <c r="G9" s="52" t="s">
        <v>953</v>
      </c>
      <c r="H9" s="50" t="s">
        <v>853</v>
      </c>
      <c r="I9" s="56">
        <v>2</v>
      </c>
      <c r="J9" s="50" t="s">
        <v>854</v>
      </c>
      <c r="K9" s="53" t="s">
        <v>148</v>
      </c>
      <c r="L9" s="50"/>
      <c r="M9" s="9"/>
      <c r="N9" s="9"/>
      <c r="O9" s="9"/>
      <c r="P9" s="8" t="s">
        <v>101</v>
      </c>
      <c r="Q9" s="8" t="s">
        <v>34</v>
      </c>
      <c r="R9" s="11"/>
    </row>
    <row r="10" spans="1:18" s="3" customFormat="1" ht="60" x14ac:dyDescent="0.25">
      <c r="A10" s="2" t="s">
        <v>16</v>
      </c>
      <c r="B10" s="56" t="s">
        <v>826</v>
      </c>
      <c r="C10" s="50" t="s">
        <v>465</v>
      </c>
      <c r="D10" s="50" t="s">
        <v>844</v>
      </c>
      <c r="E10" s="50" t="s">
        <v>799</v>
      </c>
      <c r="F10" s="52" t="s">
        <v>882</v>
      </c>
      <c r="G10" s="52" t="s">
        <v>892</v>
      </c>
      <c r="H10" s="50" t="s">
        <v>849</v>
      </c>
      <c r="I10" s="56" t="s">
        <v>861</v>
      </c>
      <c r="J10" s="50"/>
      <c r="K10" s="53" t="s">
        <v>840</v>
      </c>
      <c r="L10" s="50"/>
      <c r="M10" s="9"/>
      <c r="N10" s="9"/>
      <c r="O10" s="9"/>
      <c r="P10" s="8" t="s">
        <v>101</v>
      </c>
      <c r="Q10" s="8" t="s">
        <v>38</v>
      </c>
      <c r="R10" s="11">
        <v>4.5</v>
      </c>
    </row>
    <row r="11" spans="1:18" s="3" customFormat="1" ht="105" x14ac:dyDescent="0.25">
      <c r="A11" s="2" t="s">
        <v>4</v>
      </c>
      <c r="B11" s="56" t="s">
        <v>826</v>
      </c>
      <c r="C11" s="50" t="s">
        <v>465</v>
      </c>
      <c r="D11" s="50" t="s">
        <v>844</v>
      </c>
      <c r="E11" s="50" t="s">
        <v>799</v>
      </c>
      <c r="F11" s="52" t="s">
        <v>883</v>
      </c>
      <c r="G11" s="52" t="s">
        <v>942</v>
      </c>
      <c r="H11" s="50" t="s">
        <v>889</v>
      </c>
      <c r="I11" s="56">
        <v>2</v>
      </c>
      <c r="J11" s="50" t="s">
        <v>890</v>
      </c>
      <c r="K11" s="53" t="s">
        <v>148</v>
      </c>
      <c r="L11" s="50"/>
      <c r="M11" s="9"/>
      <c r="N11" s="9"/>
      <c r="O11" s="9"/>
      <c r="P11" s="7" t="s">
        <v>62</v>
      </c>
      <c r="Q11" s="7" t="s">
        <v>39</v>
      </c>
      <c r="R11" s="11"/>
    </row>
    <row r="12" spans="1:18" s="3" customFormat="1" ht="94.9" customHeight="1" x14ac:dyDescent="0.25">
      <c r="A12" s="2" t="s">
        <v>7</v>
      </c>
      <c r="B12" s="56" t="s">
        <v>826</v>
      </c>
      <c r="C12" s="50" t="s">
        <v>465</v>
      </c>
      <c r="D12" s="50" t="s">
        <v>844</v>
      </c>
      <c r="E12" s="50" t="s">
        <v>799</v>
      </c>
      <c r="F12" s="52" t="s">
        <v>912</v>
      </c>
      <c r="G12" s="52" t="s">
        <v>954</v>
      </c>
      <c r="H12" s="50" t="s">
        <v>913</v>
      </c>
      <c r="I12" s="56">
        <v>15</v>
      </c>
      <c r="J12" s="50" t="s">
        <v>960</v>
      </c>
      <c r="K12" s="53" t="s">
        <v>148</v>
      </c>
      <c r="L12" s="50"/>
      <c r="M12" s="9"/>
      <c r="N12" s="9"/>
      <c r="O12" s="9"/>
      <c r="P12" s="8" t="s">
        <v>101</v>
      </c>
      <c r="Q12" s="12" t="s">
        <v>40</v>
      </c>
      <c r="R12" s="11"/>
    </row>
    <row r="13" spans="1:18" s="3" customFormat="1" ht="75.599999999999994" customHeight="1" x14ac:dyDescent="0.25">
      <c r="A13" s="2" t="s">
        <v>19</v>
      </c>
      <c r="B13" s="56" t="s">
        <v>826</v>
      </c>
      <c r="C13" s="50" t="s">
        <v>465</v>
      </c>
      <c r="D13" s="50" t="s">
        <v>844</v>
      </c>
      <c r="E13" s="50" t="s">
        <v>799</v>
      </c>
      <c r="F13" s="52" t="s">
        <v>882</v>
      </c>
      <c r="G13" s="52" t="s">
        <v>955</v>
      </c>
      <c r="H13" s="50" t="s">
        <v>928</v>
      </c>
      <c r="I13" s="56">
        <v>7</v>
      </c>
      <c r="J13" s="50"/>
      <c r="K13" s="53" t="s">
        <v>148</v>
      </c>
      <c r="L13" s="50"/>
      <c r="M13" s="9"/>
      <c r="N13" s="9"/>
      <c r="O13" s="9"/>
      <c r="P13" s="8" t="s">
        <v>101</v>
      </c>
      <c r="Q13" s="8" t="s">
        <v>50</v>
      </c>
      <c r="R13" s="11" t="s">
        <v>135</v>
      </c>
    </row>
    <row r="14" spans="1:18" s="3" customFormat="1" ht="90" x14ac:dyDescent="0.25">
      <c r="A14" s="2" t="s">
        <v>9</v>
      </c>
      <c r="B14" s="56" t="s">
        <v>826</v>
      </c>
      <c r="C14" s="50" t="s">
        <v>465</v>
      </c>
      <c r="D14" s="50" t="s">
        <v>844</v>
      </c>
      <c r="E14" s="50" t="s">
        <v>799</v>
      </c>
      <c r="F14" s="52" t="s">
        <v>923</v>
      </c>
      <c r="G14" s="52" t="s">
        <v>956</v>
      </c>
      <c r="H14" s="52" t="s">
        <v>917</v>
      </c>
      <c r="I14" s="56">
        <v>2</v>
      </c>
      <c r="J14" s="54"/>
      <c r="K14" s="53" t="s">
        <v>148</v>
      </c>
      <c r="L14" s="50"/>
      <c r="M14" s="9"/>
      <c r="N14" s="9"/>
      <c r="O14" s="9"/>
      <c r="P14" s="8" t="s">
        <v>101</v>
      </c>
      <c r="Q14" s="8" t="s">
        <v>42</v>
      </c>
      <c r="R14" s="11"/>
    </row>
    <row r="15" spans="1:18" s="3" customFormat="1" ht="75" x14ac:dyDescent="0.25">
      <c r="A15" s="2" t="s">
        <v>10</v>
      </c>
      <c r="B15" s="56" t="s">
        <v>826</v>
      </c>
      <c r="C15" s="50" t="s">
        <v>465</v>
      </c>
      <c r="D15" s="50" t="s">
        <v>844</v>
      </c>
      <c r="E15" s="50" t="s">
        <v>799</v>
      </c>
      <c r="F15" s="52" t="s">
        <v>922</v>
      </c>
      <c r="G15" s="52" t="s">
        <v>863</v>
      </c>
      <c r="H15" s="52" t="s">
        <v>916</v>
      </c>
      <c r="I15" s="56">
        <v>1</v>
      </c>
      <c r="J15" s="54"/>
      <c r="K15" s="53" t="s">
        <v>148</v>
      </c>
      <c r="L15" s="50"/>
      <c r="M15" s="9"/>
      <c r="N15" s="9"/>
      <c r="O15" s="9"/>
      <c r="P15" s="8" t="s">
        <v>101</v>
      </c>
      <c r="Q15" s="8" t="s">
        <v>41</v>
      </c>
      <c r="R15" s="11"/>
    </row>
    <row r="16" spans="1:18" s="3" customFormat="1" ht="90" x14ac:dyDescent="0.25">
      <c r="A16" s="2" t="s">
        <v>11</v>
      </c>
      <c r="B16" s="56" t="s">
        <v>826</v>
      </c>
      <c r="C16" s="50" t="s">
        <v>465</v>
      </c>
      <c r="D16" s="50" t="s">
        <v>844</v>
      </c>
      <c r="E16" s="50" t="s">
        <v>799</v>
      </c>
      <c r="F16" s="52" t="s">
        <v>923</v>
      </c>
      <c r="G16" s="52" t="s">
        <v>862</v>
      </c>
      <c r="H16" s="51" t="s">
        <v>926</v>
      </c>
      <c r="I16" s="56">
        <v>1</v>
      </c>
      <c r="J16" s="50" t="s">
        <v>927</v>
      </c>
      <c r="K16" s="53" t="s">
        <v>148</v>
      </c>
      <c r="L16" s="50"/>
      <c r="M16" s="9"/>
      <c r="N16" s="9"/>
      <c r="O16" s="9"/>
      <c r="P16" s="8" t="s">
        <v>101</v>
      </c>
      <c r="Q16" s="8" t="s">
        <v>44</v>
      </c>
      <c r="R16" s="11"/>
    </row>
    <row r="17" spans="1:18" s="3" customFormat="1" ht="139.9" customHeight="1" x14ac:dyDescent="0.25">
      <c r="A17" s="2" t="s">
        <v>12</v>
      </c>
      <c r="B17" s="56" t="s">
        <v>826</v>
      </c>
      <c r="C17" s="50" t="s">
        <v>465</v>
      </c>
      <c r="D17" s="50" t="s">
        <v>844</v>
      </c>
      <c r="E17" s="50" t="s">
        <v>799</v>
      </c>
      <c r="F17" s="52" t="s">
        <v>924</v>
      </c>
      <c r="G17" s="52" t="s">
        <v>945</v>
      </c>
      <c r="H17" s="52" t="s">
        <v>850</v>
      </c>
      <c r="I17" s="56">
        <v>1</v>
      </c>
      <c r="J17" s="50" t="s">
        <v>957</v>
      </c>
      <c r="K17" s="53" t="s">
        <v>148</v>
      </c>
      <c r="L17" s="50"/>
      <c r="M17" s="9"/>
      <c r="N17" s="9"/>
      <c r="O17" s="9"/>
      <c r="P17" s="8" t="s">
        <v>101</v>
      </c>
      <c r="Q17" s="8" t="s">
        <v>45</v>
      </c>
      <c r="R17" s="11" t="s">
        <v>138</v>
      </c>
    </row>
    <row r="18" spans="1:18" s="3" customFormat="1" ht="60" x14ac:dyDescent="0.25">
      <c r="A18" s="2" t="s">
        <v>13</v>
      </c>
      <c r="B18" s="56" t="s">
        <v>826</v>
      </c>
      <c r="C18" s="50" t="s">
        <v>465</v>
      </c>
      <c r="D18" s="50" t="s">
        <v>844</v>
      </c>
      <c r="E18" s="50" t="s">
        <v>799</v>
      </c>
      <c r="F18" s="52" t="s">
        <v>921</v>
      </c>
      <c r="G18" s="52" t="s">
        <v>946</v>
      </c>
      <c r="H18" s="50" t="s">
        <v>925</v>
      </c>
      <c r="I18" s="56">
        <v>20</v>
      </c>
      <c r="J18" s="50" t="s">
        <v>843</v>
      </c>
      <c r="K18" s="53" t="s">
        <v>839</v>
      </c>
      <c r="L18" s="50"/>
      <c r="M18" s="9"/>
      <c r="N18" s="9"/>
      <c r="O18" s="9"/>
      <c r="P18" s="8" t="s">
        <v>101</v>
      </c>
      <c r="Q18" s="8" t="s">
        <v>51</v>
      </c>
      <c r="R18" s="11"/>
    </row>
    <row r="19" spans="1:18" s="3" customFormat="1" ht="111.75" customHeight="1" x14ac:dyDescent="0.25">
      <c r="A19" s="2" t="s">
        <v>21</v>
      </c>
      <c r="B19" s="56" t="s">
        <v>826</v>
      </c>
      <c r="C19" s="50" t="s">
        <v>465</v>
      </c>
      <c r="D19" s="50" t="s">
        <v>844</v>
      </c>
      <c r="E19" s="50" t="s">
        <v>799</v>
      </c>
      <c r="F19" s="52" t="s">
        <v>920</v>
      </c>
      <c r="G19" s="52" t="s">
        <v>947</v>
      </c>
      <c r="H19" s="50" t="s">
        <v>915</v>
      </c>
      <c r="I19" s="56" t="s">
        <v>861</v>
      </c>
      <c r="J19" s="50"/>
      <c r="K19" s="53" t="s">
        <v>148</v>
      </c>
      <c r="L19" s="50"/>
      <c r="M19" s="9"/>
      <c r="N19" s="9"/>
      <c r="O19" s="9"/>
      <c r="P19" s="7" t="s">
        <v>62</v>
      </c>
      <c r="Q19" s="7" t="s">
        <v>52</v>
      </c>
      <c r="R19" s="11"/>
    </row>
    <row r="20" spans="1:18" s="3" customFormat="1" ht="60" x14ac:dyDescent="0.25">
      <c r="A20" s="2" t="s">
        <v>6</v>
      </c>
      <c r="B20" s="56" t="s">
        <v>826</v>
      </c>
      <c r="C20" s="50" t="s">
        <v>465</v>
      </c>
      <c r="D20" s="50" t="s">
        <v>844</v>
      </c>
      <c r="E20" s="50" t="s">
        <v>799</v>
      </c>
      <c r="F20" s="52" t="s">
        <v>921</v>
      </c>
      <c r="G20" s="52" t="s">
        <v>861</v>
      </c>
      <c r="H20" s="50" t="s">
        <v>861</v>
      </c>
      <c r="I20" s="56" t="s">
        <v>861</v>
      </c>
      <c r="J20" s="50"/>
      <c r="K20" s="53" t="s">
        <v>840</v>
      </c>
      <c r="L20" s="50"/>
      <c r="M20" s="9"/>
      <c r="N20" s="9"/>
      <c r="O20" s="9"/>
      <c r="P20" s="8" t="s">
        <v>101</v>
      </c>
      <c r="Q20" s="8" t="s">
        <v>46</v>
      </c>
      <c r="R20" s="11"/>
    </row>
    <row r="21" spans="1:18" s="3" customFormat="1" ht="135" x14ac:dyDescent="0.25">
      <c r="A21" s="2" t="s">
        <v>3</v>
      </c>
      <c r="B21" s="56" t="s">
        <v>826</v>
      </c>
      <c r="C21" s="50" t="s">
        <v>465</v>
      </c>
      <c r="D21" s="50" t="s">
        <v>844</v>
      </c>
      <c r="E21" s="50" t="s">
        <v>799</v>
      </c>
      <c r="F21" s="50" t="s">
        <v>884</v>
      </c>
      <c r="G21" s="52" t="s">
        <v>943</v>
      </c>
      <c r="H21" s="50" t="s">
        <v>937</v>
      </c>
      <c r="I21" s="56">
        <v>6</v>
      </c>
      <c r="J21" s="50" t="s">
        <v>855</v>
      </c>
      <c r="K21" s="53" t="s">
        <v>148</v>
      </c>
      <c r="L21" s="50"/>
      <c r="M21" s="9"/>
      <c r="N21" s="9"/>
      <c r="O21" s="9"/>
      <c r="P21" s="8" t="s">
        <v>101</v>
      </c>
      <c r="Q21" s="8" t="s">
        <v>53</v>
      </c>
      <c r="R21" s="11" t="s">
        <v>133</v>
      </c>
    </row>
    <row r="22" spans="1:18" s="3" customFormat="1" ht="75" x14ac:dyDescent="0.25">
      <c r="A22" s="2" t="s">
        <v>18</v>
      </c>
      <c r="B22" s="56" t="s">
        <v>826</v>
      </c>
      <c r="C22" s="50" t="s">
        <v>465</v>
      </c>
      <c r="D22" s="50" t="s">
        <v>844</v>
      </c>
      <c r="E22" s="50" t="s">
        <v>799</v>
      </c>
      <c r="F22" s="50" t="s">
        <v>920</v>
      </c>
      <c r="G22" s="52" t="s">
        <v>944</v>
      </c>
      <c r="H22" s="50" t="s">
        <v>937</v>
      </c>
      <c r="I22" s="56">
        <v>6</v>
      </c>
      <c r="J22" s="50" t="s">
        <v>856</v>
      </c>
      <c r="K22" s="53" t="s">
        <v>148</v>
      </c>
      <c r="L22" s="50"/>
      <c r="M22" s="9"/>
      <c r="N22" s="9"/>
      <c r="O22" s="9"/>
      <c r="P22" s="8" t="s">
        <v>62</v>
      </c>
      <c r="Q22" s="8" t="s">
        <v>47</v>
      </c>
      <c r="R22" s="11" t="s">
        <v>139</v>
      </c>
    </row>
    <row r="23" spans="1:18" s="3" customFormat="1" ht="75" x14ac:dyDescent="0.25">
      <c r="A23" s="2" t="s">
        <v>8</v>
      </c>
      <c r="B23" s="56" t="s">
        <v>826</v>
      </c>
      <c r="C23" s="50" t="s">
        <v>465</v>
      </c>
      <c r="D23" s="50" t="s">
        <v>844</v>
      </c>
      <c r="E23" s="50" t="s">
        <v>799</v>
      </c>
      <c r="F23" s="50" t="s">
        <v>879</v>
      </c>
      <c r="G23" s="52" t="s">
        <v>948</v>
      </c>
      <c r="H23" s="50" t="s">
        <v>851</v>
      </c>
      <c r="I23" s="56">
        <v>20</v>
      </c>
      <c r="J23" s="50"/>
      <c r="K23" s="53" t="s">
        <v>148</v>
      </c>
      <c r="L23" s="50"/>
      <c r="M23" s="9"/>
      <c r="N23" s="9"/>
      <c r="O23" s="9"/>
      <c r="P23" s="8" t="s">
        <v>62</v>
      </c>
      <c r="Q23" s="8" t="s">
        <v>31</v>
      </c>
      <c r="R23" s="11"/>
    </row>
    <row r="24" spans="1:18" s="3" customFormat="1" ht="45" x14ac:dyDescent="0.25">
      <c r="A24" s="2" t="s">
        <v>14</v>
      </c>
      <c r="B24" s="56" t="s">
        <v>826</v>
      </c>
      <c r="C24" s="50" t="s">
        <v>465</v>
      </c>
      <c r="D24" s="50" t="s">
        <v>844</v>
      </c>
      <c r="E24" s="50" t="s">
        <v>799</v>
      </c>
      <c r="F24" s="50" t="s">
        <v>884</v>
      </c>
      <c r="G24" s="52" t="s">
        <v>949</v>
      </c>
      <c r="H24" s="50" t="s">
        <v>919</v>
      </c>
      <c r="I24" s="56">
        <v>1</v>
      </c>
      <c r="J24" s="50"/>
      <c r="K24" s="53" t="s">
        <v>148</v>
      </c>
      <c r="L24" s="50"/>
      <c r="M24" s="9"/>
      <c r="N24" s="9"/>
      <c r="O24" s="9"/>
      <c r="P24" s="8" t="s">
        <v>62</v>
      </c>
      <c r="Q24" s="8" t="s">
        <v>48</v>
      </c>
      <c r="R24" s="11"/>
    </row>
    <row r="25" spans="1:18" s="3" customFormat="1" ht="45" x14ac:dyDescent="0.25">
      <c r="A25" s="2" t="s">
        <v>0</v>
      </c>
      <c r="B25" s="56" t="s">
        <v>826</v>
      </c>
      <c r="C25" s="50" t="s">
        <v>465</v>
      </c>
      <c r="D25" s="50" t="s">
        <v>844</v>
      </c>
      <c r="E25" s="50" t="s">
        <v>799</v>
      </c>
      <c r="F25" s="50" t="s">
        <v>861</v>
      </c>
      <c r="G25" s="52" t="s">
        <v>861</v>
      </c>
      <c r="H25" s="50" t="s">
        <v>849</v>
      </c>
      <c r="I25" s="56" t="s">
        <v>861</v>
      </c>
      <c r="J25" s="50" t="s">
        <v>891</v>
      </c>
      <c r="K25" s="53" t="s">
        <v>839</v>
      </c>
      <c r="L25" s="54"/>
      <c r="M25" s="9"/>
      <c r="N25" s="9"/>
      <c r="O25" s="9"/>
      <c r="P25" s="8" t="s">
        <v>62</v>
      </c>
      <c r="Q25" s="8" t="s">
        <v>49</v>
      </c>
      <c r="R25" s="11"/>
    </row>
    <row r="26" spans="1:18" s="3" customFormat="1" ht="45" x14ac:dyDescent="0.25">
      <c r="A26" s="2" t="s">
        <v>54</v>
      </c>
      <c r="B26" s="56" t="s">
        <v>826</v>
      </c>
      <c r="C26" s="50" t="s">
        <v>465</v>
      </c>
      <c r="D26" s="50" t="s">
        <v>844</v>
      </c>
      <c r="E26" s="50" t="s">
        <v>799</v>
      </c>
      <c r="F26" s="50" t="s">
        <v>884</v>
      </c>
      <c r="G26" s="52" t="s">
        <v>950</v>
      </c>
      <c r="H26" s="50" t="s">
        <v>915</v>
      </c>
      <c r="I26" s="56">
        <v>1</v>
      </c>
      <c r="J26" s="50"/>
      <c r="K26" s="53" t="s">
        <v>148</v>
      </c>
      <c r="L26" s="50"/>
      <c r="M26" s="9"/>
      <c r="N26" s="9"/>
      <c r="O26" s="9"/>
      <c r="P26" s="8" t="s">
        <v>101</v>
      </c>
      <c r="Q26" s="8" t="s">
        <v>55</v>
      </c>
      <c r="R26" s="11"/>
    </row>
    <row r="27" spans="1:18" s="3" customFormat="1" ht="90" x14ac:dyDescent="0.25">
      <c r="A27" s="2" t="s">
        <v>15</v>
      </c>
      <c r="B27" s="56" t="s">
        <v>826</v>
      </c>
      <c r="C27" s="50" t="s">
        <v>465</v>
      </c>
      <c r="D27" s="50" t="s">
        <v>844</v>
      </c>
      <c r="E27" s="50" t="s">
        <v>799</v>
      </c>
      <c r="F27" s="50" t="s">
        <v>884</v>
      </c>
      <c r="G27" s="52" t="s">
        <v>951</v>
      </c>
      <c r="H27" s="50" t="s">
        <v>936</v>
      </c>
      <c r="I27" s="56">
        <v>1</v>
      </c>
      <c r="J27" s="50" t="s">
        <v>935</v>
      </c>
      <c r="K27" s="53" t="s">
        <v>148</v>
      </c>
      <c r="L27" s="50"/>
      <c r="M27" s="9"/>
      <c r="N27" s="9"/>
      <c r="O27" s="9"/>
      <c r="P27" s="8" t="s">
        <v>101</v>
      </c>
      <c r="Q27" s="8" t="s">
        <v>56</v>
      </c>
      <c r="R27" s="11"/>
    </row>
    <row r="28" spans="1:18" s="3" customFormat="1" ht="156.75" customHeight="1" x14ac:dyDescent="0.25">
      <c r="A28" s="2" t="s">
        <v>20</v>
      </c>
      <c r="B28" s="56" t="s">
        <v>826</v>
      </c>
      <c r="C28" s="50" t="s">
        <v>465</v>
      </c>
      <c r="D28" s="50" t="s">
        <v>844</v>
      </c>
      <c r="E28" s="50" t="s">
        <v>799</v>
      </c>
      <c r="F28" s="50" t="s">
        <v>896</v>
      </c>
      <c r="G28" s="50" t="s">
        <v>895</v>
      </c>
      <c r="H28" s="50" t="s">
        <v>897</v>
      </c>
      <c r="I28" s="56">
        <v>9</v>
      </c>
      <c r="J28" s="50"/>
      <c r="K28" s="53" t="s">
        <v>148</v>
      </c>
      <c r="L28" s="50"/>
      <c r="M28" s="9"/>
      <c r="N28" s="9"/>
      <c r="O28" s="9"/>
      <c r="P28" s="8" t="s">
        <v>101</v>
      </c>
      <c r="Q28" s="8" t="s">
        <v>57</v>
      </c>
      <c r="R28" s="11" t="s">
        <v>134</v>
      </c>
    </row>
    <row r="29" spans="1:18" s="3" customFormat="1" ht="220.5" customHeight="1" x14ac:dyDescent="0.25">
      <c r="A29" s="2" t="s">
        <v>20</v>
      </c>
      <c r="B29" s="56" t="s">
        <v>826</v>
      </c>
      <c r="C29" s="50" t="s">
        <v>465</v>
      </c>
      <c r="D29" s="50" t="s">
        <v>844</v>
      </c>
      <c r="E29" s="50" t="s">
        <v>799</v>
      </c>
      <c r="F29" s="50" t="s">
        <v>893</v>
      </c>
      <c r="G29" s="50" t="s">
        <v>894</v>
      </c>
      <c r="H29" s="50" t="s">
        <v>899</v>
      </c>
      <c r="I29" s="56">
        <v>7</v>
      </c>
      <c r="J29" s="50"/>
      <c r="K29" s="53" t="s">
        <v>148</v>
      </c>
      <c r="L29" s="50" t="s">
        <v>959</v>
      </c>
      <c r="M29" s="9"/>
      <c r="N29" s="9"/>
      <c r="O29" s="9"/>
      <c r="P29" s="8" t="s">
        <v>101</v>
      </c>
      <c r="Q29" s="8" t="s">
        <v>57</v>
      </c>
      <c r="R29" s="11" t="s">
        <v>134</v>
      </c>
    </row>
    <row r="30" spans="1:18" s="3" customFormat="1" ht="105" x14ac:dyDescent="0.25">
      <c r="A30" s="2" t="s">
        <v>20</v>
      </c>
      <c r="B30" s="56" t="s">
        <v>826</v>
      </c>
      <c r="C30" s="50" t="s">
        <v>465</v>
      </c>
      <c r="D30" s="50" t="s">
        <v>844</v>
      </c>
      <c r="E30" s="50" t="s">
        <v>799</v>
      </c>
      <c r="F30" s="50" t="s">
        <v>903</v>
      </c>
      <c r="G30" s="50" t="s">
        <v>902</v>
      </c>
      <c r="H30" s="52" t="s">
        <v>914</v>
      </c>
      <c r="I30" s="56">
        <v>4</v>
      </c>
      <c r="J30" s="50"/>
      <c r="K30" s="53" t="s">
        <v>148</v>
      </c>
      <c r="L30" s="50" t="s">
        <v>939</v>
      </c>
      <c r="M30" s="9"/>
      <c r="N30" s="9"/>
      <c r="O30" s="9"/>
      <c r="P30" s="8" t="s">
        <v>101</v>
      </c>
      <c r="Q30" s="8" t="s">
        <v>57</v>
      </c>
      <c r="R30" s="11" t="s">
        <v>134</v>
      </c>
    </row>
    <row r="31" spans="1:18" s="3" customFormat="1" ht="105" x14ac:dyDescent="0.25">
      <c r="A31" s="2" t="s">
        <v>20</v>
      </c>
      <c r="B31" s="56" t="s">
        <v>826</v>
      </c>
      <c r="C31" s="50" t="s">
        <v>465</v>
      </c>
      <c r="D31" s="50" t="s">
        <v>844</v>
      </c>
      <c r="E31" s="50" t="s">
        <v>799</v>
      </c>
      <c r="F31" s="50" t="s">
        <v>900</v>
      </c>
      <c r="G31" s="50" t="s">
        <v>898</v>
      </c>
      <c r="H31" s="50" t="s">
        <v>905</v>
      </c>
      <c r="I31" s="56">
        <v>5</v>
      </c>
      <c r="J31" s="50"/>
      <c r="K31" s="53" t="s">
        <v>148</v>
      </c>
      <c r="L31" s="50"/>
      <c r="M31" s="9"/>
      <c r="N31" s="9"/>
      <c r="O31" s="9"/>
      <c r="P31" s="8" t="s">
        <v>101</v>
      </c>
      <c r="Q31" s="8" t="s">
        <v>57</v>
      </c>
      <c r="R31" s="11" t="s">
        <v>134</v>
      </c>
    </row>
    <row r="32" spans="1:18" s="3" customFormat="1" ht="105" x14ac:dyDescent="0.25">
      <c r="A32" s="2" t="s">
        <v>20</v>
      </c>
      <c r="B32" s="56" t="s">
        <v>826</v>
      </c>
      <c r="C32" s="50" t="s">
        <v>465</v>
      </c>
      <c r="D32" s="50" t="s">
        <v>844</v>
      </c>
      <c r="E32" s="50" t="s">
        <v>799</v>
      </c>
      <c r="F32" s="50" t="s">
        <v>906</v>
      </c>
      <c r="G32" s="50" t="s">
        <v>908</v>
      </c>
      <c r="H32" s="52" t="s">
        <v>909</v>
      </c>
      <c r="I32" s="56">
        <v>5</v>
      </c>
      <c r="J32" s="50"/>
      <c r="K32" s="53" t="s">
        <v>148</v>
      </c>
      <c r="L32" s="50"/>
      <c r="M32" s="9"/>
      <c r="N32" s="9"/>
      <c r="O32" s="9"/>
      <c r="P32" s="8" t="s">
        <v>101</v>
      </c>
      <c r="Q32" s="8" t="s">
        <v>57</v>
      </c>
      <c r="R32" s="11" t="s">
        <v>134</v>
      </c>
    </row>
    <row r="33" spans="1:18" s="3" customFormat="1" ht="120" x14ac:dyDescent="0.25">
      <c r="A33" s="2" t="s">
        <v>20</v>
      </c>
      <c r="B33" s="56" t="s">
        <v>826</v>
      </c>
      <c r="C33" s="50" t="s">
        <v>465</v>
      </c>
      <c r="D33" s="50" t="s">
        <v>844</v>
      </c>
      <c r="E33" s="50" t="s">
        <v>799</v>
      </c>
      <c r="F33" s="50" t="s">
        <v>901</v>
      </c>
      <c r="G33" s="50" t="s">
        <v>904</v>
      </c>
      <c r="H33" s="50" t="s">
        <v>941</v>
      </c>
      <c r="I33" s="56">
        <v>7</v>
      </c>
      <c r="J33" s="50"/>
      <c r="K33" s="53" t="s">
        <v>148</v>
      </c>
      <c r="L33" s="50"/>
      <c r="M33" s="9"/>
      <c r="N33" s="9"/>
      <c r="O33" s="9"/>
      <c r="P33" s="8" t="s">
        <v>101</v>
      </c>
      <c r="Q33" s="8" t="s">
        <v>57</v>
      </c>
      <c r="R33" s="11" t="s">
        <v>134</v>
      </c>
    </row>
    <row r="34" spans="1:18" s="3" customFormat="1" ht="105" x14ac:dyDescent="0.25">
      <c r="A34" s="2" t="s">
        <v>20</v>
      </c>
      <c r="B34" s="56" t="s">
        <v>826</v>
      </c>
      <c r="C34" s="50" t="s">
        <v>465</v>
      </c>
      <c r="D34" s="50" t="s">
        <v>844</v>
      </c>
      <c r="E34" s="50" t="s">
        <v>799</v>
      </c>
      <c r="F34" s="50" t="s">
        <v>847</v>
      </c>
      <c r="G34" s="50" t="s">
        <v>907</v>
      </c>
      <c r="H34" s="52" t="s">
        <v>958</v>
      </c>
      <c r="I34" s="56">
        <v>5</v>
      </c>
      <c r="J34" s="50"/>
      <c r="K34" s="53" t="s">
        <v>148</v>
      </c>
      <c r="L34" s="50" t="s">
        <v>940</v>
      </c>
      <c r="M34" s="9"/>
      <c r="N34" s="9"/>
      <c r="O34" s="9"/>
      <c r="P34" s="8" t="s">
        <v>101</v>
      </c>
      <c r="Q34" s="8" t="s">
        <v>57</v>
      </c>
      <c r="R34" s="11" t="s">
        <v>134</v>
      </c>
    </row>
    <row r="35" spans="1:18" s="3" customFormat="1" ht="15.75" x14ac:dyDescent="0.25">
      <c r="A35" s="2"/>
      <c r="B35" s="57"/>
      <c r="C35" s="1"/>
      <c r="D35" s="1"/>
      <c r="E35" s="1"/>
      <c r="F35" s="1"/>
      <c r="G35" s="1"/>
      <c r="H35" s="1"/>
      <c r="I35" s="57"/>
      <c r="J35" s="1"/>
      <c r="K35" s="29"/>
      <c r="L35" s="1"/>
      <c r="M35" s="9"/>
      <c r="N35" s="9"/>
      <c r="O35" s="9"/>
      <c r="R35" s="11"/>
    </row>
    <row r="36" spans="1:18" s="3" customFormat="1" ht="15.75" x14ac:dyDescent="0.25">
      <c r="A36" s="2"/>
      <c r="B36" s="57"/>
      <c r="C36" s="1"/>
      <c r="D36" s="1"/>
      <c r="E36" s="1"/>
      <c r="F36" s="1"/>
      <c r="G36" s="1"/>
      <c r="H36" s="1"/>
      <c r="I36" s="57"/>
      <c r="J36" s="1"/>
      <c r="K36" s="29"/>
      <c r="L36" s="1"/>
      <c r="M36" s="9"/>
      <c r="N36" s="9"/>
      <c r="O36" s="9"/>
      <c r="R36" s="11"/>
    </row>
    <row r="37" spans="1:18" s="3" customFormat="1" ht="15.75" x14ac:dyDescent="0.25">
      <c r="A37" s="2"/>
      <c r="B37" s="57"/>
      <c r="C37" s="1"/>
      <c r="D37" s="1"/>
      <c r="E37" s="1"/>
      <c r="F37" s="1"/>
      <c r="G37" s="1"/>
      <c r="H37" s="1"/>
      <c r="I37" s="57"/>
      <c r="J37" s="1"/>
      <c r="K37" s="29"/>
      <c r="L37" s="1"/>
      <c r="M37" s="9"/>
      <c r="N37" s="9"/>
      <c r="O37" s="9"/>
      <c r="R37" s="11"/>
    </row>
    <row r="38" spans="1:18" s="3" customFormat="1" ht="15.75" x14ac:dyDescent="0.25">
      <c r="A38" s="2"/>
      <c r="B38" s="57"/>
      <c r="C38" s="1"/>
      <c r="D38" s="1"/>
      <c r="E38" s="1"/>
      <c r="F38" s="1"/>
      <c r="G38" s="1"/>
      <c r="H38" s="1"/>
      <c r="I38" s="57"/>
      <c r="J38" s="1"/>
      <c r="K38" s="29"/>
      <c r="L38" s="29"/>
      <c r="M38" s="9"/>
      <c r="N38" s="9"/>
      <c r="O38" s="9"/>
      <c r="Q38" s="7"/>
      <c r="R38" s="11"/>
    </row>
    <row r="39" spans="1:18" x14ac:dyDescent="0.25">
      <c r="Q39" s="10"/>
    </row>
    <row r="40" spans="1:18" x14ac:dyDescent="0.25">
      <c r="Q40" s="10"/>
    </row>
    <row r="41" spans="1:18" x14ac:dyDescent="0.25">
      <c r="Q41" s="10"/>
    </row>
    <row r="42" spans="1:18" x14ac:dyDescent="0.25">
      <c r="Q42" s="10"/>
    </row>
    <row r="43" spans="1:18" x14ac:dyDescent="0.25">
      <c r="Q43" s="10"/>
    </row>
    <row r="44" spans="1:18" x14ac:dyDescent="0.25">
      <c r="Q44" s="10"/>
    </row>
    <row r="45" spans="1:18" x14ac:dyDescent="0.25">
      <c r="Q45" s="10"/>
    </row>
    <row r="46" spans="1:18" x14ac:dyDescent="0.25">
      <c r="Q46" s="10"/>
    </row>
    <row r="47" spans="1:18" x14ac:dyDescent="0.25">
      <c r="Q47" s="10"/>
    </row>
    <row r="48" spans="1:18" x14ac:dyDescent="0.25">
      <c r="Q48" s="10"/>
    </row>
    <row r="49" spans="17:17" x14ac:dyDescent="0.25">
      <c r="Q49" s="10"/>
    </row>
    <row r="50" spans="17:17" x14ac:dyDescent="0.25">
      <c r="Q50" s="10"/>
    </row>
  </sheetData>
  <phoneticPr fontId="12" type="noConversion"/>
  <conditionalFormatting sqref="H29:H33 H3:I4">
    <cfRule type="expression" dxfId="98" priority="207">
      <formula>COUNTBLANK($H3)</formula>
    </cfRule>
  </conditionalFormatting>
  <conditionalFormatting sqref="G5:G14 G16:G27 G29 G31:G33">
    <cfRule type="expression" dxfId="97" priority="199">
      <formula>COUNTBLANK($G5)</formula>
    </cfRule>
  </conditionalFormatting>
  <conditionalFormatting sqref="H5">
    <cfRule type="expression" dxfId="96" priority="198">
      <formula>COUNTBLANK($H5)</formula>
    </cfRule>
  </conditionalFormatting>
  <conditionalFormatting sqref="I6 I29:I33">
    <cfRule type="expression" dxfId="95" priority="197">
      <formula>COUNTBLANK($I6)</formula>
    </cfRule>
  </conditionalFormatting>
  <conditionalFormatting sqref="I7:I9">
    <cfRule type="expression" dxfId="94" priority="196">
      <formula>COUNTBLANK($I7)</formula>
    </cfRule>
  </conditionalFormatting>
  <conditionalFormatting sqref="I11:I13">
    <cfRule type="expression" dxfId="93" priority="195">
      <formula>COUNTBLANK($I11)</formula>
    </cfRule>
  </conditionalFormatting>
  <conditionalFormatting sqref="I28">
    <cfRule type="expression" dxfId="92" priority="194">
      <formula>COUNTBLANK($I28)</formula>
    </cfRule>
  </conditionalFormatting>
  <conditionalFormatting sqref="K3:K28">
    <cfRule type="expression" dxfId="91" priority="100">
      <formula>COUNTBLANK($K3)</formula>
    </cfRule>
  </conditionalFormatting>
  <conditionalFormatting sqref="A6:A9 A11:A13 A28:A33">
    <cfRule type="expression" dxfId="90" priority="96">
      <formula>COUNTBLANK($F6:$I6)</formula>
    </cfRule>
  </conditionalFormatting>
  <conditionalFormatting sqref="A6:A9 A11:A13 A28:A33">
    <cfRule type="expression" dxfId="89" priority="94">
      <formula>$K6="Not Audited"</formula>
    </cfRule>
    <cfRule type="expression" dxfId="88" priority="95">
      <formula>$K6="Not Applicable"</formula>
    </cfRule>
  </conditionalFormatting>
  <conditionalFormatting sqref="A10">
    <cfRule type="expression" dxfId="87" priority="93">
      <formula>COUNTBLANK($F10:$H10)</formula>
    </cfRule>
  </conditionalFormatting>
  <conditionalFormatting sqref="A10">
    <cfRule type="expression" dxfId="86" priority="91">
      <formula>$K10="Not Audited"</formula>
    </cfRule>
    <cfRule type="expression" dxfId="85" priority="92">
      <formula>$K10="Not Applicable"</formula>
    </cfRule>
  </conditionalFormatting>
  <conditionalFormatting sqref="A15">
    <cfRule type="expression" dxfId="84" priority="90">
      <formula>COUNTBLANK($F15:$H15)</formula>
    </cfRule>
  </conditionalFormatting>
  <conditionalFormatting sqref="A15">
    <cfRule type="expression" dxfId="83" priority="88">
      <formula>$K15="Not Audited"</formula>
    </cfRule>
    <cfRule type="expression" dxfId="82" priority="89">
      <formula>$K15="Not Applicable"</formula>
    </cfRule>
  </conditionalFormatting>
  <conditionalFormatting sqref="A14">
    <cfRule type="expression" dxfId="81" priority="87">
      <formula>COUNTBLANK($F14:$H14)</formula>
    </cfRule>
  </conditionalFormatting>
  <conditionalFormatting sqref="A14">
    <cfRule type="expression" dxfId="80" priority="85">
      <formula>$K14="Not Audited"</formula>
    </cfRule>
    <cfRule type="expression" dxfId="79" priority="86">
      <formula>$K14="Not Applicable"</formula>
    </cfRule>
  </conditionalFormatting>
  <conditionalFormatting sqref="A16:A17">
    <cfRule type="expression" dxfId="78" priority="84">
      <formula>COUNTBLANK($F16:$H16)</formula>
    </cfRule>
  </conditionalFormatting>
  <conditionalFormatting sqref="A16:A17">
    <cfRule type="expression" dxfId="77" priority="82">
      <formula>$K16="Not Audited"</formula>
    </cfRule>
    <cfRule type="expression" dxfId="76" priority="83">
      <formula>$K16="Not Applicable"</formula>
    </cfRule>
  </conditionalFormatting>
  <conditionalFormatting sqref="A18">
    <cfRule type="expression" dxfId="75" priority="78">
      <formula>COUNTBLANK($F18:$H18)</formula>
    </cfRule>
  </conditionalFormatting>
  <conditionalFormatting sqref="A18">
    <cfRule type="expression" dxfId="74" priority="76">
      <formula>$K18="Not Audited"</formula>
    </cfRule>
    <cfRule type="expression" dxfId="73" priority="77">
      <formula>$K18="Not Applicable"</formula>
    </cfRule>
  </conditionalFormatting>
  <conditionalFormatting sqref="A19:A21">
    <cfRule type="expression" dxfId="72" priority="72">
      <formula>COUNTBLANK($F19:$H19)</formula>
    </cfRule>
  </conditionalFormatting>
  <conditionalFormatting sqref="A19:A21">
    <cfRule type="expression" dxfId="71" priority="70">
      <formula>$K19="Not Audited"</formula>
    </cfRule>
    <cfRule type="expression" dxfId="70" priority="71">
      <formula>$K19="Not Applicable"</formula>
    </cfRule>
  </conditionalFormatting>
  <conditionalFormatting sqref="A22:A24">
    <cfRule type="expression" dxfId="69" priority="69">
      <formula>COUNTBLANK($F22:$H22)</formula>
    </cfRule>
  </conditionalFormatting>
  <conditionalFormatting sqref="A22:A24">
    <cfRule type="expression" dxfId="68" priority="67">
      <formula>$K22="Not Audited"</formula>
    </cfRule>
    <cfRule type="expression" dxfId="67" priority="68">
      <formula>$K22="Not Applicable"</formula>
    </cfRule>
  </conditionalFormatting>
  <conditionalFormatting sqref="A25:A27">
    <cfRule type="expression" dxfId="66" priority="66">
      <formula>COUNTBLANK($F25:$H25)</formula>
    </cfRule>
  </conditionalFormatting>
  <conditionalFormatting sqref="A25:A27">
    <cfRule type="expression" dxfId="65" priority="64">
      <formula>$K25="Not Audited"</formula>
    </cfRule>
    <cfRule type="expression" dxfId="64" priority="65">
      <formula>$K25="Not Applicable"</formula>
    </cfRule>
  </conditionalFormatting>
  <conditionalFormatting sqref="A3:A5">
    <cfRule type="expression" dxfId="63" priority="63">
      <formula>COUNTBLANK($F3:$H3)</formula>
    </cfRule>
  </conditionalFormatting>
  <conditionalFormatting sqref="A3:A5">
    <cfRule type="expression" dxfId="62" priority="61">
      <formula>$K3="Not Audited"</formula>
    </cfRule>
    <cfRule type="expression" dxfId="61" priority="62">
      <formula>$K3="Not Applicable"</formula>
    </cfRule>
  </conditionalFormatting>
  <conditionalFormatting sqref="F29:F33 F3:F16 F18:F20">
    <cfRule type="expression" dxfId="60" priority="60">
      <formula>COUNTBLANK($F3)</formula>
    </cfRule>
  </conditionalFormatting>
  <conditionalFormatting sqref="I34">
    <cfRule type="expression" dxfId="59" priority="55">
      <formula>COUNTBLANK($I34)</formula>
    </cfRule>
  </conditionalFormatting>
  <conditionalFormatting sqref="K34">
    <cfRule type="expression" dxfId="58" priority="54">
      <formula>COUNTBLANK($K34)</formula>
    </cfRule>
  </conditionalFormatting>
  <conditionalFormatting sqref="A34">
    <cfRule type="expression" dxfId="57" priority="53">
      <formula>COUNTBLANK($F34:$I34)</formula>
    </cfRule>
  </conditionalFormatting>
  <conditionalFormatting sqref="A34">
    <cfRule type="expression" dxfId="56" priority="51">
      <formula>$K34="Not Audited"</formula>
    </cfRule>
    <cfRule type="expression" dxfId="55" priority="51">
      <formula>$K34="Not Applicable"</formula>
    </cfRule>
  </conditionalFormatting>
  <conditionalFormatting sqref="F34">
    <cfRule type="expression" dxfId="54" priority="38">
      <formula>COUNTBLANK($F34)</formula>
    </cfRule>
  </conditionalFormatting>
  <conditionalFormatting sqref="G34">
    <cfRule type="expression" dxfId="53" priority="35">
      <formula>COUNTBLANK($G34)</formula>
    </cfRule>
  </conditionalFormatting>
  <conditionalFormatting sqref="H6:H27">
    <cfRule type="expression" dxfId="52" priority="34">
      <formula>COUNTBLANK($H6)</formula>
    </cfRule>
  </conditionalFormatting>
  <conditionalFormatting sqref="H34">
    <cfRule type="expression" dxfId="51" priority="32">
      <formula>COUNTBLANK($H34)</formula>
    </cfRule>
  </conditionalFormatting>
  <conditionalFormatting sqref="J6">
    <cfRule type="expression" dxfId="50" priority="31">
      <formula>COUNTBLANK($H6)</formula>
    </cfRule>
  </conditionalFormatting>
  <conditionalFormatting sqref="G3">
    <cfRule type="expression" dxfId="49" priority="29">
      <formula>COUNTBLANK($G3)</formula>
    </cfRule>
  </conditionalFormatting>
  <conditionalFormatting sqref="G4">
    <cfRule type="expression" dxfId="48" priority="28">
      <formula>COUNTBLANK($G4)</formula>
    </cfRule>
  </conditionalFormatting>
  <conditionalFormatting sqref="I5">
    <cfRule type="expression" dxfId="47" priority="27">
      <formula>COUNTBLANK($I5)</formula>
    </cfRule>
  </conditionalFormatting>
  <conditionalFormatting sqref="H28">
    <cfRule type="expression" dxfId="46" priority="26">
      <formula>COUNTBLANK($G28)</formula>
    </cfRule>
  </conditionalFormatting>
  <conditionalFormatting sqref="F28:G28">
    <cfRule type="expression" dxfId="45" priority="25">
      <formula>COUNTBLANK($G28)</formula>
    </cfRule>
  </conditionalFormatting>
  <conditionalFormatting sqref="I10">
    <cfRule type="expression" dxfId="44" priority="24">
      <formula>COUNTBLANK($I10)</formula>
    </cfRule>
  </conditionalFormatting>
  <conditionalFormatting sqref="I27">
    <cfRule type="expression" dxfId="43" priority="23">
      <formula>COUNTBLANK($I27)</formula>
    </cfRule>
  </conditionalFormatting>
  <conditionalFormatting sqref="I14:I24">
    <cfRule type="expression" dxfId="42" priority="22">
      <formula>COUNTBLANK($I14)</formula>
    </cfRule>
  </conditionalFormatting>
  <conditionalFormatting sqref="G15">
    <cfRule type="expression" dxfId="41" priority="20">
      <formula>COUNTBLANK($H15)</formula>
    </cfRule>
  </conditionalFormatting>
  <conditionalFormatting sqref="I26">
    <cfRule type="expression" dxfId="40" priority="19">
      <formula>COUNTBLANK($I26)</formula>
    </cfRule>
  </conditionalFormatting>
  <conditionalFormatting sqref="I25">
    <cfRule type="expression" dxfId="39" priority="18">
      <formula>COUNTBLANK($I25)</formula>
    </cfRule>
  </conditionalFormatting>
  <conditionalFormatting sqref="F17">
    <cfRule type="expression" dxfId="38" priority="17">
      <formula>COUNTBLANK($G17)</formula>
    </cfRule>
  </conditionalFormatting>
  <conditionalFormatting sqref="J27">
    <cfRule type="expression" dxfId="37" priority="16">
      <formula>COUNTBLANK($H27)</formula>
    </cfRule>
  </conditionalFormatting>
  <conditionalFormatting sqref="G30">
    <cfRule type="expression" dxfId="36" priority="15">
      <formula>COUNTBLANK($F30)</formula>
    </cfRule>
  </conditionalFormatting>
  <conditionalFormatting sqref="K29:K33">
    <cfRule type="expression" dxfId="35" priority="9">
      <formula>COUNTBLANK($K29)</formula>
    </cfRule>
  </conditionalFormatting>
  <conditionalFormatting sqref="F21:F27">
    <cfRule type="expression" dxfId="34" priority="1">
      <formula>COUNTBLANK($G21)</formula>
    </cfRule>
  </conditionalFormatting>
  <hyperlinks>
    <hyperlink ref="H5" r:id="rId1" xr:uid="{FE641063-2A16-4B80-93CD-E929377C9C36}"/>
    <hyperlink ref="J5" r:id="rId2" display="https://ul.sharepoint.com/sites/GRPNASLSRegionalLabQuality/Shared%20Documents/Forms/AllItems.aspx?isAscending=false&amp;sortField=Modified&amp;id=%2Fsites%2FGRPNASLSRegionalLabQuality%2FShared%20Documents%2FOrganization%2FScience%20and%20Operations%20%E2%80%93%20Americas%20Labs%20and%20Operations%20Organization%2Epdf&amp;viewid=e6cb9c64%2D486a%2D4315%2Db404%2D56affa9f8428&amp;parent=%2Fsites%2FGRPNASLSRegionalLabQuality%2FShared%20Documents%2FOrganization_x000a_" xr:uid="{2CDAD543-F16B-4F86-B5EA-0A3DF9216A94}"/>
    <hyperlink ref="H16" r:id="rId3" xr:uid="{473AC6F5-75C6-4A6E-B330-D724E335970B}"/>
  </hyperlinks>
  <pageMargins left="0.7" right="0.7" top="0.75" bottom="0.75" header="0.3" footer="0.3"/>
  <pageSetup orientation="portrait" r:id="rId4"/>
  <legacyDrawing r:id="rId5"/>
  <extLst>
    <ext xmlns:x14="http://schemas.microsoft.com/office/spreadsheetml/2009/9/main" uri="{78C0D931-6437-407d-A8EE-F0AAD7539E65}">
      <x14:conditionalFormattings>
        <x14:conditionalFormatting xmlns:xm="http://schemas.microsoft.com/office/excel/2006/main">
          <x14:cfRule type="cellIs" priority="231" operator="equal" id="{3C23C214-D09F-4A2E-98A0-246DB1E2A1B9}">
            <xm:f>Sheet1!$A$5</xm:f>
            <x14:dxf>
              <fill>
                <patternFill>
                  <bgColor rgb="FFFF0000"/>
                </patternFill>
              </fill>
            </x14:dxf>
          </x14:cfRule>
          <x14:cfRule type="cellIs" priority="232" operator="equal" id="{1FFF80F4-0946-4783-B506-E753A6269362}">
            <xm:f>Sheet1!$A$4</xm:f>
            <x14:dxf>
              <fill>
                <patternFill>
                  <bgColor rgb="FFFFFF00"/>
                </patternFill>
              </fill>
            </x14:dxf>
          </x14:cfRule>
          <x14:cfRule type="cellIs" priority="233" operator="equal" id="{531DB53F-FEDE-4AB4-B5EB-1B167E7B5006}">
            <xm:f>Sheet1!$A$3</xm:f>
            <x14:dxf>
              <fill>
                <patternFill>
                  <bgColor theme="9" tint="0.59996337778862885"/>
                </patternFill>
              </fill>
            </x14:dxf>
          </x14:cfRule>
          <x14:cfRule type="cellIs" priority="234" operator="equal" id="{33F8B9BE-0B38-458F-91C9-3329645AA818}">
            <xm:f>Sheet1!$A$2</xm:f>
            <x14:dxf>
              <fill>
                <patternFill>
                  <bgColor theme="9" tint="0.39994506668294322"/>
                </patternFill>
              </fill>
            </x14:dxf>
          </x14:cfRule>
          <xm:sqref>L38</xm:sqref>
        </x14:conditionalFormatting>
        <x14:conditionalFormatting xmlns:xm="http://schemas.microsoft.com/office/excel/2006/main">
          <x14:cfRule type="cellIs" priority="239" operator="equal" id="{DD9D8C0B-E118-4EDA-86CB-C24BB53513E3}">
            <xm:f>Sheet1!$A$7</xm:f>
            <x14:dxf>
              <fill>
                <patternFill>
                  <bgColor theme="5"/>
                </patternFill>
              </fill>
            </x14:dxf>
          </x14:cfRule>
          <x14:cfRule type="cellIs" priority="240" operator="equal" id="{03FA0D5D-273B-4B2A-92F7-11943347B225}">
            <xm:f>Sheet1!$A$6</xm:f>
            <x14:dxf>
              <fill>
                <patternFill>
                  <bgColor rgb="FF00B0F0"/>
                </patternFill>
              </fill>
            </x14:dxf>
          </x14:cfRule>
          <x14:cfRule type="cellIs" priority="241" operator="equal" id="{B3323DCA-6455-4080-96AD-FFC5D7B6922A}">
            <xm:f>Sheet1!$A$5</xm:f>
            <x14:dxf>
              <fill>
                <patternFill>
                  <bgColor rgb="FFFF0000"/>
                </patternFill>
              </fill>
            </x14:dxf>
          </x14:cfRule>
          <x14:cfRule type="cellIs" priority="242" operator="equal" id="{24C2B7C9-4BA8-45FA-877F-4B96336261BE}">
            <xm:f>Sheet1!$A$4</xm:f>
            <x14:dxf>
              <fill>
                <patternFill>
                  <bgColor rgb="FFFFFF00"/>
                </patternFill>
              </fill>
            </x14:dxf>
          </x14:cfRule>
          <x14:cfRule type="cellIs" priority="243" operator="equal" id="{94BBB2C3-4911-4C16-A6DC-80F592447786}">
            <xm:f>Sheet1!$A$3</xm:f>
            <x14:dxf>
              <fill>
                <patternFill>
                  <bgColor theme="9" tint="0.59996337778862885"/>
                </patternFill>
              </fill>
            </x14:dxf>
          </x14:cfRule>
          <x14:cfRule type="cellIs" priority="244" operator="equal" id="{01CDB396-BAD4-4854-B364-72E95820D3D4}">
            <xm:f>Sheet1!$A$2</xm:f>
            <x14:dxf>
              <fill>
                <patternFill>
                  <bgColor theme="9" tint="0.39994506668294322"/>
                </patternFill>
              </fill>
            </x14:dxf>
          </x14:cfRule>
          <xm:sqref>K35:K38 K3:K28</xm:sqref>
        </x14:conditionalFormatting>
        <x14:conditionalFormatting xmlns:xm="http://schemas.microsoft.com/office/excel/2006/main">
          <x14:cfRule type="cellIs" priority="52" operator="equal" id="{B895BA45-50F4-4F36-ABA9-54175293DEA8}">
            <xm:f>Sheet1!$A$7</xm:f>
            <x14:dxf>
              <fill>
                <patternFill>
                  <bgColor theme="5"/>
                </patternFill>
              </fill>
            </x14:dxf>
          </x14:cfRule>
          <x14:cfRule type="cellIs" priority="56" operator="equal" id="{1EB8C885-3CAC-4EC5-9C5B-7610FC08EBDC}">
            <xm:f>Sheet1!$A$3</xm:f>
            <x14:dxf>
              <fill>
                <patternFill>
                  <bgColor theme="9" tint="0.59996337778862885"/>
                </patternFill>
              </fill>
            </x14:dxf>
          </x14:cfRule>
          <x14:cfRule type="cellIs" priority="57" operator="equal" id="{BF2ACF1B-108C-4EB3-AF63-DE120276BC06}">
            <xm:f>Sheet1!$A$2</xm:f>
            <x14:dxf>
              <fill>
                <patternFill>
                  <bgColor theme="9" tint="0.39994506668294322"/>
                </patternFill>
              </fill>
            </x14:dxf>
          </x14:cfRule>
          <x14:cfRule type="cellIs" priority="245" operator="equal" id="{D743BBBE-0131-4B4B-B737-5AB0B41BEEAD}">
            <xm:f>Sheet1!$A$6</xm:f>
            <x14:dxf>
              <fill>
                <patternFill>
                  <bgColor rgb="FF00B0F0"/>
                </patternFill>
              </fill>
            </x14:dxf>
          </x14:cfRule>
          <x14:cfRule type="cellIs" priority="245" operator="equal" id="{8FBA9CF9-EB9C-4D49-AE45-A5AB1A1DE51C}">
            <xm:f>Sheet1!$A$5</xm:f>
            <x14:dxf>
              <fill>
                <patternFill>
                  <bgColor rgb="FFFF0000"/>
                </patternFill>
              </fill>
            </x14:dxf>
          </x14:cfRule>
          <x14:cfRule type="cellIs" priority="245" operator="equal" id="{99DF1F77-AF6F-4CB9-BD11-7D5DF3CCF123}">
            <xm:f>Sheet1!$A$4</xm:f>
            <x14:dxf>
              <fill>
                <patternFill>
                  <bgColor rgb="FFFFFF00"/>
                </patternFill>
              </fill>
            </x14:dxf>
          </x14:cfRule>
          <xm:sqref>K34</xm:sqref>
        </x14:conditionalFormatting>
        <x14:conditionalFormatting xmlns:xm="http://schemas.microsoft.com/office/excel/2006/main">
          <x14:cfRule type="cellIs" priority="43" operator="equal" id="{FBDDB296-A7EC-40AF-93CC-2F361B38C82B}">
            <xm:f>Sheet1!$A$7</xm:f>
            <x14:dxf>
              <fill>
                <patternFill>
                  <bgColor theme="5"/>
                </patternFill>
              </fill>
            </x14:dxf>
          </x14:cfRule>
          <x14:cfRule type="cellIs" priority="44" operator="equal" id="{F82D05D8-A9EC-48F5-A012-C135E0AEBBD7}">
            <xm:f>Sheet1!$A$6</xm:f>
            <x14:dxf>
              <fill>
                <patternFill>
                  <bgColor rgb="FF00B0F0"/>
                </patternFill>
              </fill>
            </x14:dxf>
          </x14:cfRule>
          <x14:cfRule type="cellIs" priority="45" operator="equal" id="{A51F2964-77EE-475D-968F-AC6D0959DE1C}">
            <xm:f>Sheet1!$A$5</xm:f>
            <x14:dxf>
              <fill>
                <patternFill>
                  <bgColor rgb="FFFF0000"/>
                </patternFill>
              </fill>
            </x14:dxf>
          </x14:cfRule>
          <x14:cfRule type="cellIs" priority="46" operator="equal" id="{B111CAA2-96DB-4938-95F4-DB6A53D827A4}">
            <xm:f>Sheet1!$A$4</xm:f>
            <x14:dxf>
              <fill>
                <patternFill>
                  <bgColor rgb="FFFFFF00"/>
                </patternFill>
              </fill>
            </x14:dxf>
          </x14:cfRule>
          <x14:cfRule type="cellIs" priority="47" operator="equal" id="{1AB43192-54DD-4110-9272-EC223062879F}">
            <xm:f>Sheet1!$A$3</xm:f>
            <x14:dxf>
              <fill>
                <patternFill>
                  <bgColor theme="9" tint="0.59996337778862885"/>
                </patternFill>
              </fill>
            </x14:dxf>
          </x14:cfRule>
          <x14:cfRule type="cellIs" priority="48" operator="equal" id="{B639BCD1-A1E4-4384-828C-FB7637EE00ED}">
            <xm:f>Sheet1!$A$2</xm:f>
            <x14:dxf>
              <fill>
                <patternFill>
                  <bgColor theme="9" tint="0.39994506668294322"/>
                </patternFill>
              </fill>
            </x14:dxf>
          </x14:cfRule>
          <xm:sqref>K34</xm:sqref>
        </x14:conditionalFormatting>
        <x14:conditionalFormatting xmlns:xm="http://schemas.microsoft.com/office/excel/2006/main">
          <x14:cfRule type="cellIs" priority="8" operator="equal" id="{23FF42CB-62D5-40EB-96B6-F24046F28491}">
            <xm:f>Sheet1!$A$7</xm:f>
            <x14:dxf>
              <fill>
                <patternFill>
                  <bgColor theme="5"/>
                </patternFill>
              </fill>
            </x14:dxf>
          </x14:cfRule>
          <x14:cfRule type="cellIs" priority="10" operator="equal" id="{DDE0E474-167D-4497-9A11-44B6819C25EE}">
            <xm:f>Sheet1!$A$3</xm:f>
            <x14:dxf>
              <fill>
                <patternFill>
                  <bgColor theme="9" tint="0.59996337778862885"/>
                </patternFill>
              </fill>
            </x14:dxf>
          </x14:cfRule>
          <x14:cfRule type="cellIs" priority="11" operator="equal" id="{0A33FF98-8C3E-4449-8A25-B2C8FDEE3B8E}">
            <xm:f>Sheet1!$A$2</xm:f>
            <x14:dxf>
              <fill>
                <patternFill>
                  <bgColor theme="9" tint="0.39994506668294322"/>
                </patternFill>
              </fill>
            </x14:dxf>
          </x14:cfRule>
          <x14:cfRule type="cellIs" priority="12" operator="equal" id="{38C984BD-0465-4BC3-ABEA-9E64873E5A61}">
            <xm:f>Sheet1!$A$6</xm:f>
            <x14:dxf>
              <fill>
                <patternFill>
                  <bgColor rgb="FF00B0F0"/>
                </patternFill>
              </fill>
            </x14:dxf>
          </x14:cfRule>
          <xm:sqref>K29:K33</xm:sqref>
        </x14:conditionalFormatting>
        <x14:conditionalFormatting xmlns:xm="http://schemas.microsoft.com/office/excel/2006/main">
          <x14:cfRule type="cellIs" priority="2" operator="equal" id="{C195A260-4328-41DD-8E9A-27617F736AFD}">
            <xm:f>Sheet1!$A$7</xm:f>
            <x14:dxf>
              <fill>
                <patternFill>
                  <bgColor theme="5"/>
                </patternFill>
              </fill>
            </x14:dxf>
          </x14:cfRule>
          <x14:cfRule type="cellIs" priority="3" operator="equal" id="{950A6DA1-BFEC-405C-A9D5-3E69D588A742}">
            <xm:f>Sheet1!$A$6</xm:f>
            <x14:dxf>
              <fill>
                <patternFill>
                  <bgColor rgb="FF00B0F0"/>
                </patternFill>
              </fill>
            </x14:dxf>
          </x14:cfRule>
          <x14:cfRule type="cellIs" priority="4" operator="equal" id="{22A8508D-FB1E-4768-992A-67A3771F7B4D}">
            <xm:f>Sheet1!$A$5</xm:f>
            <x14:dxf>
              <fill>
                <patternFill>
                  <bgColor rgb="FFFF0000"/>
                </patternFill>
              </fill>
            </x14:dxf>
          </x14:cfRule>
          <x14:cfRule type="cellIs" priority="5" operator="equal" id="{D5D4FB05-157E-4955-A16F-0628F1C59297}">
            <xm:f>Sheet1!$A$4</xm:f>
            <x14:dxf>
              <fill>
                <patternFill>
                  <bgColor rgb="FFFFFF00"/>
                </patternFill>
              </fill>
            </x14:dxf>
          </x14:cfRule>
          <x14:cfRule type="cellIs" priority="6" operator="equal" id="{CB5AE741-EF8E-4689-82AD-4255C7F32831}">
            <xm:f>Sheet1!$A$3</xm:f>
            <x14:dxf>
              <fill>
                <patternFill>
                  <bgColor theme="9" tint="0.59996337778862885"/>
                </patternFill>
              </fill>
            </x14:dxf>
          </x14:cfRule>
          <x14:cfRule type="cellIs" priority="7" operator="equal" id="{AB093A3C-BA8A-4FAC-9C35-4ACD9C6CD25C}">
            <xm:f>Sheet1!$A$2</xm:f>
            <x14:dxf>
              <fill>
                <patternFill>
                  <bgColor theme="9" tint="0.39994506668294322"/>
                </patternFill>
              </fill>
            </x14:dxf>
          </x14:cfRule>
          <xm:sqref>K29:K33</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63349FC6-0271-45C2-A85A-93EDFEA99842}">
          <x14:formula1>
            <xm:f>Sheet1!$E$2:$E$48</xm:f>
          </x14:formula1>
          <xm:sqref>E35:E38</xm:sqref>
        </x14:dataValidation>
        <x14:dataValidation type="list" allowBlank="1" showInputMessage="1" showErrorMessage="1" xr:uid="{B16B6EDA-AAEC-48C5-9FCD-8D2FF9B89115}">
          <x14:formula1>
            <xm:f>Sheet1!$A$2:$A$5</xm:f>
          </x14:formula1>
          <xm:sqref>L38</xm:sqref>
        </x14:dataValidation>
        <x14:dataValidation type="list" allowBlank="1" showInputMessage="1" showErrorMessage="1" xr:uid="{C12E3E95-256F-4AC2-A325-D543E4E043D6}">
          <x14:formula1>
            <xm:f>Sheet1!$A$2:$A$7</xm:f>
          </x14:formula1>
          <xm:sqref>K3:K38</xm:sqref>
        </x14:dataValidation>
        <x14:dataValidation type="list" allowBlank="1" showInputMessage="1" showErrorMessage="1" xr:uid="{449D939A-7C62-444A-B2A4-1C83EE4E091D}">
          <x14:formula1>
            <xm:f>Sheet1!$E$2:$E$49</xm:f>
          </x14:formula1>
          <xm:sqref>E3:E34</xm:sqref>
        </x14:dataValidation>
        <x14:dataValidation type="list" allowBlank="1" xr:uid="{CE206DDD-D756-407C-B532-68BAEF2F23C0}">
          <x14:formula1>
            <xm:f>Sheet1!$B$2:$B$6</xm:f>
          </x14:formula1>
          <xm:sqref>B3:B34</xm:sqref>
        </x14:dataValidation>
        <x14:dataValidation type="list" allowBlank="1" showInputMessage="1" showErrorMessage="1" xr:uid="{B516936B-56C3-474B-9CE5-4826F776D992}">
          <x14:formula1>
            <xm:f>_xlfn.IFS(B3=Sheet1!$B$2,Sheet1!$C$2:$C$114,B3=Sheet1!$B$3,Sheet1!$C$115:$C$239, B3=Sheet1!$B$4,Sheet1!$C$240:$C$297,B3=Sheet1!$B$5,Sheet1!$C$298:$C$347,B3=Sheet1!$B$6,Sheet1!$C$2:$C$347)</xm:f>
          </x14:formula1>
          <xm:sqref>C3:C34</xm:sqref>
        </x14:dataValidation>
        <x14:dataValidation type="list" allowBlank="1" showInputMessage="1" showErrorMessage="1" xr:uid="{AFA4B4FA-C644-4443-9E97-DD6D120EFACD}">
          <x14:formula1>
            <xm:f>Sheet1!$D$2:$D$281</xm:f>
          </x14:formula1>
          <xm:sqref>D3:D34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1AF7E-D97D-4763-A465-EAEA915C7FE6}">
  <dimension ref="A1:L4"/>
  <sheetViews>
    <sheetView tabSelected="1" workbookViewId="0">
      <selection activeCell="D2" sqref="D2"/>
    </sheetView>
  </sheetViews>
  <sheetFormatPr defaultRowHeight="15" x14ac:dyDescent="0.25"/>
  <cols>
    <col min="1" max="1" width="15" bestFit="1" customWidth="1"/>
    <col min="2" max="2" width="26" bestFit="1" customWidth="1"/>
    <col min="3" max="12" width="18" customWidth="1"/>
  </cols>
  <sheetData>
    <row r="1" spans="1:12" ht="23.25" x14ac:dyDescent="0.35">
      <c r="A1" t="s">
        <v>961</v>
      </c>
      <c r="C1" s="62"/>
      <c r="D1" s="65" t="s">
        <v>980</v>
      </c>
      <c r="E1" s="65"/>
      <c r="F1" s="65"/>
      <c r="G1" s="65"/>
    </row>
    <row r="2" spans="1:12" x14ac:dyDescent="0.25">
      <c r="A2" s="63" t="s">
        <v>962</v>
      </c>
      <c r="B2" s="64">
        <v>45007</v>
      </c>
      <c r="C2" s="62"/>
      <c r="H2" s="63" t="s">
        <v>963</v>
      </c>
      <c r="I2" t="s">
        <v>874</v>
      </c>
    </row>
    <row r="3" spans="1:12" ht="90" x14ac:dyDescent="0.25">
      <c r="A3" t="s">
        <v>964</v>
      </c>
      <c r="B3" t="s">
        <v>965</v>
      </c>
      <c r="C3" s="62" t="s">
        <v>966</v>
      </c>
      <c r="D3" s="3" t="s">
        <v>967</v>
      </c>
      <c r="E3" s="3" t="s">
        <v>968</v>
      </c>
      <c r="F3" s="3" t="s">
        <v>969</v>
      </c>
      <c r="G3" s="3" t="s">
        <v>970</v>
      </c>
      <c r="H3" s="3" t="s">
        <v>971</v>
      </c>
      <c r="I3" s="3" t="s">
        <v>972</v>
      </c>
      <c r="J3" s="3" t="s">
        <v>973</v>
      </c>
      <c r="K3" s="3" t="s">
        <v>974</v>
      </c>
      <c r="L3" s="3" t="s">
        <v>975</v>
      </c>
    </row>
    <row r="4" spans="1:12" x14ac:dyDescent="0.25">
      <c r="A4">
        <v>2023</v>
      </c>
      <c r="B4" t="s">
        <v>976</v>
      </c>
      <c r="C4" s="62" t="str">
        <f t="shared" ref="C4" si="0" xml:space="preserve"> IF( L4&lt; 86, "Low", IF( L4&gt;180, "High", "Medium"))</f>
        <v>Medium</v>
      </c>
      <c r="D4" t="s">
        <v>977</v>
      </c>
      <c r="E4" t="s">
        <v>978</v>
      </c>
      <c r="F4" t="s">
        <v>977</v>
      </c>
      <c r="G4" t="s">
        <v>977</v>
      </c>
      <c r="H4" t="s">
        <v>979</v>
      </c>
      <c r="I4" t="s">
        <v>977</v>
      </c>
      <c r="J4" t="s">
        <v>979</v>
      </c>
      <c r="K4" t="s">
        <v>977</v>
      </c>
      <c r="L4">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95.5</v>
      </c>
    </row>
  </sheetData>
  <mergeCells count="1">
    <mergeCell ref="D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EC53D-DAC4-4B69-AF50-E803745AC613}">
  <dimension ref="A1:D9"/>
  <sheetViews>
    <sheetView topLeftCell="B1" zoomScale="115" zoomScaleNormal="115" workbookViewId="0">
      <selection activeCell="K10" sqref="K10"/>
    </sheetView>
  </sheetViews>
  <sheetFormatPr defaultRowHeight="15" x14ac:dyDescent="0.25"/>
  <cols>
    <col min="1" max="1" width="17.28515625" customWidth="1"/>
    <col min="2" max="2" width="20" bestFit="1" customWidth="1"/>
    <col min="3" max="3" width="11.7109375" style="58" bestFit="1" customWidth="1"/>
    <col min="4" max="4" width="12.42578125" style="58" bestFit="1" customWidth="1"/>
  </cols>
  <sheetData>
    <row r="1" spans="1:4" x14ac:dyDescent="0.25">
      <c r="A1" t="s">
        <v>865</v>
      </c>
      <c r="B1" t="s">
        <v>873</v>
      </c>
      <c r="C1" s="58" t="s">
        <v>866</v>
      </c>
      <c r="D1" s="60">
        <v>44999</v>
      </c>
    </row>
    <row r="2" spans="1:4" x14ac:dyDescent="0.25">
      <c r="C2" s="58" t="s">
        <v>867</v>
      </c>
      <c r="D2" s="60">
        <v>45000</v>
      </c>
    </row>
    <row r="4" spans="1:4" x14ac:dyDescent="0.25">
      <c r="A4" t="s">
        <v>868</v>
      </c>
      <c r="B4" t="s">
        <v>869</v>
      </c>
      <c r="C4" s="58" t="s">
        <v>870</v>
      </c>
      <c r="D4" s="58" t="s">
        <v>871</v>
      </c>
    </row>
    <row r="5" spans="1:4" x14ac:dyDescent="0.25">
      <c r="A5" t="s">
        <v>931</v>
      </c>
      <c r="B5" t="s">
        <v>876</v>
      </c>
      <c r="C5" s="58" t="s">
        <v>872</v>
      </c>
      <c r="D5" s="58" t="s">
        <v>872</v>
      </c>
    </row>
    <row r="6" spans="1:4" x14ac:dyDescent="0.25">
      <c r="A6" t="s">
        <v>874</v>
      </c>
      <c r="B6" t="s">
        <v>875</v>
      </c>
      <c r="C6" s="58" t="s">
        <v>872</v>
      </c>
      <c r="D6" s="58" t="s">
        <v>872</v>
      </c>
    </row>
    <row r="7" spans="1:4" x14ac:dyDescent="0.25">
      <c r="A7" t="s">
        <v>932</v>
      </c>
      <c r="B7" t="s">
        <v>933</v>
      </c>
      <c r="C7" s="58" t="s">
        <v>872</v>
      </c>
      <c r="D7" s="58" t="s">
        <v>872</v>
      </c>
    </row>
    <row r="8" spans="1:4" x14ac:dyDescent="0.25">
      <c r="A8" t="s">
        <v>929</v>
      </c>
      <c r="B8" t="s">
        <v>930</v>
      </c>
      <c r="C8" s="58" t="s">
        <v>872</v>
      </c>
      <c r="D8" s="58" t="s">
        <v>872</v>
      </c>
    </row>
    <row r="9" spans="1:4" x14ac:dyDescent="0.25">
      <c r="A9" t="s">
        <v>934</v>
      </c>
      <c r="B9" t="s">
        <v>876</v>
      </c>
    </row>
  </sheetData>
  <pageMargins left="0.7" right="0.7" top="0.75" bottom="0.75" header="0.3" footer="0.3"/>
  <pageSetup orientation="portrait" verticalDpi="12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838</v>
      </c>
    </row>
    <row r="6" spans="1:1" ht="60" x14ac:dyDescent="0.25">
      <c r="A6" s="3" t="s">
        <v>824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4" sqref="E4"/>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825</v>
      </c>
      <c r="C1" s="23" t="s">
        <v>494</v>
      </c>
      <c r="D1" s="23" t="s">
        <v>22</v>
      </c>
      <c r="E1" s="23" t="s">
        <v>775</v>
      </c>
      <c r="F1" s="23"/>
    </row>
    <row r="2" spans="1:6" x14ac:dyDescent="0.25">
      <c r="A2" s="27" t="s">
        <v>148</v>
      </c>
      <c r="B2" t="s">
        <v>826</v>
      </c>
      <c r="C2" s="36" t="s">
        <v>175</v>
      </c>
      <c r="D2" t="s">
        <v>495</v>
      </c>
      <c r="E2" t="s">
        <v>776</v>
      </c>
    </row>
    <row r="3" spans="1:6" x14ac:dyDescent="0.25">
      <c r="A3" s="24" t="s">
        <v>149</v>
      </c>
      <c r="B3" t="s">
        <v>827</v>
      </c>
      <c r="C3" s="36" t="s">
        <v>176</v>
      </c>
      <c r="D3" t="s">
        <v>496</v>
      </c>
      <c r="E3" t="s">
        <v>842</v>
      </c>
    </row>
    <row r="4" spans="1:6" x14ac:dyDescent="0.25">
      <c r="A4" s="25" t="s">
        <v>150</v>
      </c>
      <c r="B4" t="s">
        <v>828</v>
      </c>
      <c r="C4" s="36" t="s">
        <v>177</v>
      </c>
      <c r="D4" t="s">
        <v>497</v>
      </c>
      <c r="E4" t="s">
        <v>777</v>
      </c>
    </row>
    <row r="5" spans="1:6" x14ac:dyDescent="0.25">
      <c r="A5" s="26" t="s">
        <v>151</v>
      </c>
      <c r="B5" t="s">
        <v>829</v>
      </c>
      <c r="C5" s="36" t="s">
        <v>178</v>
      </c>
      <c r="D5" t="s">
        <v>498</v>
      </c>
      <c r="E5" t="s">
        <v>778</v>
      </c>
    </row>
    <row r="6" spans="1:6" x14ac:dyDescent="0.25">
      <c r="A6" s="49" t="s">
        <v>840</v>
      </c>
      <c r="B6" t="s">
        <v>830</v>
      </c>
      <c r="C6" s="36" t="s">
        <v>179</v>
      </c>
      <c r="D6" t="s">
        <v>499</v>
      </c>
      <c r="E6" t="s">
        <v>779</v>
      </c>
    </row>
    <row r="7" spans="1:6" x14ac:dyDescent="0.25">
      <c r="A7" s="48" t="s">
        <v>839</v>
      </c>
      <c r="C7" s="36" t="s">
        <v>180</v>
      </c>
      <c r="D7" t="s">
        <v>500</v>
      </c>
      <c r="E7" t="s">
        <v>780</v>
      </c>
    </row>
    <row r="8" spans="1:6" x14ac:dyDescent="0.25">
      <c r="C8" s="36" t="s">
        <v>181</v>
      </c>
      <c r="D8" t="s">
        <v>501</v>
      </c>
      <c r="E8" t="s">
        <v>781</v>
      </c>
    </row>
    <row r="9" spans="1:6" x14ac:dyDescent="0.25">
      <c r="C9" s="36" t="s">
        <v>182</v>
      </c>
      <c r="D9" t="s">
        <v>502</v>
      </c>
      <c r="E9" t="s">
        <v>782</v>
      </c>
    </row>
    <row r="10" spans="1:6" x14ac:dyDescent="0.25">
      <c r="C10" s="36" t="s">
        <v>183</v>
      </c>
      <c r="D10" t="s">
        <v>503</v>
      </c>
      <c r="E10" t="s">
        <v>783</v>
      </c>
    </row>
    <row r="11" spans="1:6" x14ac:dyDescent="0.25">
      <c r="C11" s="36" t="s">
        <v>184</v>
      </c>
      <c r="D11" t="s">
        <v>504</v>
      </c>
      <c r="E11" t="s">
        <v>784</v>
      </c>
    </row>
    <row r="12" spans="1:6" x14ac:dyDescent="0.25">
      <c r="C12" s="36" t="s">
        <v>185</v>
      </c>
      <c r="D12" t="s">
        <v>505</v>
      </c>
      <c r="E12" t="s">
        <v>785</v>
      </c>
    </row>
    <row r="13" spans="1:6" x14ac:dyDescent="0.25">
      <c r="C13" s="36" t="s">
        <v>186</v>
      </c>
      <c r="D13" t="s">
        <v>506</v>
      </c>
      <c r="E13" t="s">
        <v>786</v>
      </c>
    </row>
    <row r="14" spans="1:6" x14ac:dyDescent="0.25">
      <c r="C14" s="36" t="s">
        <v>187</v>
      </c>
      <c r="D14" t="s">
        <v>507</v>
      </c>
      <c r="E14" t="s">
        <v>787</v>
      </c>
    </row>
    <row r="15" spans="1:6" x14ac:dyDescent="0.25">
      <c r="C15" s="36" t="s">
        <v>188</v>
      </c>
      <c r="D15" t="s">
        <v>508</v>
      </c>
      <c r="E15" t="s">
        <v>788</v>
      </c>
    </row>
    <row r="16" spans="1:6" x14ac:dyDescent="0.25">
      <c r="C16" s="36" t="s">
        <v>313</v>
      </c>
      <c r="D16" t="s">
        <v>509</v>
      </c>
      <c r="E16" t="s">
        <v>789</v>
      </c>
    </row>
    <row r="17" spans="3:5" x14ac:dyDescent="0.25">
      <c r="C17" s="36" t="s">
        <v>375</v>
      </c>
      <c r="D17" t="s">
        <v>510</v>
      </c>
      <c r="E17" t="s">
        <v>790</v>
      </c>
    </row>
    <row r="18" spans="3:5" x14ac:dyDescent="0.25">
      <c r="C18" s="36" t="s">
        <v>376</v>
      </c>
      <c r="D18" t="s">
        <v>511</v>
      </c>
      <c r="E18" t="s">
        <v>791</v>
      </c>
    </row>
    <row r="19" spans="3:5" x14ac:dyDescent="0.25">
      <c r="C19" s="36" t="s">
        <v>370</v>
      </c>
      <c r="D19" t="s">
        <v>512</v>
      </c>
      <c r="E19" t="s">
        <v>792</v>
      </c>
    </row>
    <row r="20" spans="3:5" x14ac:dyDescent="0.25">
      <c r="C20" s="36" t="s">
        <v>396</v>
      </c>
      <c r="D20" t="s">
        <v>513</v>
      </c>
      <c r="E20" t="s">
        <v>793</v>
      </c>
    </row>
    <row r="21" spans="3:5" x14ac:dyDescent="0.25">
      <c r="C21" s="36" t="s">
        <v>397</v>
      </c>
      <c r="D21" t="s">
        <v>514</v>
      </c>
      <c r="E21" t="s">
        <v>794</v>
      </c>
    </row>
    <row r="22" spans="3:5" x14ac:dyDescent="0.25">
      <c r="C22" s="36" t="s">
        <v>398</v>
      </c>
      <c r="D22" t="s">
        <v>515</v>
      </c>
      <c r="E22" t="s">
        <v>795</v>
      </c>
    </row>
    <row r="23" spans="3:5" x14ac:dyDescent="0.25">
      <c r="C23" s="36" t="s">
        <v>399</v>
      </c>
      <c r="D23" t="s">
        <v>516</v>
      </c>
      <c r="E23" t="s">
        <v>796</v>
      </c>
    </row>
    <row r="24" spans="3:5" x14ac:dyDescent="0.25">
      <c r="C24" s="36" t="s">
        <v>400</v>
      </c>
      <c r="D24" t="s">
        <v>517</v>
      </c>
      <c r="E24" t="s">
        <v>797</v>
      </c>
    </row>
    <row r="25" spans="3:5" x14ac:dyDescent="0.25">
      <c r="C25" s="36" t="s">
        <v>401</v>
      </c>
      <c r="D25" t="s">
        <v>518</v>
      </c>
      <c r="E25" t="s">
        <v>798</v>
      </c>
    </row>
    <row r="26" spans="3:5" x14ac:dyDescent="0.25">
      <c r="C26" s="36" t="s">
        <v>402</v>
      </c>
      <c r="D26" t="s">
        <v>519</v>
      </c>
      <c r="E26" t="s">
        <v>796</v>
      </c>
    </row>
    <row r="27" spans="3:5" x14ac:dyDescent="0.25">
      <c r="C27" s="36" t="s">
        <v>403</v>
      </c>
      <c r="D27" t="s">
        <v>520</v>
      </c>
      <c r="E27" t="s">
        <v>799</v>
      </c>
    </row>
    <row r="28" spans="3:5" x14ac:dyDescent="0.25">
      <c r="C28" s="36" t="s">
        <v>404</v>
      </c>
      <c r="D28" t="s">
        <v>521</v>
      </c>
      <c r="E28" t="s">
        <v>800</v>
      </c>
    </row>
    <row r="29" spans="3:5" x14ac:dyDescent="0.25">
      <c r="C29" s="36" t="s">
        <v>405</v>
      </c>
      <c r="D29" t="s">
        <v>522</v>
      </c>
      <c r="E29" t="s">
        <v>801</v>
      </c>
    </row>
    <row r="30" spans="3:5" x14ac:dyDescent="0.25">
      <c r="C30" s="36" t="s">
        <v>406</v>
      </c>
      <c r="D30" t="s">
        <v>523</v>
      </c>
      <c r="E30" t="s">
        <v>802</v>
      </c>
    </row>
    <row r="31" spans="3:5" x14ac:dyDescent="0.25">
      <c r="C31" s="36" t="s">
        <v>407</v>
      </c>
      <c r="D31" t="s">
        <v>524</v>
      </c>
      <c r="E31" s="30" t="s">
        <v>803</v>
      </c>
    </row>
    <row r="32" spans="3:5" x14ac:dyDescent="0.25">
      <c r="C32" s="36" t="s">
        <v>408</v>
      </c>
      <c r="D32" t="s">
        <v>525</v>
      </c>
      <c r="E32" s="30" t="s">
        <v>804</v>
      </c>
    </row>
    <row r="33" spans="3:5" x14ac:dyDescent="0.25">
      <c r="C33" s="36" t="s">
        <v>409</v>
      </c>
      <c r="D33" t="s">
        <v>526</v>
      </c>
      <c r="E33" s="30" t="s">
        <v>805</v>
      </c>
    </row>
    <row r="34" spans="3:5" x14ac:dyDescent="0.25">
      <c r="C34" s="36" t="s">
        <v>410</v>
      </c>
      <c r="D34" t="s">
        <v>527</v>
      </c>
      <c r="E34" s="31" t="s">
        <v>806</v>
      </c>
    </row>
    <row r="35" spans="3:5" x14ac:dyDescent="0.25">
      <c r="C35" s="36" t="s">
        <v>411</v>
      </c>
      <c r="D35" t="s">
        <v>528</v>
      </c>
      <c r="E35" s="32" t="s">
        <v>807</v>
      </c>
    </row>
    <row r="36" spans="3:5" x14ac:dyDescent="0.25">
      <c r="C36" s="36" t="s">
        <v>412</v>
      </c>
      <c r="D36" t="s">
        <v>529</v>
      </c>
      <c r="E36" s="31" t="s">
        <v>808</v>
      </c>
    </row>
    <row r="37" spans="3:5" x14ac:dyDescent="0.25">
      <c r="C37" s="36" t="s">
        <v>413</v>
      </c>
      <c r="D37" t="s">
        <v>530</v>
      </c>
      <c r="E37" s="31" t="s">
        <v>809</v>
      </c>
    </row>
    <row r="38" spans="3:5" x14ac:dyDescent="0.25">
      <c r="C38" s="36" t="s">
        <v>414</v>
      </c>
      <c r="D38" t="s">
        <v>531</v>
      </c>
      <c r="E38" s="31" t="s">
        <v>810</v>
      </c>
    </row>
    <row r="39" spans="3:5" x14ac:dyDescent="0.25">
      <c r="C39" s="36" t="s">
        <v>415</v>
      </c>
      <c r="D39" t="s">
        <v>532</v>
      </c>
      <c r="E39" s="33" t="s">
        <v>811</v>
      </c>
    </row>
    <row r="40" spans="3:5" x14ac:dyDescent="0.25">
      <c r="C40" s="36" t="s">
        <v>416</v>
      </c>
      <c r="D40" t="s">
        <v>533</v>
      </c>
      <c r="E40" s="33" t="s">
        <v>812</v>
      </c>
    </row>
    <row r="41" spans="3:5" x14ac:dyDescent="0.25">
      <c r="C41" s="36" t="s">
        <v>417</v>
      </c>
      <c r="D41" t="s">
        <v>534</v>
      </c>
      <c r="E41" s="33" t="s">
        <v>815</v>
      </c>
    </row>
    <row r="42" spans="3:5" x14ac:dyDescent="0.25">
      <c r="C42" s="36" t="s">
        <v>418</v>
      </c>
      <c r="D42" t="s">
        <v>535</v>
      </c>
      <c r="E42" s="34" t="s">
        <v>813</v>
      </c>
    </row>
    <row r="43" spans="3:5" x14ac:dyDescent="0.25">
      <c r="C43" s="36" t="s">
        <v>419</v>
      </c>
      <c r="D43" t="s">
        <v>536</v>
      </c>
      <c r="E43" s="35" t="s">
        <v>814</v>
      </c>
    </row>
    <row r="44" spans="3:5" x14ac:dyDescent="0.25">
      <c r="C44" s="36" t="s">
        <v>420</v>
      </c>
      <c r="D44" t="s">
        <v>537</v>
      </c>
      <c r="E44" t="s">
        <v>816</v>
      </c>
    </row>
    <row r="45" spans="3:5" x14ac:dyDescent="0.25">
      <c r="C45" s="36" t="s">
        <v>421</v>
      </c>
      <c r="D45" t="s">
        <v>538</v>
      </c>
      <c r="E45" t="s">
        <v>817</v>
      </c>
    </row>
    <row r="46" spans="3:5" x14ac:dyDescent="0.25">
      <c r="C46" s="36" t="s">
        <v>422</v>
      </c>
      <c r="D46" t="s">
        <v>539</v>
      </c>
      <c r="E46" t="s">
        <v>818</v>
      </c>
    </row>
    <row r="47" spans="3:5" x14ac:dyDescent="0.25">
      <c r="C47" s="36" t="s">
        <v>423</v>
      </c>
      <c r="D47" t="s">
        <v>540</v>
      </c>
      <c r="E47" t="s">
        <v>819</v>
      </c>
    </row>
    <row r="48" spans="3:5" x14ac:dyDescent="0.25">
      <c r="C48" s="36" t="s">
        <v>424</v>
      </c>
      <c r="D48" t="s">
        <v>541</v>
      </c>
      <c r="E48" t="s">
        <v>820</v>
      </c>
    </row>
    <row r="49" spans="3:5" x14ac:dyDescent="0.25">
      <c r="C49" s="36" t="s">
        <v>425</v>
      </c>
      <c r="D49" t="s">
        <v>542</v>
      </c>
      <c r="E49" t="s">
        <v>841</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ISO 17065</vt:lpstr>
      <vt:lpstr>ISO 17025</vt:lpstr>
      <vt:lpstr>risk</vt:lpstr>
      <vt:lpstr>attendance</vt:lpstr>
      <vt:lpstr>Definition </vt:lpstr>
      <vt:lpstr>Sheet1</vt:lpstr>
      <vt:lpstr>EnsuringValiditysite</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2023-03-23T00:20:52Z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