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6, NBK Water/"/>
    </mc:Choice>
  </mc:AlternateContent>
  <xr:revisionPtr revIDLastSave="488" documentId="8_{BA39E7A0-E8AF-4010-8703-B52945C8C51C}" xr6:coauthVersionLast="47" xr6:coauthVersionMax="47" xr10:uidLastSave="{5014BC7F-770C-4348-B106-E96128AF88BF}"/>
  <bookViews>
    <workbookView xWindow="-120" yWindow="-120" windowWidth="27870" windowHeight="16440" firstSheet="1" activeTab="2" xr2:uid="{5426C36E-AAE0-45E3-9C4C-2C971D0504DB}"/>
  </bookViews>
  <sheets>
    <sheet name="ISO 17065" sheetId="13" state="hidden" r:id="rId1"/>
    <sheet name="risk" sheetId="16" r:id="rId2"/>
    <sheet name="attendance" sheetId="15" r:id="rId3"/>
    <sheet name="ISO 17025" sheetId="10" r:id="rId4"/>
    <sheet name="Definition " sheetId="11" r:id="rId5"/>
    <sheet name="Sheet1" sheetId="14" state="hidden" r:id="rId6"/>
  </sheets>
  <definedNames>
    <definedName name="_xlnm._FilterDatabase" localSheetId="3" hidden="1">'ISO 17025'!$A$2:$R$29</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<sst xmlns="http://schemas.openxmlformats.org/spreadsheetml/2006/main" count="1217" uniqueCount="953">
  <si>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</si>
  <si>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</si>
  <si>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</si>
  <si>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</si>
  <si>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</si>
  <si>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</si>
  <si>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</si>
  <si>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</si>
  <si>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</si>
  <si>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</si>
  <si>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</si>
  <si>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</si>
  <si>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</si>
  <si>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</si>
  <si>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</si>
  <si>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</si>
  <si>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</si>
  <si>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</si>
  <si>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</si>
  <si>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</si>
  <si>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</si>
  <si>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</si>
  <si>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</si>
  <si>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</si>
  <si>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</si>
  <si>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</si>
  <si>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</si>
  <si>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</si>
  <si>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</si>
  <si>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</si>
  <si>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</si>
  <si>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</si>
  <si>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</si>
  <si>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</si>
  <si>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</si>
  <si>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</si>
  <si>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</si>
  <si>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</si>
  <si>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</si>
  <si>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</si>
  <si>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</si>
  <si>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</si>
  <si>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</si>
  <si>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</si>
  <si>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</si>
  <si>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</si>
  <si>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</si>
  <si>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</si>
  <si>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</si>
  <si>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</si>
  <si>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</si>
  <si>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</si>
  <si>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</si>
  <si>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</si>
  <si>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</si>
  <si>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</si>
  <si>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</si>
  <si>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</si>
  <si>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</si>
  <si>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</si>
  <si>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</si>
  <si>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</si>
  <si>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</si>
  <si>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</si>
  <si>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</si>
  <si>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</si>
  <si>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</si>
  <si>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</si>
  <si>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</si>
  <si>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</si>
  <si>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</si>
  <si>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</si>
  <si>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</si>
  <si>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</si>
  <si>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</si>
  <si>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</si>
  <si>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</si>
  <si>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</si>
  <si>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</si>
  <si>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</si>
  <si>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</si>
  <si>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</si>
  <si>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</si>
  <si>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</si>
  <si>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</si>
  <si>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</si>
  <si>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</si>
  <si>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</si>
  <si>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</si>
  <si>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</si>
  <si>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</si>
  <si>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</si>
  <si>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</si>
  <si>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</si>
  <si>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</si>
  <si>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</si>
  <si>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</si>
  <si>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</si>
  <si>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</si>
  <si>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</si>
  <si>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</si>
  <si>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</si>
  <si>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</si>
  <si>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</si>
  <si>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</si>
  <si>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</si>
  <si>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</si>
  <si>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</si>
  <si>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</si>
  <si>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</si>
  <si>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</si>
  <si>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</si>
  <si>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</si>
  <si>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</si>
  <si>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</si>
  <si>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</si>
  <si>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</si>
  <si>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</si>
  <si>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</si>
  <si>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</si>
  <si>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</si>
  <si>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</si>
  <si>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</si>
  <si>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</si>
  <si>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</si>
  <si>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</si>
  <si>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</si>
  <si>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</si>
  <si>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</si>
  <si>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</si>
  <si>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</si>
  <si>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</si>
  <si>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</si>
  <si>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</si>
  <si>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</si>
  <si>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</si>
  <si>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</si>
  <si>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</si>
  <si>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</si>
  <si>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</si>
  <si>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</si>
  <si>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</si>
  <si>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</si>
  <si>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</si>
  <si>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</si>
  <si>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</si>
  <si>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</si>
  <si>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</si>
  <si>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</si>
  <si>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</si>
  <si>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</si>
  <si>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</si>
  <si>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</si>
  <si>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</si>
  <si>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</si>
  <si>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</si>
  <si>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</si>
  <si>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</si>
  <si>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</si>
  <si>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</si>
  <si>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</si>
  <si>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</si>
  <si>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</si>
  <si>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</si>
  <si>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</si>
  <si>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</si>
  <si>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</si>
  <si>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</si>
  <si>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</si>
  <si>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</si>
  <si>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</si>
  <si>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</si>
  <si>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</si>
  <si>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</si>
  <si>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</si>
  <si>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</si>
  <si>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</si>
  <si>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</si>
  <si>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</si>
  <si>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</si>
  <si>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</si>
  <si>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</si>
  <si>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</si>
  <si>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</si>
  <si>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</si>
  <si>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</si>
  <si>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</si>
  <si>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</si>
  <si>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</si>
  <si>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</si>
  <si>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</si>
  <si>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</si>
  <si>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</si>
  <si>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</si>
  <si>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</si>
  <si>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</si>
  <si>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</si>
  <si>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</si>
  <si>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</si>
  <si>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</si>
  <si>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</si>
  <si>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</si>
  <si>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</si>
  <si>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</si>
  <si>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</si>
  <si>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</si>
  <si>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</si>
  <si>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</si>
  <si>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</si>
  <si>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</si>
  <si>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</si>
  <si>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</si>
  <si>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</si>
  <si>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</si>
  <si>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</si>
  <si>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</si>
  <si>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</si>
  <si>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</si>
  <si>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</si>
  <si>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</si>
  <si>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</si>
  <si>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</si>
  <si>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</si>
  <si>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</si>
  <si>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</si>
  <si>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</si>
  <si>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</si>
  <si>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</si>
  <si>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</si>
  <si>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</si>
  <si>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</si>
  <si>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</si>
  <si>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</si>
  <si>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</si>
  <si>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</si>
  <si>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</si>
  <si>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</si>
  <si>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</si>
  <si>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</si>
  <si>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</si>
  <si>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</si>
  <si>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</si>
  <si>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</si>
  <si>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</si>
  <si>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</si>
  <si>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</si>
  <si>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</si>
  <si>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</si>
  <si>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</si>
  <si>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</si>
  <si>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</si>
  <si>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</si>
  <si>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</si>
  <si>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</si>
  <si>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</si>
  <si>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</si>
  <si>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</si>
  <si>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</si>
  <si>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</si>
  <si>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</si>
  <si>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</si>
  <si>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</si>
  <si>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</si>
  <si>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</si>
  <si>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</si>
  <si>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</si>
  <si>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</si>
  <si>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</si>
  <si>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</si>
  <si>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</si>
  <si>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</si>
  <si>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</si>
  <si>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</si>
  <si>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</si>
  <si>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</si>
  <si>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</si>
  <si>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</si>
  <si>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</si>
  <si>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</si>
  <si>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</si>
  <si>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</si>
  <si>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</si>
  <si>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</si>
  <si>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</si>
  <si>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</si>
  <si>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</si>
  <si>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</si>
  <si>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</si>
  <si>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</si>
  <si>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</si>
  <si>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</si>
  <si>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</si>
  <si>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</si>
  <si>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</si>
  <si>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</si>
  <si>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</si>
  <si>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</si>
  <si>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</si>
  <si>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</si>
  <si>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</si>
  <si>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</si>
  <si>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</si>
  <si>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</si>
  <si>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</si>
  <si>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</si>
  <si>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</si>
  <si>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</si>
  <si>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</si>
  <si>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</si>
  <si>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</si>
  <si>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</si>
  <si>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</si>
  <si>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</si>
  <si>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</si>
  <si>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</si>
  <si>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</si>
  <si>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</si>
  <si>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</si>
  <si>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</si>
  <si>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</si>
  <si>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</si>
  <si>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</si>
  <si>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</si>
  <si>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</si>
  <si>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</si>
  <si>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</si>
  <si>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</si>
  <si>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</si>
  <si>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</si>
  <si>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</si>
  <si>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</si>
  <si>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</si>
  <si>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</si>
  <si>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</si>
  <si>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</si>
  <si>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</si>
  <si>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</si>
  <si>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</si>
  <si>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</si>
  <si>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</si>
  <si>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</si>
  <si>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</si>
  <si>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</si>
  <si>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</si>
  <si>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</si>
  <si>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</si>
  <si>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</si>
  <si>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</si>
  <si>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</si>
  <si>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</si>
  <si>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</si>
  <si>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</si>
  <si>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</si>
  <si>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</si>
  <si>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</si>
  <si>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</si>
  <si>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</si>
  <si>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</si>
  <si>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</si>
  <si>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</si>
  <si>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</si>
  <si>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</si>
  <si>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</si>
  <si>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</si>
  <si>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</si>
  <si>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</si>
  <si>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</si>
  <si>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</si>
  <si>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</si>
  <si>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</si>
  <si>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</si>
  <si>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</si>
  <si>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</si>
  <si>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</si>
  <si>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</si>
  <si>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</si>
  <si>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</si>
  <si>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</si>
  <si>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</si>
  <si>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</si>
  <si>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</si>
  <si>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</si>
  <si>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</si>
  <si>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</si>
  <si>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</si>
  <si>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</si>
  <si>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</si>
  <si>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</si>
  <si>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</si>
  <si>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</si>
  <si>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</si>
  <si>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</si>
  <si>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</si>
  <si>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</si>
  <si>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</si>
  <si>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</si>
  <si>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</si>
  <si>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</si>
  <si>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</si>
  <si>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</si>
  <si>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</si>
  <si>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</si>
  <si>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</si>
  <si>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</si>
  <si>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</si>
  <si>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</si>
  <si>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</si>
  <si>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</si>
  <si>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</si>
  <si>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</si>
  <si>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</si>
  <si>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</si>
  <si>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</si>
  <si>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</si>
  <si>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</si>
  <si>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</si>
  <si>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</si>
  <si>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</si>
  <si>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</si>
  <si>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</si>
  <si>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</si>
  <si>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</si>
  <si>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</si>
  <si>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</si>
  <si>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</si>
  <si>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</si>
  <si>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</si>
  <si>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</si>
  <si>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</si>
  <si>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</si>
  <si>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</si>
  <si>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</si>
  <si>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</si>
  <si>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</si>
  <si>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</si>
  <si>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</si>
  <si>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</si>
  <si>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</si>
  <si>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</si>
  <si>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</si>
  <si>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</si>
  <si>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</si>
  <si>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</si>
  <si>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</si>
  <si>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</si>
  <si>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</si>
  <si>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</si>
  <si>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</si>
  <si>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</si>
  <si>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</si>
  <si>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</si>
  <si>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</si>
  <si>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</si>
  <si>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</si>
  <si>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</si>
  <si>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</si>
  <si>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</si>
  <si>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</si>
  <si>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</si>
  <si>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</si>
  <si>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</si>
  <si>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</si>
  <si>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</si>
  <si>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</si>
  <si>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</si>
  <si>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</si>
  <si>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</si>
  <si>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</si>
  <si>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</si>
  <si>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</si>
  <si>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</si>
  <si>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</si>
  <si>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</si>
  <si>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</si>
  <si>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</si>
  <si>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</si>
  <si>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</si>
  <si>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</si>
  <si>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</si>
  <si>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</si>
  <si>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</si>
  <si>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</si>
  <si>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</si>
  <si>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</si>
  <si>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</si>
  <si>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</si>
  <si>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</si>
  <si>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</si>
  <si>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</si>
  <si>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</si>
  <si>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</si>
  <si>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</si>
  <si>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</si>
  <si>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</si>
  <si>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</si>
  <si>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</si>
  <si>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</si>
  <si>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</si>
  <si>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</si>
  <si>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</si>
  <si>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</si>
  <si>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</si>
  <si>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</si>
  <si>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</si>
  <si>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</si>
  <si>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</si>
  <si>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</si>
  <si>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</si>
  <si>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</si>
  <si>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</si>
  <si>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</si>
  <si>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</si>
  <si>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</si>
  <si>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</si>
  <si>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</si>
  <si>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</si>
  <si>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</si>
  <si>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</si>
  <si>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</si>
  <si>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</si>
  <si>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</si>
  <si>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</si>
  <si>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</si>
  <si>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</si>
  <si>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</si>
  <si>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</si>
  <si>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</si>
  <si>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</si>
  <si>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</si>
  <si>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</si>
  <si>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</si>
  <si>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</si>
  <si>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</si>
  <si>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</si>
  <si>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</si>
  <si>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</si>
  <si>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</si>
  <si>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</si>
  <si>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</si>
  <si>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</si>
  <si>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</si>
  <si>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</si>
  <si>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</si>
  <si>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</si>
  <si>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</si>
  <si>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</si>
  <si>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</si>
  <si>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</si>
  <si>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</si>
  <si>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</si>
  <si>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</si>
  <si>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</si>
  <si>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</si>
  <si>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</si>
  <si>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</si>
  <si>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</si>
  <si>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</si>
  <si>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</si>
  <si>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</si>
  <si>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</si>
  <si>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</si>
  <si>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</si>
  <si>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</si>
  <si>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</si>
  <si>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</si>
  <si>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</si>
  <si>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</si>
  <si>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</si>
  <si>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</si>
  <si>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</si>
  <si>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</si>
  <si>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</si>
  <si>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</si>
  <si>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</si>
  <si>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</si>
  <si>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</si>
  <si>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</si>
  <si>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</si>
  <si>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</si>
  <si>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</si>
  <si>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</si>
  <si>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</si>
  <si>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</si>
  <si>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</si>
  <si>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</si>
  <si>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</si>
  <si>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</si>
  <si>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</si>
  <si>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</si>
  <si>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</si>
  <si>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</si>
  <si>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</si>
  <si>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</si>
  <si>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</si>
  <si>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</si>
  <si>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</si>
  <si>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</si>
  <si>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</si>
  <si>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</si>
  <si>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</si>
  <si>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</si>
  <si>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</si>
  <si>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</si>
  <si>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</si>
  <si>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</si>
  <si>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</si>
  <si>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</si>
  <si>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</si>
  <si>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</si>
  <si>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</si>
  <si>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</si>
  <si>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</si>
  <si>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</si>
  <si>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</si>
  <si>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</si>
  <si>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</si>
  <si>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</si>
  <si>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</si>
  <si>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</si>
  <si>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</si>
  <si>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</si>
  <si>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</si>
  <si>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</si>
  <si>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</si>
  <si>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</si>
  <si>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</si>
  <si>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</si>
  <si>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</si>
  <si>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</si>
  <si>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</si>
  <si>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</si>
  <si>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</si>
  <si>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</si>
  <si>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</si>
  <si>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</si>
  <si>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</si>
  <si>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</si>
  <si>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</si>
  <si>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</si>
  <si>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</si>
  <si>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</si>
  <si>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</si>
  <si>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</si>
  <si>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</si>
  <si>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</si>
  <si>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</si>
  <si>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</si>
  <si>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</si>
  <si>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</si>
  <si>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</si>
  <si>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</si>
  <si>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</si>
  <si>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</si>
  <si>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</si>
  <si>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</si>
  <si>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</si>
  <si>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</si>
  <si>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</si>
  <si>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</si>
  <si>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</si>
  <si>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</si>
  <si>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</si>
  <si>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</si>
  <si>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</si>
  <si>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</si>
  <si>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</si>
  <si>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</si>
  <si>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</si>
  <si>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</si>
  <si>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</si>
  <si>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</si>
  <si>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</si>
  <si>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</si>
  <si>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</si>
  <si>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</si>
  <si>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</si>
  <si>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</si>
  <si>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</si>
  <si>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</si>
  <si>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</si>
  <si>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</si>
  <si>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</si>
  <si>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</si>
  <si>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</si>
  <si>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</si>
  <si>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</si>
  <si>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</si>
  <si>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</si>
  <si>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</si>
  <si>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</si>
  <si>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</si>
  <si>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</si>
  <si>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</si>
  <si>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</si>
  <si>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</si>
  <si>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</si>
  <si>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</si>
  <si>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</si>
  <si>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</si>
  <si>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</si>
  <si>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</si>
  <si>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</si>
  <si>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</si>
  <si>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</si>
  <si>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</si>
  <si>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</si>
  <si>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</si>
  <si>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</si>
  <si>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</si>
  <si>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</si>
  <si>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</si>
  <si>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</si>
  <si>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</si>
  <si>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</si>
  <si>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</si>
  <si>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</si>
  <si>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</si>
  <si>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</si>
  <si>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</si>
  <si>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</si>
  <si>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</si>
  <si>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</si>
  <si>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</si>
  <si>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</si>
  <si>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</si>
  <si>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</si>
  <si>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</si>
  <si>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</si>
  <si>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</si>
  <si>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</si>
  <si>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</si>
  <si>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</si>
  <si>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</si>
  <si>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</si>
  <si>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</si>
  <si>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</si>
  <si>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</si>
  <si>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</si>
  <si>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</si>
  <si>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</si>
  <si>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</si>
  <si>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</si>
  <si>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</si>
  <si>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</si>
  <si>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</si>
  <si>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</si>
  <si>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</si>
  <si>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</si>
  <si>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</si>
  <si>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</si>
  <si>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</si>
  <si>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</si>
  <si>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</si>
  <si>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</si>
  <si>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</si>
  <si>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</si>
  <si>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</si>
  <si>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</si>
  <si>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</si>
  <si>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</si>
  <si>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</si>
  <si>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</si>
  <si>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</si>
  <si>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</si>
  <si>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</si>
  <si>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</si>
  <si>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</si>
  <si>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</si>
  <si>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</si>
  <si>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</si>
  <si>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</si>
  <si>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</si>
  <si>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</si>
  <si>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</si>
  <si>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</si>
  <si>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</si>
  <si>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</si>
  <si>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</si>
  <si>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</si>
  <si>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</si>
  <si>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</si>
  <si>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</si>
  <si>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</si>
  <si>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</si>
  <si>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</si>
  <si>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</si>
  <si>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</si>
  <si>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</si>
  <si>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</si>
  <si>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</si>
  <si>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</si>
  <si>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</si>
  <si>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</si>
  <si>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</si>
  <si>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</si>
  <si>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</si>
  <si>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</si>
  <si>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</si>
  <si>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</si>
  <si>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</si>
  <si>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</si>
  <si>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</si>
  <si>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</si>
  <si>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</si>
  <si>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</si>
  <si>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</si>
  <si>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</si>
  <si>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</si>
  <si>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</si>
  <si>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</si>
  <si>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</si>
  <si>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</si>
  <si>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</si>
  <si>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</si>
  <si>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</si>
  <si>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</si>
  <si>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</si>
  <si>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</si>
  <si>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</si>
  <si>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</si>
  <si>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</si>
  <si>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</si>
  <si>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</si>
  <si>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</si>
  <si>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</si>
  <si>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</si>
  <si>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</si>
  <si>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</si>
  <si>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</si>
  <si>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</si>
  <si>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</si>
  <si>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</si>
  <si>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</si>
  <si>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</si>
  <si>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</si>
  <si>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</si>
  <si>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</si>
  <si>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</si>
  <si>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</si>
  <si>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</si>
  <si>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</si>
  <si>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</si>
  <si>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</si>
  <si>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To be audited under NBK site audit, 2022-134-IQA</t>
  </si>
  <si>
    <t>US Safety Scheme, Canada Safety Scheme</t>
  </si>
  <si>
    <t>Stephen Woynerowski</t>
  </si>
  <si>
    <t>7.6 explanation, it’s the onlysituation.</t>
  </si>
  <si>
    <t>Emails, inquiries come from Operationals. There are no actions from Customer Advocacy,  because this lab "create water" which will be analyzed. Clients are internal.</t>
  </si>
  <si>
    <t xml:space="preserve">FLEX, Aurora, list of project to work on. </t>
  </si>
  <si>
    <t>Thermometer, Balances, Calipers, etc.
Monthly email to notify the lab of equipment that are due.</t>
  </si>
  <si>
    <t>Samples verified.</t>
  </si>
  <si>
    <t xml:space="preserve">Records maintained.
Very detailed testing records are kept. </t>
  </si>
  <si>
    <t>Auditor Name: Ken Berger</t>
  </si>
  <si>
    <t>Audit Date Range: 4/18-19/2023</t>
  </si>
  <si>
    <t>n/a</t>
  </si>
  <si>
    <t>Location:</t>
  </si>
  <si>
    <t>Opening date:</t>
  </si>
  <si>
    <t>Closing date:</t>
  </si>
  <si>
    <t>Name</t>
  </si>
  <si>
    <t>Title/role</t>
  </si>
  <si>
    <t>Opening</t>
  </si>
  <si>
    <t xml:space="preserve">Closing </t>
  </si>
  <si>
    <t>Lab Manager</t>
  </si>
  <si>
    <t>x</t>
  </si>
  <si>
    <t>Ken Berger</t>
  </si>
  <si>
    <t>Auditor, Lead</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</si>
  <si>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</si>
  <si>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</si>
  <si>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</si>
  <si>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</si>
  <si>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</si>
  <si>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</si>
  <si>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</si>
  <si>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</si>
  <si>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</si>
  <si>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</si>
  <si>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</si>
  <si>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</si>
  <si>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</si>
  <si>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</si>
  <si>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</si>
  <si>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</si>
  <si>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Medium</t>
  </si>
  <si>
    <t>High</t>
  </si>
  <si>
    <t>Low</t>
  </si>
  <si>
    <t xml:space="preserve">To be fully audited under NBK lab support audit, 2023-97-IQA, only discussed during witness </t>
  </si>
  <si>
    <t>Water NBK Lab</t>
  </si>
  <si>
    <t>To be audited in Global Audit Programs &amp; Corrective and Preventive Action audit, 2023-61-IQA</t>
  </si>
  <si>
    <t>Brandon Piekarz</t>
  </si>
  <si>
    <t>Snr Lab Tech</t>
  </si>
  <si>
    <t>Lab Tech</t>
  </si>
  <si>
    <t>Jason Dougherty (Jay)</t>
  </si>
  <si>
    <t>Water uses their own sharePoint site - special acess is needed</t>
  </si>
  <si>
    <t>All test jobs come from UL Water scheme project handlers (operations) to Stephen &amp; then pulled by lab staff from Flex.</t>
  </si>
  <si>
    <t>saw Flex queue - "conditioning &amp; exporsure" task</t>
  </si>
  <si>
    <t>Oracle shows org chart.   ULID 1330 states "sample preparation" and points to ULID-004402 which give specific CCNs.</t>
  </si>
  <si>
    <r>
      <t xml:space="preserve">Oracle shows org chart.  Lab Manager is responsbile but not </t>
    </r>
    <r>
      <rPr>
        <sz val="11"/>
        <color rgb="FFFF0000"/>
        <rFont val="Calibri"/>
        <family val="2"/>
        <scheme val="minor"/>
      </rPr>
      <t>defined/docmented</t>
    </r>
    <r>
      <rPr>
        <sz val="11"/>
        <color theme="1"/>
        <rFont val="Calibri"/>
        <family val="2"/>
        <scheme val="minor"/>
      </rPr>
      <t xml:space="preserve">?  ULID 1330 states "sample preparation" and points to ULID-004402 which give specific CCNs.  </t>
    </r>
    <r>
      <rPr>
        <sz val="11"/>
        <color rgb="FFFF0000"/>
        <rFont val="Calibri"/>
        <family val="2"/>
        <scheme val="minor"/>
      </rPr>
      <t>2) activity is not documented.</t>
    </r>
  </si>
  <si>
    <t>WATER SYSTEMS CERTIFICATION PROCESS -ULID-001330 (DCS:00-WS-S0853) – Issue 8.0.  Saw Lab Chemist job description.</t>
  </si>
  <si>
    <t xml:space="preserve">Usage of reference materials (calibrated lead coupons for Xray gun), intermediate checks on equipment, rewiew of every single project, blind sample testing. </t>
  </si>
  <si>
    <r>
      <rPr>
        <b/>
        <sz val="11"/>
        <rFont val="Calibri"/>
        <family val="2"/>
        <scheme val="minor"/>
      </rPr>
      <t xml:space="preserve">OFI #2 As mentioned last year, consideration should be given to record the identified risks of the Lab in the applicable Sharepoint Risks and Opportunities for Improvement Site (Risk has been identified/documented). </t>
    </r>
    <r>
      <rPr>
        <sz val="11"/>
        <rFont val="Calibri"/>
        <family val="2"/>
        <scheme val="minor"/>
      </rPr>
      <t xml:space="preserve">
</t>
    </r>
  </si>
  <si>
    <t>Last review was on 2/15/23. Participants: Doug Frederick (same BU OPS group), Peter Nicholas (Engineering Leader), and Stephen Woynerowski, Water Lab Manager.
Also  previous MR was on Mar, 2022.</t>
  </si>
  <si>
    <t>OFI #1 As mentioned last year, consideration should be given to capture/log feedback received from personnel during 1:1 meetings, Reflektive, and/or conversation with the team in Management review.</t>
  </si>
  <si>
    <t>discussed and reviewed sharepoint site</t>
  </si>
  <si>
    <t>ID-014435, issue 2.0</t>
  </si>
  <si>
    <t>ULID-000090, issue 1.0</t>
  </si>
  <si>
    <t>223924635 was verified July 2022</t>
  </si>
  <si>
    <t>some unique procedures, but all are controlled via ULDC</t>
  </si>
  <si>
    <t>saw shareipoint site and docs shown in method selection</t>
  </si>
  <si>
    <t>none this timeframe</t>
  </si>
  <si>
    <t xml:space="preserve">There's no L1 Form for Jason (in training).
Reviewed Jason training plan.
Saw monitoring of competency for Brandon 6/14/22 and L1, </t>
  </si>
  <si>
    <t>Stephen Woynerowski, Brandon (43593)</t>
  </si>
  <si>
    <t>ULID-001328 issue 2.0, NSF 372, 2011</t>
  </si>
  <si>
    <t>Jason (25459)</t>
  </si>
  <si>
    <t>F230866425, FUS</t>
  </si>
  <si>
    <t>Door to limit access. 
Enviromental conditions - thermometer 139347, ID 105007 (due 2/29/23)</t>
  </si>
  <si>
    <t xml:space="preserve">Sample 5928376, (verified location)
Beatrice B (PH),  Timer 88491 (due 12/31/17), pipet NKB88571 (due 31-Mar-2023).  MegOhm water, UDN66157 (due 3/31/24)
</t>
  </si>
  <si>
    <t>Audit # 2023-96-IQA</t>
  </si>
  <si>
    <t>00-WS-s0431 (ULID-001325 ), issue 4.0, PG for Pres of samples per NSF 60 Method K</t>
  </si>
  <si>
    <t xml:space="preserve"> 9 Docs are under review (e.g., ULID-001314, ULID-001324) out of 23.</t>
  </si>
  <si>
    <t>see method selection below and these in the lab:  5358014, 5889618, 4987056</t>
  </si>
  <si>
    <t xml:space="preserve"> </t>
  </si>
  <si>
    <t>saw MU review, 2023.  See 00-WS-S0851 section 8.2.22</t>
  </si>
  <si>
    <t>Room Thermometer in jar 139347, due 2/29/24</t>
  </si>
  <si>
    <t>ULID-014435,  Issue: 2.0; Policy-ULID-009203, Issue 3.0; ULID-000907, issue 2.0; ULID-000866, issue 2.0</t>
  </si>
  <si>
    <t>ULID-014435,  Issue: 2.0; Policy-ULID-009203, Issue 3.0, ULID-000207, Issue #: 3.0
RECORD OF AGREEMENTS…</t>
  </si>
  <si>
    <t>ULID-000687 (DCS:00-LO-S0855), Issue #: 19.0
LABORATORY PERSONNEL REQUIREMENTS, 
Form-ULID-000611 (DCS:00-LO-F0861)
Issue #:  3.0, Monitoring</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</si>
  <si>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</si>
  <si>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</si>
  <si>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Policy-ULID-000488 (DCS:00-LC-P0026), Issue #: 10.2, POLICY FOR THE USE OF CALIBRATION VENDORS.  
</t>
  </si>
  <si>
    <t>DAP program is used for testing, but for project handlers, not for the lab.  There are 2 labs used.</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</si>
  <si>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</si>
  <si>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</si>
  <si>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not audited</t>
  </si>
  <si>
    <t>ULID-000689(DCS: 00-LO-S0862), Issue #: 2.0
ENSURING THE VALIDITY OF RESULTS
ULID-007964 (DCS:80-LC-S0026), Issue #:  4.0
US LABORATORY INTERNAL TECHNICAL AUDITS
ULID-000490 (DCS:00-LC-P0029), Issue #: 14.0
PROFICIENCY TESTING POLICY</t>
  </si>
  <si>
    <t>Standard Operation Procedures-ULID-000093, Issue #:  1.0
LABORATORY CONTROL OF NONCONFORMING TESTING, 
ULID-000856 (DCS:00-OP-F0404), Issue #: 9.0
TRACEBACK PROCESS &amp; FORM</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</si>
  <si>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</si>
  <si>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</si>
  <si>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</si>
  <si>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ULID-001015 (DCS:00-QA-S0006), Issue #: 29.2
CORRECTIVE ACTION REQUEST PROCESS</t>
  </si>
  <si>
    <t>see records above &amp; below</t>
  </si>
  <si>
    <t>see docs above &amp; below</t>
  </si>
  <si>
    <t xml:space="preserve">There are no similar labs in UL to make such comparisions for now. 
Plan to duplicate the lab in Italy. </t>
  </si>
  <si>
    <t>There is no situation for now.  
Applicable situation is regarding Calibrated equipment - must follow traceback.  Discussed N/C work log</t>
  </si>
  <si>
    <t>see records in method verification - usese datasheets from PH</t>
  </si>
  <si>
    <t>Products verified upon receipt.
Critical Consumables: CC1823 - last acceptance record was from 2010.
Shelf Life Monitored via Chemical Standards Log and all chemicals with Shelf life have a label.
No expired currently in stock</t>
  </si>
  <si>
    <t>Cc1823 &amp; list of consumables</t>
  </si>
  <si>
    <t>see method selection below and these in the lab &amp; thermometer above</t>
  </si>
  <si>
    <t>see records in method verification</t>
  </si>
  <si>
    <t xml:space="preserve">Sample 5955461 (verified online location).  
Xray gun SW: NDTfLink, 6/30/21, ID 90444 (VBU).  Type 2 consumable  Xray film circles, TF-240-255.  discussed confidentiality, impartiality &amp; n/c work.
</t>
  </si>
  <si>
    <t>2023-96-01</t>
  </si>
  <si>
    <t>see OFIs in attendance</t>
  </si>
  <si>
    <t>see OFIs.  Also Discussed objectives and suitability to policies &amp; procedures.</t>
  </si>
  <si>
    <t>NBK Water 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</si>
</sst>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u/>
      <sz val="11"/>
      <color theme="10"/>
      <name val="Calibri"/>
      <family val="2"/>
      <scheme val="minor"/>
    </font>
    <font>
      <b/>
      <sz val="11"/>
      <color theme="0"/>
      <name val="Calibri"/>
      <family val="2"/>
      <scheme val="minor"/>
    </font>
    <font>
      <sz val="18"/>
      <color theme="1"/>
      <name val="Calibri"/>
      <family val="2"/>
      <scheme val="minor"/>
    </font>
  </fonts>
  <fills count="22">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2">
    <xf numFmtId="0" fontId="0" fillId="0" borderId="0"/>
    <xf numFmtId="0" fontId="13" fillId="0" borderId="0" applyNumberFormat="0" applyFill="0" applyBorder="0" applyAlignment="0" applyProtection="0"/>
  </cellStyleXfs>
  <cellXfs count="8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0" fillId="17" borderId="1" xfId="0" applyFill="1" applyBorder="1" applyAlignment="1">
      <alignment horizontal="center" vertical="center" wrapText="1"/>
    </xf>
    <xf numFmtId="0" fontId="11" fillId="0" borderId="0" xfId="0" applyFont="1" applyFill="1" applyAlignment="1" applyProtection="1"/>
    <xf numFmtId="0" fontId="1" fillId="3" borderId="1" xfId="0" applyFont="1" applyFill="1" applyBorder="1" applyAlignment="1">
      <alignment horizontal="center"/>
    </xf>
    <xf numFmtId="0" fontId="0" fillId="2" borderId="1" xfId="0" applyFill="1" applyBorder="1" applyAlignment="1">
      <alignment horizontal="center" vertical="center"/>
    </xf>
    <xf numFmtId="0" fontId="0" fillId="2" borderId="1" xfId="0" applyFill="1" applyBorder="1" applyAlignment="1"/>
    <xf numFmtId="0" fontId="0" fillId="0" borderId="0" xfId="0" applyAlignment="1"/>
    <xf numFmtId="0" fontId="11" fillId="0" borderId="1" xfId="0" applyFont="1" applyFill="1" applyBorder="1" applyAlignment="1"/>
    <xf numFmtId="0" fontId="0" fillId="0" borderId="0" xfId="0" applyAlignment="1">
      <alignment horizontal="center"/>
    </xf>
    <xf numFmtId="15" fontId="0" fillId="0" borderId="0" xfId="0" applyNumberFormat="1" applyAlignment="1">
      <alignment horizontal="center"/>
    </xf>
    <xf numFmtId="0" fontId="6" fillId="0" borderId="0" xfId="0" applyFont="1"/>
    <xf numFmtId="0" fontId="11" fillId="0" borderId="0" xfId="0" applyFont="1"/>
    <xf numFmtId="14" fontId="0" fillId="0" borderId="0" xfId="0" applyNumberFormat="1"/>
    <xf numFmtId="0" fontId="14" fillId="18" borderId="2" xfId="0" applyFont="1" applyFill="1" applyBorder="1"/>
    <xf numFmtId="0" fontId="14" fillId="18" borderId="3" xfId="0" applyFont="1" applyFill="1" applyBorder="1"/>
    <xf numFmtId="0" fontId="1" fillId="18" borderId="3" xfId="0" applyFont="1" applyFill="1" applyBorder="1"/>
    <xf numFmtId="0" fontId="14" fillId="18" borderId="3" xfId="0" applyFont="1" applyFill="1" applyBorder="1" applyAlignment="1">
      <alignment wrapText="1"/>
    </xf>
    <xf numFmtId="0" fontId="14" fillId="14" borderId="3" xfId="0" applyFont="1" applyFill="1" applyBorder="1" applyAlignment="1">
      <alignment wrapText="1"/>
    </xf>
    <xf numFmtId="0" fontId="14" fillId="19" borderId="3" xfId="0" applyFont="1" applyFill="1" applyBorder="1" applyAlignment="1">
      <alignment wrapText="1"/>
    </xf>
    <xf numFmtId="0" fontId="14" fillId="20" borderId="3" xfId="0" applyFont="1" applyFill="1" applyBorder="1"/>
    <xf numFmtId="0" fontId="14" fillId="18" borderId="4" xfId="0" applyFont="1" applyFill="1" applyBorder="1"/>
    <xf numFmtId="0" fontId="0" fillId="21" borderId="2" xfId="0" applyFill="1" applyBorder="1"/>
    <xf numFmtId="0" fontId="0" fillId="21" borderId="3" xfId="0" applyFill="1" applyBorder="1"/>
    <xf numFmtId="0" fontId="6" fillId="21" borderId="3" xfId="0" applyFont="1" applyFill="1" applyBorder="1"/>
    <xf numFmtId="0" fontId="0" fillId="21" borderId="4" xfId="0" applyFill="1" applyBorder="1"/>
    <xf numFmtId="0" fontId="0" fillId="2" borderId="1" xfId="0" applyFill="1" applyBorder="1" applyAlignment="1">
      <alignment vertical="center" wrapText="1"/>
    </xf>
    <xf numFmtId="0" fontId="13" fillId="0" borderId="0" xfId="1" applyAlignment="1">
      <alignment wrapText="1"/>
    </xf>
    <xf numFmtId="0" fontId="8" fillId="2" borderId="1"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0" fillId="2" borderId="1" xfId="0" applyFill="1" applyBorder="1" applyAlignment="1">
      <alignment horizontal="center" wrapText="1"/>
    </xf>
    <xf numFmtId="0" fontId="15" fillId="0" borderId="0" xfId="0" applyFont="1" applyAlignment="1">
      <alignment horizontal="left"/>
    </xf>
    <xf numFmtId="0" fontId="7" fillId="2" borderId="1" xfId="0" applyFont="1" applyFill="1" applyBorder="1" applyAlignment="1">
      <alignment vertical="center" wrapText="1"/>
    </xf>
    <xf numFmtId="0" fontId="7" fillId="2" borderId="1" xfId="0" applyFont="1" applyFill="1" applyBorder="1" applyAlignment="1">
      <alignment wrapText="1"/>
    </xf>
    <xf numFmtId="0" fontId="7" fillId="2" borderId="1" xfId="0" applyFont="1" applyFill="1" applyBorder="1" applyAlignment="1">
      <alignment horizontal="center" wrapText="1"/>
    </xf>
  </cellXfs>
  <cellStyles count="2">
    <cellStyle name="Hyperlink" xfId="1" builtinId="8"/>
    <cellStyle name="Normal" xfId="0" builtinId="0"/>
  </cellStyles>
  <dxfs count="94">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tint="0.39994506668294322"/>
        </patternFill>
      </fill>
    </dxf>
    <dxf>
      <fill>
        <patternFill>
          <bgColor theme="5" tint="0.59996337778862885"/>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4</xdr:col>
      <xdr:colOff>134178</xdr:colOff>
      <xdr:row>0</xdr:row>
      <xdr:rowOff>101048</xdr:rowOff>
    </xdr:from>
    <xdr:to>
      <xdr:col>9</xdr:col>
      <xdr:colOff>356152</xdr:colOff>
      <xdr:row>33</xdr:row>
      <xdr:rowOff>57978</xdr:rowOff>
    </xdr:to>
    <xdr:sp macro="" textlink="">
      <xdr:nvSpPr>
        <xdr:cNvPr id="2" name="TextBox 1">
          <a:extLst>
            <a:ext uri="{FF2B5EF4-FFF2-40B4-BE49-F238E27FC236}">
              <a16:creationId xmlns:a16="http://schemas.microsoft.com/office/drawing/2014/main" id="{083F51F3-07D2-41E4-A64A-7466F845B93B}"/>
            </a:ext>
          </a:extLst>
        </xdr:cNvPr>
        <xdr:cNvSpPr txBox="1"/>
      </xdr:nvSpPr>
      <xdr:spPr>
        <a:xfrm>
          <a:off x="4929808" y="101048"/>
          <a:ext cx="3286540" cy="624343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1 -</a:t>
          </a:r>
          <a:r>
            <a:rPr lang="en-US" sz="1100" b="0">
              <a:solidFill>
                <a:schemeClr val="dk1"/>
              </a:solidFill>
              <a:effectLst/>
              <a:latin typeface="+mn-lt"/>
              <a:ea typeface="+mn-ea"/>
              <a:cs typeface="+mn-cs"/>
            </a:rPr>
            <a:t> the lab management/manager with responsibility &amp; authority could be more clearly defined.  It currently can be found using the Management Review SOP, ULID-000091 which points to ATLAS.  See also </a:t>
          </a:r>
          <a:r>
            <a:rPr lang="en-US" sz="1100">
              <a:solidFill>
                <a:schemeClr val="dk1"/>
              </a:solidFill>
              <a:effectLst/>
              <a:latin typeface="+mn-lt"/>
              <a:ea typeface="+mn-ea"/>
              <a:cs typeface="+mn-cs"/>
            </a:rPr>
            <a:t>Policy-ULID-014435,</a:t>
          </a:r>
          <a:r>
            <a:rPr lang="en-US" sz="1100" baseline="0">
              <a:solidFill>
                <a:schemeClr val="dk1"/>
              </a:solidFill>
              <a:effectLst/>
              <a:latin typeface="+mn-lt"/>
              <a:ea typeface="+mn-ea"/>
              <a:cs typeface="+mn-cs"/>
            </a:rPr>
            <a:t>  section 5.6 which requires a list of prersonnel.</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2 - in your sharePoint site, </a:t>
          </a:r>
          <a:r>
            <a:rPr lang="en-US" sz="1100" b="0" baseline="0">
              <a:solidFill>
                <a:schemeClr val="dk1"/>
              </a:solidFill>
              <a:effectLst/>
              <a:latin typeface="+mn-lt"/>
              <a:ea typeface="+mn-ea"/>
              <a:cs typeface="+mn-cs"/>
            </a:rPr>
            <a:t>consider</a:t>
          </a:r>
          <a:r>
            <a:rPr lang="en-US" sz="1100" b="1" baseline="0">
              <a:solidFill>
                <a:schemeClr val="dk1"/>
              </a:solidFill>
              <a:effectLst/>
              <a:latin typeface="+mn-lt"/>
              <a:ea typeface="+mn-ea"/>
              <a:cs typeface="+mn-cs"/>
            </a:rPr>
            <a:t> </a:t>
          </a:r>
          <a:r>
            <a:rPr lang="en-US" sz="1100" baseline="0">
              <a:solidFill>
                <a:schemeClr val="dk1"/>
              </a:solidFill>
              <a:effectLst/>
              <a:latin typeface="+mn-lt"/>
              <a:ea typeface="+mn-ea"/>
              <a:cs typeface="+mn-cs"/>
            </a:rPr>
            <a:t>updating the link to the lab work instructions to point to the new ULDC system - they are currently pointing to DCS.  Some were updated during the audit. The lab manager was already in process of changing this.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3 - </a:t>
          </a:r>
          <a:r>
            <a:rPr lang="en-US" sz="1100" b="0" baseline="0">
              <a:solidFill>
                <a:schemeClr val="dk1"/>
              </a:solidFill>
              <a:effectLst/>
              <a:latin typeface="+mn-lt"/>
              <a:ea typeface="+mn-ea"/>
              <a:cs typeface="+mn-cs"/>
            </a:rPr>
            <a:t>23</a:t>
          </a:r>
          <a:r>
            <a:rPr lang="en-US" sz="1100" b="1" baseline="0">
              <a:solidFill>
                <a:schemeClr val="dk1"/>
              </a:solidFill>
              <a:effectLst/>
              <a:latin typeface="+mn-lt"/>
              <a:ea typeface="+mn-ea"/>
              <a:cs typeface="+mn-cs"/>
            </a:rPr>
            <a:t> water </a:t>
          </a:r>
          <a:r>
            <a:rPr lang="en-US" sz="1100" b="0" baseline="0">
              <a:solidFill>
                <a:schemeClr val="dk1"/>
              </a:solidFill>
              <a:effectLst/>
              <a:latin typeface="+mn-lt"/>
              <a:ea typeface="+mn-ea"/>
              <a:cs typeface="+mn-cs"/>
            </a:rPr>
            <a:t>docs are passed the 2 year review.  15 are currently in the ULDC "review" stage.</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4 </a:t>
          </a:r>
          <a:r>
            <a:rPr lang="en-US" sz="1100" b="0" baseline="0">
              <a:solidFill>
                <a:schemeClr val="dk1"/>
              </a:solidFill>
              <a:effectLst/>
              <a:latin typeface="+mn-lt"/>
              <a:ea typeface="+mn-ea"/>
              <a:cs typeface="+mn-cs"/>
            </a:rPr>
            <a:t>- consider recording all the measurement equipment used in test sample preparation, not just some.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5</a:t>
          </a:r>
          <a:r>
            <a:rPr lang="en-US" sz="1100" b="0" baseline="0">
              <a:solidFill>
                <a:schemeClr val="dk1"/>
              </a:solidFill>
              <a:effectLst/>
              <a:latin typeface="+mn-lt"/>
              <a:ea typeface="+mn-ea"/>
              <a:cs typeface="+mn-cs"/>
            </a:rPr>
            <a:t> - consider adding an approval (name &amp; date) to the laminated sheet used to scan the numbers for the room temperature</a:t>
          </a:r>
          <a:endParaRPr lang="en-US" b="0">
            <a:effectLst/>
          </a:endParaRPr>
        </a:p>
        <a:p>
          <a:endParaRPr lang="en-US" b="0">
            <a:effectLst/>
          </a:endParaRPr>
        </a:p>
        <a:p>
          <a:r>
            <a:rPr lang="en-US" sz="1100" b="1" baseline="0"/>
            <a:t>OFI 6-</a:t>
          </a:r>
          <a:r>
            <a:rPr lang="en-US" sz="1100" b="0" baseline="0"/>
            <a:t> As mentioned last year, consideration should be given to record the identified risks of the Lab in the applicable Sharepoint Risks and Opportunities for Improvement Site (Risk has been identified/documented). </a:t>
          </a:r>
        </a:p>
        <a:p>
          <a:endParaRPr lang="en-US" sz="1100" b="0" baseline="0"/>
        </a:p>
        <a:p>
          <a:r>
            <a:rPr lang="en-US" sz="1100" b="1"/>
            <a:t>OFI 7- </a:t>
          </a:r>
          <a:r>
            <a:rPr lang="en-US" sz="1100"/>
            <a:t> As mentioned last year, consideration should be given to capture/log feedback received from personnel during 1:1 meetings, Reflektive, and/or conversation with the team in Management review.</a:t>
          </a:r>
        </a:p>
      </xdr:txBody>
    </xdr:sp>
    <xdr:clientData/>
  </xdr:twoCellAnchor>
  <xdr:twoCellAnchor>
    <xdr:from>
      <xdr:col>0</xdr:col>
      <xdr:colOff>94731</xdr:colOff>
      <xdr:row>17</xdr:row>
      <xdr:rowOff>75229</xdr:rowOff>
    </xdr:from>
    <xdr:to>
      <xdr:col>1</xdr:col>
      <xdr:colOff>1408044</xdr:colOff>
      <xdr:row>33</xdr:row>
      <xdr:rowOff>124239</xdr:rowOff>
    </xdr:to>
    <xdr:sp macro="" textlink="">
      <xdr:nvSpPr>
        <xdr:cNvPr id="3" name="TextBox 2">
          <a:extLst>
            <a:ext uri="{FF2B5EF4-FFF2-40B4-BE49-F238E27FC236}">
              <a16:creationId xmlns:a16="http://schemas.microsoft.com/office/drawing/2014/main" id="{00D5227C-FA24-477A-A8E6-5FD7B94F22EB}"/>
            </a:ext>
          </a:extLst>
        </xdr:cNvPr>
        <xdr:cNvSpPr txBox="1"/>
      </xdr:nvSpPr>
      <xdr:spPr>
        <a:xfrm>
          <a:off x="94731" y="3313729"/>
          <a:ext cx="2746204" cy="309701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a:t>
          </a:r>
          <a:r>
            <a:rPr lang="en-US" sz="1100" b="1" baseline="0"/>
            <a:t> </a:t>
          </a:r>
          <a:r>
            <a:rPr lang="en-US" sz="1100" b="1"/>
            <a:t>CAR</a:t>
          </a:r>
          <a:r>
            <a:rPr lang="en-US" sz="1100" b="1" baseline="0"/>
            <a:t> 2023-96-02:</a:t>
          </a:r>
          <a:r>
            <a:rPr lang="en-US" sz="1100" b="0" baseline="0"/>
            <a:t>- Lab activity (XFR testing), and authorized </a:t>
          </a:r>
          <a:r>
            <a:rPr lang="en-US" sz="1100" b="0" baseline="0">
              <a:solidFill>
                <a:schemeClr val="dk1"/>
              </a:solidFill>
              <a:effectLst/>
              <a:latin typeface="+mn-lt"/>
              <a:ea typeface="+mn-ea"/>
              <a:cs typeface="+mn-cs"/>
            </a:rPr>
            <a:t>staff to verify &amp; validate mehtods - </a:t>
          </a:r>
          <a:r>
            <a:rPr lang="en-US" sz="1100" b="0">
              <a:solidFill>
                <a:schemeClr val="dk1"/>
              </a:solidFill>
              <a:effectLst/>
              <a:latin typeface="+mn-lt"/>
              <a:ea typeface="+mn-ea"/>
              <a:cs typeface="+mn-cs"/>
            </a:rPr>
            <a:t>ULID-000682</a:t>
          </a:r>
          <a:r>
            <a:rPr lang="en-US" sz="1100" b="0" baseline="0">
              <a:solidFill>
                <a:schemeClr val="dk1"/>
              </a:solidFill>
              <a:effectLst/>
              <a:latin typeface="+mn-lt"/>
              <a:ea typeface="+mn-ea"/>
              <a:cs typeface="+mn-cs"/>
            </a:rPr>
            <a:t>.</a:t>
          </a:r>
          <a:endParaRPr lang="en-US" sz="1100" b="0" baseline="0"/>
        </a:p>
        <a:p>
          <a:endParaRPr lang="en-US"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Draft</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CAR</a:t>
          </a:r>
          <a:r>
            <a:rPr lang="en-US" sz="1100" b="1" baseline="0">
              <a:solidFill>
                <a:schemeClr val="dk1"/>
              </a:solidFill>
              <a:effectLst/>
              <a:latin typeface="+mn-lt"/>
              <a:ea typeface="+mn-ea"/>
              <a:cs typeface="+mn-cs"/>
            </a:rPr>
            <a:t> 2023-96-01: </a:t>
          </a:r>
          <a:r>
            <a:rPr lang="en-US" sz="1100" b="0" baseline="0">
              <a:solidFill>
                <a:schemeClr val="dk1"/>
              </a:solidFill>
              <a:effectLst/>
              <a:latin typeface="+mn-lt"/>
              <a:ea typeface="+mn-ea"/>
              <a:cs typeface="+mn-cs"/>
            </a:rPr>
            <a:t>the</a:t>
          </a:r>
          <a:r>
            <a:rPr lang="en-US" sz="1100" b="1" baseline="0">
              <a:solidFill>
                <a:schemeClr val="dk1"/>
              </a:solidFill>
              <a:effectLst/>
              <a:latin typeface="+mn-lt"/>
              <a:ea typeface="+mn-ea"/>
              <a:cs typeface="+mn-cs"/>
            </a:rPr>
            <a:t> current </a:t>
          </a:r>
          <a:r>
            <a:rPr lang="en-US" sz="1100" b="0" baseline="0">
              <a:solidFill>
                <a:schemeClr val="dk1"/>
              </a:solidFill>
              <a:effectLst/>
              <a:latin typeface="+mn-lt"/>
              <a:ea typeface="+mn-ea"/>
              <a:cs typeface="+mn-cs"/>
            </a:rPr>
            <a:t>records of acceptance of lab consumables does not include the date, the person or the outcome of the reivew.  There are 23 consumables on a list: </a:t>
          </a:r>
          <a:r>
            <a:rPr lang="en-US" sz="1100">
              <a:solidFill>
                <a:schemeClr val="dk1"/>
              </a:solidFill>
              <a:effectLst/>
              <a:latin typeface="+mn-lt"/>
              <a:ea typeface="+mn-ea"/>
              <a:cs typeface="+mn-cs"/>
            </a:rPr>
            <a:t>- C1224, CC1136, CC1137, CC1221, CC1233, CC1235, CC1358, CC1489, CC1823, CC2019, CC2435, CC330, CC351, CC587, CCWL1 thru CCWL9.  Several</a:t>
          </a:r>
          <a:r>
            <a:rPr lang="en-US" sz="1100" baseline="0">
              <a:solidFill>
                <a:schemeClr val="dk1"/>
              </a:solidFill>
              <a:effectLst/>
              <a:latin typeface="+mn-lt"/>
              <a:ea typeface="+mn-ea"/>
              <a:cs typeface="+mn-cs"/>
            </a:rPr>
            <a:t> of these are added to a database but there's no clear name, date &amp; results.  </a:t>
          </a:r>
          <a:r>
            <a:rPr lang="en-US" sz="1100">
              <a:solidFill>
                <a:schemeClr val="dk1"/>
              </a:solidFill>
              <a:effectLst/>
              <a:latin typeface="+mn-lt"/>
              <a:ea typeface="+mn-ea"/>
              <a:cs typeface="+mn-cs"/>
            </a:rPr>
            <a:t>Note, the "CC" nomenclature is no longer used, that</a:t>
          </a:r>
          <a:r>
            <a:rPr lang="en-US" sz="1100" baseline="0">
              <a:solidFill>
                <a:schemeClr val="dk1"/>
              </a:solidFill>
              <a:effectLst/>
              <a:latin typeface="+mn-lt"/>
              <a:ea typeface="+mn-ea"/>
              <a:cs typeface="+mn-cs"/>
            </a:rPr>
            <a:t> refers to records in an old archived system, e.g., for CC1823, the last acceptance record was from 2010 so using that number on anything after 2010 is not a valid identification.</a:t>
          </a:r>
          <a:endParaRPr lang="en-US" sz="1100">
            <a:solidFill>
              <a:schemeClr val="dk1"/>
            </a:solidFill>
            <a:effectLst/>
            <a:latin typeface="+mn-lt"/>
            <a:ea typeface="+mn-ea"/>
            <a:cs typeface="+mn-cs"/>
          </a:endParaRPr>
        </a:p>
        <a:p>
          <a:endParaRPr lang="en-US" sz="1100" b="0" baseline="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FD460-5B16-4CB2-AB14-704749598396}" name="Table2" displayName="Table2" ref="A4:D17" totalsRowShown="0">
  <autoFilter ref="A4:D17" xr:uid="{9AED5F9A-4A45-4603-95B2-D2D26EA875DA}"/>
  <tableColumns count="4">
    <tableColumn id="1" xr3:uid="{9C869808-2BFB-4F37-B835-F4621C0CA535}" name="Name"/>
    <tableColumn id="2" xr3:uid="{28DD10FA-5AED-4DF2-AA3D-1EE03E8349FF}" name="Title/role"/>
    <tableColumn id="3" xr3:uid="{86BADDEB-2E50-49B0-927C-4251F4A223A1}" name="Opening" dataDxfId="74"/>
    <tableColumn id="4" xr3:uid="{B538C7A6-F4AF-42EF-B8CC-EC1E782A94E0}" name="Closing " dataDxfId="73"/>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hyperlink" Target="https://ul.sharepoint.com/sites/commercial/DrinkingWater/_layouts/15/AccessDenied.aspx?Source=https%3A%2F%2Ful%2Esharepoint%2Ecom%2Fsites%2Fcommercial%2FDrinkingWater%2FSitePages%2FHome%2Easpx%3FOR%3DTeams%2DHL%26CT%3D1681826554634%26clickparams%3DeyJBcHBOYW1lIjoiVGVhbXMtRGVza3RvcCIsIkFwcFZlcnNpb24iOiIyNy8yMzAzMDUwMTExMCIsIkhhc0ZlZGVyYXRlZFVzZXIiOmZhbHNlfQ%253D%253D&amp;correlation=976daaa0%2Df0c2%2D3000%2D8660%2D9cc4d3d727aa&amp;Type=item&amp;name=0fda3d46%2De434%2D4439%2Db33f%2Dac00b0151648&amp;listItemId=18&amp;listItemUniqueId=1a042f56%2D5df5%2D4f9e%2Db9c4%2D3bde26b78493"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93" priority="60">
      <formula>COUNTBLANK($F3)</formula>
    </cfRule>
  </conditionalFormatting>
  <conditionalFormatting sqref="I7 I27:I32">
    <cfRule type="expression" dxfId="92" priority="58">
      <formula>COUNTBLANK($I7)</formula>
    </cfRule>
  </conditionalFormatting>
  <conditionalFormatting sqref="G3:G32">
    <cfRule type="expression" dxfId="91" priority="50">
      <formula>COUNTBLANK($G3)</formula>
    </cfRule>
  </conditionalFormatting>
  <conditionalFormatting sqref="H3:H32">
    <cfRule type="expression" dxfId="90" priority="49">
      <formula>COUNTBLANK($H3)</formula>
    </cfRule>
  </conditionalFormatting>
  <conditionalFormatting sqref="A3">
    <cfRule type="expression" dxfId="89" priority="40">
      <formula>COUNTBLANK($F3:$H3)</formula>
    </cfRule>
  </conditionalFormatting>
  <conditionalFormatting sqref="I11:I12">
    <cfRule type="expression" dxfId="88" priority="36">
      <formula>COUNTBLANK($I11)</formula>
    </cfRule>
  </conditionalFormatting>
  <conditionalFormatting sqref="I14:I18">
    <cfRule type="expression" dxfId="87" priority="35">
      <formula>COUNTBLANK($I14)</formula>
    </cfRule>
  </conditionalFormatting>
  <conditionalFormatting sqref="K3:K32">
    <cfRule type="expression" dxfId="86" priority="11">
      <formula>COUNTBLANK($K3)</formula>
    </cfRule>
  </conditionalFormatting>
  <conditionalFormatting sqref="A3">
    <cfRule type="expression" dxfId="85" priority="12">
      <formula>$K3="Not Audited"</formula>
    </cfRule>
    <cfRule type="expression" dxfId="84" priority="13">
      <formula>$K3="Not Applicable"</formula>
    </cfRule>
  </conditionalFormatting>
  <conditionalFormatting sqref="A4:A32">
    <cfRule type="expression" dxfId="83" priority="3">
      <formula>COUNTBLANK($F4:$I4)</formula>
    </cfRule>
  </conditionalFormatting>
  <conditionalFormatting sqref="A4:A32">
    <cfRule type="expression" dxfId="82" priority="1">
      <formula>$K4="Not Audited"</formula>
    </cfRule>
    <cfRule type="expression" dxfId="81"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BE015-1795-4DB3-B439-3F0B1E7F8DDB}">
  <dimension ref="A1:L4"/>
  <sheetViews>
    <sheetView workbookViewId="0">
      <selection activeCell="E3" sqref="E3"/>
    </sheetView>
  </sheetViews>
  <sheetFormatPr defaultRowHeight="15" x14ac:dyDescent="0.25"/>
  <cols>
    <col min="1" max="1" width="15" bestFit="1" customWidth="1"/>
    <col min="2" max="2" width="26" bestFit="1" customWidth="1"/>
    <col min="3" max="12" width="18" customWidth="1"/>
  </cols>
  <sheetData>
    <row r="1" spans="1:12" ht="23.25" x14ac:dyDescent="0.35">
      <c r="A1" t="s">
        <v>866</v>
      </c>
      <c r="C1" s="65"/>
      <c r="D1" s="85" t="s">
        <v>867</v>
      </c>
      <c r="E1" s="85"/>
      <c r="F1" s="85"/>
      <c r="G1" s="85"/>
    </row>
    <row r="2" spans="1:12" x14ac:dyDescent="0.25">
      <c r="A2" s="66" t="s">
        <v>868</v>
      </c>
      <c r="B2" s="67">
        <v>45038</v>
      </c>
      <c r="C2" s="65"/>
      <c r="H2" s="66" t="s">
        <v>869</v>
      </c>
      <c r="I2" t="s">
        <v>864</v>
      </c>
    </row>
    <row r="3" spans="1:12" ht="45" x14ac:dyDescent="0.25">
      <c r="A3" s="68" t="s">
        <v>870</v>
      </c>
      <c r="B3" s="69" t="s">
        <v>871</v>
      </c>
      <c r="C3" s="70" t="s">
        <v>872</v>
      </c>
      <c r="D3" s="71" t="s">
        <v>873</v>
      </c>
      <c r="E3" s="72" t="s">
        <v>874</v>
      </c>
      <c r="F3" s="73" t="s">
        <v>875</v>
      </c>
      <c r="G3" s="74" t="s">
        <v>876</v>
      </c>
      <c r="H3" s="71" t="s">
        <v>877</v>
      </c>
      <c r="I3" s="72" t="s">
        <v>878</v>
      </c>
      <c r="J3" s="73" t="s">
        <v>879</v>
      </c>
      <c r="K3" s="74" t="s">
        <v>880</v>
      </c>
      <c r="L3" s="75" t="s">
        <v>881</v>
      </c>
    </row>
    <row r="4" spans="1:12" x14ac:dyDescent="0.25">
      <c r="A4" s="76">
        <v>2023</v>
      </c>
      <c r="B4" s="77" t="s">
        <v>952</v>
      </c>
      <c r="C4" s="78" t="str">
        <f t="shared" ref="C4" si="0" xml:space="preserve"> IF( L4&lt; 86, "Low", IF( L4&gt;180, "High", "Medium"))</f>
        <v>Medium</v>
      </c>
      <c r="D4" s="77" t="s">
        <v>884</v>
      </c>
      <c r="E4" s="77" t="s">
        <v>882</v>
      </c>
      <c r="F4" s="77" t="s">
        <v>884</v>
      </c>
      <c r="G4" s="77" t="s">
        <v>884</v>
      </c>
      <c r="H4" s="77" t="s">
        <v>883</v>
      </c>
      <c r="I4" s="77" t="s">
        <v>882</v>
      </c>
      <c r="J4" s="77" t="s">
        <v>884</v>
      </c>
      <c r="K4" s="77" t="s">
        <v>884</v>
      </c>
      <c r="L4" s="79">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95.5</v>
      </c>
    </row>
  </sheetData>
  <mergeCells count="1">
    <mergeCell ref="D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A8ADC-1983-4F52-ACFD-031F8B5B528B}">
  <dimension ref="A1:L16"/>
  <sheetViews>
    <sheetView tabSelected="1" zoomScale="115" zoomScaleNormal="115" workbookViewId="0">
      <selection activeCell="M20" sqref="M20"/>
    </sheetView>
  </sheetViews>
  <sheetFormatPr defaultRowHeight="15" x14ac:dyDescent="0.25"/>
  <cols>
    <col min="1" max="1" width="21.42578125" bestFit="1" customWidth="1"/>
    <col min="2" max="2" width="26.28515625" bestFit="1" customWidth="1"/>
    <col min="3" max="3" width="11.7109375" style="63" bestFit="1" customWidth="1"/>
    <col min="4" max="4" width="12.42578125" style="63" bestFit="1" customWidth="1"/>
  </cols>
  <sheetData>
    <row r="1" spans="1:12" x14ac:dyDescent="0.25">
      <c r="A1" t="s">
        <v>855</v>
      </c>
      <c r="B1" t="s">
        <v>886</v>
      </c>
      <c r="C1" s="63" t="s">
        <v>856</v>
      </c>
      <c r="D1" s="64">
        <v>45034</v>
      </c>
    </row>
    <row r="2" spans="1:12" x14ac:dyDescent="0.25">
      <c r="C2" s="63" t="s">
        <v>857</v>
      </c>
      <c r="D2" s="64">
        <v>45035</v>
      </c>
    </row>
    <row r="4" spans="1:12" x14ac:dyDescent="0.25">
      <c r="A4" t="s">
        <v>858</v>
      </c>
      <c r="B4" t="s">
        <v>859</v>
      </c>
      <c r="C4" s="63" t="s">
        <v>860</v>
      </c>
      <c r="D4" s="63" t="s">
        <v>861</v>
      </c>
    </row>
    <row r="5" spans="1:12" x14ac:dyDescent="0.25">
      <c r="A5" t="s">
        <v>845</v>
      </c>
      <c r="B5" t="s">
        <v>862</v>
      </c>
      <c r="C5" s="63" t="s">
        <v>863</v>
      </c>
      <c r="D5" s="63" t="s">
        <v>863</v>
      </c>
    </row>
    <row r="6" spans="1:12" x14ac:dyDescent="0.25">
      <c r="A6" t="s">
        <v>864</v>
      </c>
      <c r="B6" t="s">
        <v>865</v>
      </c>
      <c r="C6" s="63" t="s">
        <v>863</v>
      </c>
      <c r="D6" s="63" t="s">
        <v>863</v>
      </c>
    </row>
    <row r="7" spans="1:12" x14ac:dyDescent="0.25">
      <c r="A7" t="s">
        <v>888</v>
      </c>
      <c r="B7" t="s">
        <v>889</v>
      </c>
      <c r="C7" s="63" t="s">
        <v>863</v>
      </c>
    </row>
    <row r="8" spans="1:12" x14ac:dyDescent="0.25">
      <c r="A8" t="s">
        <v>891</v>
      </c>
      <c r="B8" t="s">
        <v>890</v>
      </c>
      <c r="C8" s="63" t="s">
        <v>863</v>
      </c>
    </row>
    <row r="16" spans="1:12" x14ac:dyDescent="0.25">
      <c r="L16" t="s">
        <v>920</v>
      </c>
    </row>
  </sheetData>
  <pageMargins left="0.7" right="0.7" top="0.75" bottom="0.75" header="0.3" footer="0.3"/>
  <pageSetup orientation="portrait"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AG44"/>
  <sheetViews>
    <sheetView zoomScale="90" zoomScaleNormal="90" workbookViewId="0">
      <pane xSplit="1" ySplit="2" topLeftCell="G14" activePane="bottomRight" state="frozen"/>
      <selection pane="topRight" activeCell="B1" sqref="B1"/>
      <selection pane="bottomLeft" activeCell="A2" sqref="A2"/>
      <selection pane="bottomRight" activeCell="L16" sqref="L16"/>
    </sheetView>
  </sheetViews>
  <sheetFormatPr defaultColWidth="9.140625" defaultRowHeight="15" x14ac:dyDescent="0.25"/>
  <cols>
    <col min="1" max="1" width="60.28515625" customWidth="1"/>
    <col min="2" max="2" width="11.5703125" customWidth="1"/>
    <col min="3" max="5" width="11.7109375" style="61" customWidth="1"/>
    <col min="6" max="6" width="20.28515625" customWidth="1"/>
    <col min="7" max="7" width="42.7109375" customWidth="1"/>
    <col min="8" max="8" width="33.42578125" customWidth="1"/>
    <col min="9" max="9" width="21.570312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916</v>
      </c>
      <c r="B1" s="43" t="s">
        <v>852</v>
      </c>
      <c r="D1" s="57" t="s">
        <v>853</v>
      </c>
      <c r="E1" s="62"/>
      <c r="F1" s="45"/>
      <c r="G1" s="45"/>
      <c r="H1" s="45"/>
      <c r="I1" s="45"/>
      <c r="J1" s="45"/>
      <c r="K1" s="45"/>
      <c r="L1" s="45"/>
      <c r="M1" s="45"/>
      <c r="N1" s="45"/>
      <c r="O1" s="45"/>
      <c r="P1" s="46"/>
      <c r="Q1" s="45"/>
      <c r="R1" s="47"/>
    </row>
    <row r="2" spans="1:18" s="3" customFormat="1" ht="85.5" customHeight="1" x14ac:dyDescent="0.25">
      <c r="A2" s="4" t="s">
        <v>61</v>
      </c>
      <c r="B2" s="42" t="s">
        <v>831</v>
      </c>
      <c r="C2" s="58" t="s">
        <v>142</v>
      </c>
      <c r="D2" s="58" t="s">
        <v>143</v>
      </c>
      <c r="E2" s="58"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45" x14ac:dyDescent="0.25">
      <c r="A3" s="2" t="s">
        <v>29</v>
      </c>
      <c r="B3" s="56" t="s">
        <v>826</v>
      </c>
      <c r="C3" s="59" t="s">
        <v>465</v>
      </c>
      <c r="D3" s="59" t="s">
        <v>844</v>
      </c>
      <c r="E3" s="59" t="s">
        <v>787</v>
      </c>
      <c r="F3" s="50" t="s">
        <v>854</v>
      </c>
      <c r="G3" s="1" t="s">
        <v>923</v>
      </c>
      <c r="H3" s="50"/>
      <c r="I3" s="52"/>
      <c r="J3" s="80" t="s">
        <v>885</v>
      </c>
      <c r="K3" s="51" t="s">
        <v>839</v>
      </c>
      <c r="L3" s="50"/>
      <c r="M3" s="9"/>
      <c r="N3" s="9"/>
      <c r="O3" s="9"/>
      <c r="P3" s="8" t="s">
        <v>101</v>
      </c>
      <c r="Q3" s="11" t="s">
        <v>35</v>
      </c>
      <c r="R3" s="11" t="s">
        <v>132</v>
      </c>
    </row>
    <row r="4" spans="1:18" s="3" customFormat="1" ht="45" x14ac:dyDescent="0.25">
      <c r="A4" s="2" t="s">
        <v>30</v>
      </c>
      <c r="B4" s="56" t="s">
        <v>826</v>
      </c>
      <c r="C4" s="59" t="s">
        <v>465</v>
      </c>
      <c r="D4" s="59" t="s">
        <v>844</v>
      </c>
      <c r="E4" s="59" t="s">
        <v>787</v>
      </c>
      <c r="F4" s="50" t="s">
        <v>854</v>
      </c>
      <c r="G4" s="1" t="s">
        <v>924</v>
      </c>
      <c r="H4" s="50"/>
      <c r="I4" s="52"/>
      <c r="J4" s="80" t="s">
        <v>885</v>
      </c>
      <c r="K4" s="51" t="s">
        <v>839</v>
      </c>
      <c r="L4" s="50"/>
      <c r="M4" s="9"/>
      <c r="N4" s="9"/>
      <c r="O4" s="9"/>
      <c r="P4" s="8" t="s">
        <v>62</v>
      </c>
      <c r="Q4" s="11" t="s">
        <v>36</v>
      </c>
      <c r="R4" s="11"/>
    </row>
    <row r="5" spans="1:18" s="3" customFormat="1" ht="72" customHeight="1" x14ac:dyDescent="0.25">
      <c r="A5" s="2" t="s">
        <v>28</v>
      </c>
      <c r="B5" s="50" t="s">
        <v>826</v>
      </c>
      <c r="C5" s="59" t="s">
        <v>465</v>
      </c>
      <c r="D5" s="59" t="s">
        <v>844</v>
      </c>
      <c r="E5" s="59" t="s">
        <v>787</v>
      </c>
      <c r="F5" s="50" t="s">
        <v>845</v>
      </c>
      <c r="G5" s="50" t="s">
        <v>895</v>
      </c>
      <c r="H5" s="50" t="s">
        <v>897</v>
      </c>
      <c r="I5" s="50">
        <v>1</v>
      </c>
      <c r="J5" s="50" t="s">
        <v>896</v>
      </c>
      <c r="K5" s="51" t="s">
        <v>149</v>
      </c>
      <c r="L5" s="50" t="s">
        <v>950</v>
      </c>
      <c r="M5" s="9"/>
      <c r="N5" s="9"/>
      <c r="O5" s="9"/>
      <c r="P5" s="8" t="s">
        <v>101</v>
      </c>
      <c r="Q5" s="8" t="s">
        <v>37</v>
      </c>
      <c r="R5" s="11"/>
    </row>
    <row r="6" spans="1:18" s="3" customFormat="1" ht="100.9" customHeight="1" x14ac:dyDescent="0.25">
      <c r="A6" s="2" t="s">
        <v>2</v>
      </c>
      <c r="B6" s="50" t="s">
        <v>826</v>
      </c>
      <c r="C6" s="59" t="s">
        <v>465</v>
      </c>
      <c r="D6" s="59" t="s">
        <v>844</v>
      </c>
      <c r="E6" s="59" t="s">
        <v>787</v>
      </c>
      <c r="F6" s="50" t="s">
        <v>845</v>
      </c>
      <c r="G6" s="86" t="s">
        <v>925</v>
      </c>
      <c r="H6" s="50" t="s">
        <v>909</v>
      </c>
      <c r="I6" s="50">
        <v>2</v>
      </c>
      <c r="J6" s="50"/>
      <c r="K6" s="51" t="s">
        <v>148</v>
      </c>
      <c r="L6" s="50" t="s">
        <v>950</v>
      </c>
      <c r="M6" s="9"/>
      <c r="N6" s="9"/>
      <c r="O6" s="9"/>
      <c r="P6" s="8" t="s">
        <v>101</v>
      </c>
      <c r="Q6" s="8" t="s">
        <v>32</v>
      </c>
      <c r="R6" s="11" t="s">
        <v>131</v>
      </c>
    </row>
    <row r="7" spans="1:18" s="3" customFormat="1" ht="45" x14ac:dyDescent="0.25">
      <c r="A7" s="2" t="s">
        <v>1</v>
      </c>
      <c r="B7" s="50" t="s">
        <v>826</v>
      </c>
      <c r="C7" s="59" t="s">
        <v>465</v>
      </c>
      <c r="D7" s="59" t="s">
        <v>844</v>
      </c>
      <c r="E7" s="59" t="s">
        <v>787</v>
      </c>
      <c r="F7" s="50" t="s">
        <v>845</v>
      </c>
      <c r="G7" s="86" t="s">
        <v>926</v>
      </c>
      <c r="H7" s="50" t="s">
        <v>922</v>
      </c>
      <c r="I7" s="50">
        <v>1</v>
      </c>
      <c r="J7" s="53" t="s">
        <v>914</v>
      </c>
      <c r="K7" s="51" t="s">
        <v>148</v>
      </c>
      <c r="L7" s="50"/>
      <c r="M7" s="9"/>
      <c r="N7" s="9"/>
      <c r="O7" s="9"/>
      <c r="P7" s="8" t="s">
        <v>101</v>
      </c>
      <c r="Q7" s="11" t="s">
        <v>33</v>
      </c>
      <c r="R7" s="11"/>
    </row>
    <row r="8" spans="1:18" s="3" customFormat="1" ht="75" x14ac:dyDescent="0.25">
      <c r="A8" s="2" t="s">
        <v>5</v>
      </c>
      <c r="B8" s="50" t="s">
        <v>826</v>
      </c>
      <c r="C8" s="59" t="s">
        <v>465</v>
      </c>
      <c r="D8" s="59" t="s">
        <v>844</v>
      </c>
      <c r="E8" s="59" t="s">
        <v>787</v>
      </c>
      <c r="F8" s="50" t="s">
        <v>845</v>
      </c>
      <c r="G8" s="86" t="s">
        <v>927</v>
      </c>
      <c r="H8" s="50" t="s">
        <v>946</v>
      </c>
      <c r="I8" s="50">
        <v>4</v>
      </c>
      <c r="J8" s="53" t="s">
        <v>849</v>
      </c>
      <c r="K8" s="51" t="s">
        <v>148</v>
      </c>
      <c r="L8" s="50"/>
      <c r="M8" s="9"/>
      <c r="N8" s="9"/>
      <c r="O8" s="9"/>
      <c r="P8" s="8" t="s">
        <v>101</v>
      </c>
      <c r="Q8" s="8" t="s">
        <v>43</v>
      </c>
      <c r="R8" s="11" t="s">
        <v>140</v>
      </c>
    </row>
    <row r="9" spans="1:18" s="3" customFormat="1" ht="90" x14ac:dyDescent="0.25">
      <c r="A9" s="2" t="s">
        <v>17</v>
      </c>
      <c r="B9" s="50" t="s">
        <v>826</v>
      </c>
      <c r="C9" s="59" t="s">
        <v>465</v>
      </c>
      <c r="D9" s="59" t="s">
        <v>844</v>
      </c>
      <c r="E9" s="59" t="s">
        <v>787</v>
      </c>
      <c r="F9" s="50" t="s">
        <v>845</v>
      </c>
      <c r="G9" s="86" t="s">
        <v>928</v>
      </c>
      <c r="H9" s="50" t="s">
        <v>945</v>
      </c>
      <c r="I9" s="50">
        <v>2</v>
      </c>
      <c r="J9" s="53" t="s">
        <v>944</v>
      </c>
      <c r="K9" s="51" t="s">
        <v>149</v>
      </c>
      <c r="L9" s="50" t="s">
        <v>949</v>
      </c>
      <c r="M9" s="9"/>
      <c r="N9" s="9"/>
      <c r="O9" s="9"/>
      <c r="P9" s="8" t="s">
        <v>101</v>
      </c>
      <c r="Q9" s="8" t="s">
        <v>34</v>
      </c>
      <c r="R9" s="11"/>
    </row>
    <row r="10" spans="1:18" s="3" customFormat="1" ht="30" x14ac:dyDescent="0.25">
      <c r="A10" s="2" t="s">
        <v>16</v>
      </c>
      <c r="B10" s="50" t="s">
        <v>826</v>
      </c>
      <c r="C10" s="59" t="s">
        <v>465</v>
      </c>
      <c r="D10" s="59" t="s">
        <v>844</v>
      </c>
      <c r="E10" s="59" t="s">
        <v>787</v>
      </c>
      <c r="F10" s="50" t="s">
        <v>845</v>
      </c>
      <c r="G10" s="50" t="s">
        <v>854</v>
      </c>
      <c r="H10" s="50" t="s">
        <v>854</v>
      </c>
      <c r="I10" s="50" t="s">
        <v>854</v>
      </c>
      <c r="J10" s="50" t="s">
        <v>929</v>
      </c>
      <c r="K10" s="51" t="s">
        <v>840</v>
      </c>
      <c r="L10" s="50"/>
      <c r="M10" s="9"/>
      <c r="N10" s="9"/>
      <c r="O10" s="9"/>
      <c r="P10" s="8" t="s">
        <v>101</v>
      </c>
      <c r="Q10" s="8" t="s">
        <v>38</v>
      </c>
      <c r="R10" s="11">
        <v>4.5</v>
      </c>
    </row>
    <row r="11" spans="1:18" s="3" customFormat="1" ht="45" x14ac:dyDescent="0.25">
      <c r="A11" s="2" t="s">
        <v>4</v>
      </c>
      <c r="B11" s="50" t="s">
        <v>826</v>
      </c>
      <c r="C11" s="59" t="s">
        <v>465</v>
      </c>
      <c r="D11" s="59" t="s">
        <v>844</v>
      </c>
      <c r="E11" s="59" t="s">
        <v>787</v>
      </c>
      <c r="F11" s="50" t="s">
        <v>845</v>
      </c>
      <c r="G11" s="50" t="s">
        <v>893</v>
      </c>
      <c r="H11" s="50" t="s">
        <v>894</v>
      </c>
      <c r="I11" s="50">
        <v>1</v>
      </c>
      <c r="J11" s="53" t="s">
        <v>848</v>
      </c>
      <c r="K11" s="51" t="s">
        <v>148</v>
      </c>
      <c r="L11" s="50"/>
      <c r="M11" s="9"/>
      <c r="N11" s="9"/>
      <c r="O11" s="9"/>
      <c r="P11" s="7" t="s">
        <v>62</v>
      </c>
      <c r="Q11" s="7" t="s">
        <v>39</v>
      </c>
      <c r="R11" s="11"/>
    </row>
    <row r="12" spans="1:18" s="3" customFormat="1" ht="45" customHeight="1" x14ac:dyDescent="0.25">
      <c r="A12" s="2" t="s">
        <v>7</v>
      </c>
      <c r="B12" s="50" t="s">
        <v>826</v>
      </c>
      <c r="C12" s="59" t="s">
        <v>465</v>
      </c>
      <c r="D12" s="59" t="s">
        <v>844</v>
      </c>
      <c r="E12" s="59" t="s">
        <v>787</v>
      </c>
      <c r="F12" s="50" t="s">
        <v>845</v>
      </c>
      <c r="G12" s="86" t="s">
        <v>930</v>
      </c>
      <c r="H12" s="50" t="s">
        <v>919</v>
      </c>
      <c r="I12" s="50">
        <v>5</v>
      </c>
      <c r="J12" s="53" t="s">
        <v>850</v>
      </c>
      <c r="K12" s="51" t="s">
        <v>148</v>
      </c>
      <c r="L12" s="50"/>
      <c r="M12" s="9"/>
      <c r="N12" s="9"/>
      <c r="O12" s="9"/>
      <c r="P12" s="8" t="s">
        <v>101</v>
      </c>
      <c r="Q12" s="12" t="s">
        <v>40</v>
      </c>
      <c r="R12" s="11"/>
    </row>
    <row r="13" spans="1:18" s="3" customFormat="1" ht="60" x14ac:dyDescent="0.25">
      <c r="A13" s="2" t="s">
        <v>19</v>
      </c>
      <c r="B13" s="50" t="s">
        <v>826</v>
      </c>
      <c r="C13" s="59" t="s">
        <v>465</v>
      </c>
      <c r="D13" s="59" t="s">
        <v>844</v>
      </c>
      <c r="E13" s="59" t="s">
        <v>787</v>
      </c>
      <c r="F13" s="50" t="s">
        <v>845</v>
      </c>
      <c r="G13" s="86" t="s">
        <v>931</v>
      </c>
      <c r="H13" s="50" t="s">
        <v>943</v>
      </c>
      <c r="I13" s="50">
        <v>3</v>
      </c>
      <c r="J13" s="54"/>
      <c r="K13" s="51" t="s">
        <v>148</v>
      </c>
      <c r="L13" s="50"/>
      <c r="M13" s="9"/>
      <c r="N13" s="9"/>
      <c r="O13" s="9"/>
      <c r="P13" s="8" t="s">
        <v>101</v>
      </c>
      <c r="Q13" s="8" t="s">
        <v>50</v>
      </c>
      <c r="R13" s="11" t="s">
        <v>135</v>
      </c>
    </row>
    <row r="14" spans="1:18" s="3" customFormat="1" ht="30" x14ac:dyDescent="0.25">
      <c r="A14" s="2" t="s">
        <v>9</v>
      </c>
      <c r="B14" s="50" t="s">
        <v>826</v>
      </c>
      <c r="C14" s="59" t="s">
        <v>465</v>
      </c>
      <c r="D14" s="59" t="s">
        <v>844</v>
      </c>
      <c r="E14" s="59" t="s">
        <v>787</v>
      </c>
      <c r="F14" s="50" t="s">
        <v>845</v>
      </c>
      <c r="G14" s="53" t="s">
        <v>921</v>
      </c>
      <c r="H14" s="53" t="s">
        <v>921</v>
      </c>
      <c r="I14" s="50">
        <v>1</v>
      </c>
      <c r="J14" s="53" t="s">
        <v>921</v>
      </c>
      <c r="K14" s="51" t="s">
        <v>148</v>
      </c>
      <c r="L14" s="50"/>
      <c r="M14" s="9"/>
      <c r="N14" s="9"/>
      <c r="O14" s="9"/>
      <c r="P14" s="8" t="s">
        <v>101</v>
      </c>
      <c r="Q14" s="8" t="s">
        <v>42</v>
      </c>
      <c r="R14" s="11"/>
    </row>
    <row r="15" spans="1:18" s="3" customFormat="1" ht="90" x14ac:dyDescent="0.25">
      <c r="A15" s="2" t="s">
        <v>10</v>
      </c>
      <c r="B15" s="50" t="s">
        <v>826</v>
      </c>
      <c r="C15" s="59" t="s">
        <v>465</v>
      </c>
      <c r="D15" s="59" t="s">
        <v>844</v>
      </c>
      <c r="E15" s="59" t="s">
        <v>787</v>
      </c>
      <c r="F15" s="50" t="s">
        <v>845</v>
      </c>
      <c r="G15" s="87" t="s">
        <v>933</v>
      </c>
      <c r="H15" s="50" t="s">
        <v>947</v>
      </c>
      <c r="I15" s="50">
        <v>0</v>
      </c>
      <c r="J15" s="53" t="s">
        <v>898</v>
      </c>
      <c r="K15" s="51" t="s">
        <v>148</v>
      </c>
      <c r="L15" s="50"/>
      <c r="M15" s="9"/>
      <c r="N15" s="9"/>
      <c r="O15" s="9"/>
      <c r="P15" s="8" t="s">
        <v>101</v>
      </c>
      <c r="Q15" s="8" t="s">
        <v>41</v>
      </c>
      <c r="R15" s="11"/>
    </row>
    <row r="16" spans="1:18" s="3" customFormat="1" ht="45" x14ac:dyDescent="0.25">
      <c r="A16" s="2" t="s">
        <v>11</v>
      </c>
      <c r="B16" s="50" t="s">
        <v>826</v>
      </c>
      <c r="C16" s="59" t="s">
        <v>465</v>
      </c>
      <c r="D16" s="59" t="s">
        <v>844</v>
      </c>
      <c r="E16" s="59" t="s">
        <v>787</v>
      </c>
      <c r="F16" s="50" t="s">
        <v>845</v>
      </c>
      <c r="G16" s="87" t="s">
        <v>932</v>
      </c>
      <c r="H16" s="50" t="s">
        <v>854</v>
      </c>
      <c r="I16" s="50">
        <v>0</v>
      </c>
      <c r="J16" s="53" t="s">
        <v>941</v>
      </c>
      <c r="K16" s="51" t="s">
        <v>148</v>
      </c>
      <c r="L16" s="50"/>
      <c r="M16" s="9"/>
      <c r="N16" s="9"/>
      <c r="O16" s="9"/>
      <c r="P16" s="8" t="s">
        <v>101</v>
      </c>
      <c r="Q16" s="8" t="s">
        <v>44</v>
      </c>
      <c r="R16" s="11"/>
    </row>
    <row r="17" spans="1:33" s="3" customFormat="1" ht="90" x14ac:dyDescent="0.25">
      <c r="A17" s="2" t="s">
        <v>12</v>
      </c>
      <c r="B17" s="50" t="s">
        <v>826</v>
      </c>
      <c r="C17" s="59" t="s">
        <v>465</v>
      </c>
      <c r="D17" s="59" t="s">
        <v>844</v>
      </c>
      <c r="E17" s="59" t="s">
        <v>787</v>
      </c>
      <c r="F17" s="50" t="s">
        <v>845</v>
      </c>
      <c r="G17" s="86" t="s">
        <v>934</v>
      </c>
      <c r="H17" s="50" t="s">
        <v>854</v>
      </c>
      <c r="I17" s="50">
        <v>0</v>
      </c>
      <c r="J17" s="53" t="s">
        <v>942</v>
      </c>
      <c r="K17" s="51" t="s">
        <v>148</v>
      </c>
      <c r="L17" s="50"/>
      <c r="M17" s="9"/>
      <c r="N17" s="9"/>
      <c r="O17" s="9"/>
      <c r="P17" s="8" t="s">
        <v>101</v>
      </c>
      <c r="Q17" s="8" t="s">
        <v>45</v>
      </c>
      <c r="R17" s="11" t="s">
        <v>138</v>
      </c>
    </row>
    <row r="18" spans="1:33" s="3" customFormat="1" ht="45" x14ac:dyDescent="0.25">
      <c r="A18" s="2" t="s">
        <v>13</v>
      </c>
      <c r="B18" s="50" t="s">
        <v>826</v>
      </c>
      <c r="C18" s="59" t="s">
        <v>465</v>
      </c>
      <c r="D18" s="59" t="s">
        <v>844</v>
      </c>
      <c r="E18" s="59" t="s">
        <v>787</v>
      </c>
      <c r="F18" s="50"/>
      <c r="G18" s="53" t="s">
        <v>854</v>
      </c>
      <c r="H18" s="50"/>
      <c r="I18" s="52"/>
      <c r="J18" s="53" t="s">
        <v>843</v>
      </c>
      <c r="K18" s="51" t="s">
        <v>839</v>
      </c>
      <c r="L18" s="50"/>
      <c r="M18" s="9"/>
      <c r="N18" s="9"/>
      <c r="O18" s="9"/>
      <c r="P18" s="8" t="s">
        <v>101</v>
      </c>
      <c r="Q18" s="8" t="s">
        <v>51</v>
      </c>
      <c r="R18" s="11"/>
    </row>
    <row r="19" spans="1:33" s="3" customFormat="1" ht="75" x14ac:dyDescent="0.25">
      <c r="A19" s="2" t="s">
        <v>21</v>
      </c>
      <c r="B19" s="50" t="s">
        <v>826</v>
      </c>
      <c r="C19" s="59" t="s">
        <v>465</v>
      </c>
      <c r="D19" s="59" t="s">
        <v>844</v>
      </c>
      <c r="E19" s="59" t="s">
        <v>787</v>
      </c>
      <c r="F19" s="50" t="s">
        <v>845</v>
      </c>
      <c r="G19" s="86" t="s">
        <v>935</v>
      </c>
      <c r="H19" s="50" t="s">
        <v>908</v>
      </c>
      <c r="I19" s="50">
        <v>0</v>
      </c>
      <c r="J19" s="53" t="s">
        <v>847</v>
      </c>
      <c r="K19" s="51" t="s">
        <v>148</v>
      </c>
      <c r="L19" s="50"/>
      <c r="M19" s="9"/>
      <c r="N19" s="9"/>
      <c r="O19" s="9"/>
      <c r="P19" s="7" t="s">
        <v>62</v>
      </c>
      <c r="Q19" s="7" t="s">
        <v>52</v>
      </c>
      <c r="R19" s="11"/>
    </row>
    <row r="20" spans="1:33" s="3" customFormat="1" ht="30" x14ac:dyDescent="0.25">
      <c r="A20" s="2" t="s">
        <v>6</v>
      </c>
      <c r="B20" s="50" t="s">
        <v>826</v>
      </c>
      <c r="C20" s="59" t="s">
        <v>465</v>
      </c>
      <c r="D20" s="59" t="s">
        <v>844</v>
      </c>
      <c r="E20" s="59" t="s">
        <v>787</v>
      </c>
      <c r="F20" s="50" t="s">
        <v>854</v>
      </c>
      <c r="G20" s="88" t="s">
        <v>854</v>
      </c>
      <c r="H20" s="50" t="s">
        <v>854</v>
      </c>
      <c r="I20" s="52" t="s">
        <v>854</v>
      </c>
      <c r="J20" s="53" t="s">
        <v>854</v>
      </c>
      <c r="K20" s="51" t="s">
        <v>840</v>
      </c>
      <c r="L20" s="50"/>
      <c r="M20" s="9"/>
      <c r="N20" s="9"/>
      <c r="O20" s="9"/>
      <c r="P20" s="8" t="s">
        <v>101</v>
      </c>
      <c r="Q20" s="8" t="s">
        <v>46</v>
      </c>
      <c r="R20" s="11"/>
    </row>
    <row r="21" spans="1:33" s="3" customFormat="1" ht="45" x14ac:dyDescent="0.25">
      <c r="A21" s="2" t="s">
        <v>3</v>
      </c>
      <c r="B21" s="50" t="s">
        <v>826</v>
      </c>
      <c r="C21" s="59" t="s">
        <v>465</v>
      </c>
      <c r="D21" s="59" t="s">
        <v>844</v>
      </c>
      <c r="E21" s="59" t="s">
        <v>787</v>
      </c>
      <c r="F21" s="50" t="s">
        <v>845</v>
      </c>
      <c r="G21" s="81" t="s">
        <v>892</v>
      </c>
      <c r="H21" s="50" t="s">
        <v>907</v>
      </c>
      <c r="I21" s="52">
        <v>1</v>
      </c>
      <c r="J21" s="80" t="s">
        <v>906</v>
      </c>
      <c r="K21" s="51" t="s">
        <v>839</v>
      </c>
      <c r="L21" s="50"/>
      <c r="M21" s="9"/>
      <c r="N21" s="9"/>
      <c r="O21" s="9"/>
      <c r="P21" s="8" t="s">
        <v>101</v>
      </c>
      <c r="Q21" s="8" t="s">
        <v>53</v>
      </c>
      <c r="R21" s="11" t="s">
        <v>133</v>
      </c>
    </row>
    <row r="22" spans="1:33" s="3" customFormat="1" ht="30" x14ac:dyDescent="0.25">
      <c r="A22" s="2" t="s">
        <v>18</v>
      </c>
      <c r="B22" s="50" t="s">
        <v>826</v>
      </c>
      <c r="C22" s="59" t="s">
        <v>465</v>
      </c>
      <c r="D22" s="59" t="s">
        <v>844</v>
      </c>
      <c r="E22" s="59" t="s">
        <v>787</v>
      </c>
      <c r="F22" s="50" t="s">
        <v>845</v>
      </c>
      <c r="G22" s="86" t="s">
        <v>936</v>
      </c>
      <c r="H22" s="50" t="s">
        <v>940</v>
      </c>
      <c r="I22" s="50">
        <v>0</v>
      </c>
      <c r="J22" s="50" t="s">
        <v>918</v>
      </c>
      <c r="K22" s="51" t="s">
        <v>148</v>
      </c>
      <c r="L22" s="50" t="s">
        <v>950</v>
      </c>
      <c r="M22" s="9"/>
      <c r="N22" s="9"/>
      <c r="O22" s="9"/>
      <c r="P22" s="8" t="s">
        <v>62</v>
      </c>
      <c r="Q22" s="8" t="s">
        <v>47</v>
      </c>
      <c r="R22" s="11" t="s">
        <v>139</v>
      </c>
    </row>
    <row r="23" spans="1:33" s="3" customFormat="1" ht="75" x14ac:dyDescent="0.25">
      <c r="A23" s="2" t="s">
        <v>8</v>
      </c>
      <c r="B23" s="50" t="s">
        <v>826</v>
      </c>
      <c r="C23" s="59" t="s">
        <v>465</v>
      </c>
      <c r="D23" s="59" t="s">
        <v>844</v>
      </c>
      <c r="E23" s="59" t="s">
        <v>787</v>
      </c>
      <c r="F23" s="50" t="s">
        <v>845</v>
      </c>
      <c r="G23" s="86" t="s">
        <v>937</v>
      </c>
      <c r="H23" s="50" t="s">
        <v>939</v>
      </c>
      <c r="I23" s="50">
        <v>0</v>
      </c>
      <c r="J23" s="53" t="s">
        <v>851</v>
      </c>
      <c r="K23" s="51" t="s">
        <v>148</v>
      </c>
      <c r="L23" s="50"/>
      <c r="M23" s="9"/>
      <c r="N23" s="9"/>
      <c r="O23" s="9"/>
      <c r="P23" s="8" t="s">
        <v>62</v>
      </c>
      <c r="Q23" s="8" t="s">
        <v>31</v>
      </c>
      <c r="R23" s="11"/>
    </row>
    <row r="24" spans="1:33" s="3" customFormat="1" ht="81.599999999999994" customHeight="1" x14ac:dyDescent="0.25">
      <c r="A24" s="2" t="s">
        <v>14</v>
      </c>
      <c r="B24" s="50" t="s">
        <v>826</v>
      </c>
      <c r="C24" s="59" t="s">
        <v>465</v>
      </c>
      <c r="D24" s="59" t="s">
        <v>844</v>
      </c>
      <c r="E24" s="59" t="s">
        <v>787</v>
      </c>
      <c r="F24" s="50" t="s">
        <v>845</v>
      </c>
      <c r="G24" s="86" t="s">
        <v>938</v>
      </c>
      <c r="H24" s="50" t="s">
        <v>905</v>
      </c>
      <c r="I24" s="50">
        <v>1</v>
      </c>
      <c r="J24" s="54"/>
      <c r="K24" s="51" t="s">
        <v>148</v>
      </c>
      <c r="L24" s="50"/>
      <c r="M24" s="9"/>
      <c r="N24" s="9"/>
      <c r="O24" s="9"/>
      <c r="P24" s="8" t="s">
        <v>62</v>
      </c>
      <c r="Q24" s="8" t="s">
        <v>48</v>
      </c>
      <c r="R24" s="11"/>
    </row>
    <row r="25" spans="1:33" s="3" customFormat="1" ht="30" x14ac:dyDescent="0.25">
      <c r="A25" s="2" t="s">
        <v>0</v>
      </c>
      <c r="B25" s="50" t="s">
        <v>826</v>
      </c>
      <c r="C25" s="59" t="s">
        <v>465</v>
      </c>
      <c r="D25" s="59" t="s">
        <v>844</v>
      </c>
      <c r="E25" s="59" t="s">
        <v>787</v>
      </c>
      <c r="F25" s="50" t="s">
        <v>854</v>
      </c>
      <c r="G25" s="50" t="s">
        <v>854</v>
      </c>
      <c r="H25" s="50" t="s">
        <v>854</v>
      </c>
      <c r="I25" s="52" t="s">
        <v>854</v>
      </c>
      <c r="J25" s="80" t="s">
        <v>887</v>
      </c>
      <c r="K25" s="51" t="s">
        <v>839</v>
      </c>
      <c r="L25" s="54"/>
      <c r="M25" s="9"/>
      <c r="N25" s="9"/>
      <c r="O25" s="9"/>
      <c r="P25" s="8" t="s">
        <v>62</v>
      </c>
      <c r="Q25" s="8" t="s">
        <v>49</v>
      </c>
      <c r="R25" s="11"/>
    </row>
    <row r="26" spans="1:33" s="3" customFormat="1" ht="90" x14ac:dyDescent="0.25">
      <c r="A26" s="2" t="s">
        <v>54</v>
      </c>
      <c r="B26" s="50" t="s">
        <v>826</v>
      </c>
      <c r="C26" s="59" t="s">
        <v>465</v>
      </c>
      <c r="D26" s="59" t="s">
        <v>844</v>
      </c>
      <c r="E26" s="59" t="s">
        <v>787</v>
      </c>
      <c r="F26" s="50" t="s">
        <v>845</v>
      </c>
      <c r="G26" s="50" t="s">
        <v>904</v>
      </c>
      <c r="H26" s="50" t="s">
        <v>902</v>
      </c>
      <c r="I26" s="50">
        <v>0</v>
      </c>
      <c r="J26" s="53" t="s">
        <v>899</v>
      </c>
      <c r="K26" s="51" t="s">
        <v>148</v>
      </c>
      <c r="L26" s="83" t="s">
        <v>950</v>
      </c>
      <c r="M26" s="9"/>
      <c r="N26" s="9"/>
      <c r="O26" s="9"/>
      <c r="P26" s="8" t="s">
        <v>101</v>
      </c>
      <c r="Q26" s="8" t="s">
        <v>55</v>
      </c>
      <c r="R26" s="11"/>
      <c r="AG26" s="3" t="s">
        <v>846</v>
      </c>
    </row>
    <row r="27" spans="1:33" s="3" customFormat="1" ht="90" x14ac:dyDescent="0.25">
      <c r="A27" s="2" t="s">
        <v>15</v>
      </c>
      <c r="B27" s="50" t="s">
        <v>826</v>
      </c>
      <c r="C27" s="59" t="s">
        <v>465</v>
      </c>
      <c r="D27" s="59" t="s">
        <v>844</v>
      </c>
      <c r="E27" s="59" t="s">
        <v>787</v>
      </c>
      <c r="F27" s="50" t="s">
        <v>845</v>
      </c>
      <c r="G27" s="50" t="s">
        <v>903</v>
      </c>
      <c r="H27" s="53" t="s">
        <v>900</v>
      </c>
      <c r="I27" s="50">
        <v>1</v>
      </c>
      <c r="J27" s="82" t="s">
        <v>901</v>
      </c>
      <c r="K27" s="51" t="s">
        <v>148</v>
      </c>
      <c r="L27" s="83" t="s">
        <v>951</v>
      </c>
      <c r="M27" s="9"/>
      <c r="N27" s="9"/>
      <c r="O27" s="9"/>
      <c r="P27" s="8" t="s">
        <v>101</v>
      </c>
      <c r="Q27" s="8" t="s">
        <v>56</v>
      </c>
      <c r="R27" s="11"/>
    </row>
    <row r="28" spans="1:33" s="3" customFormat="1" ht="105" x14ac:dyDescent="0.25">
      <c r="A28" s="2" t="s">
        <v>20</v>
      </c>
      <c r="B28" s="50" t="s">
        <v>826</v>
      </c>
      <c r="C28" s="59" t="s">
        <v>465</v>
      </c>
      <c r="D28" s="59" t="s">
        <v>844</v>
      </c>
      <c r="E28" s="59" t="s">
        <v>787</v>
      </c>
      <c r="F28" s="50" t="s">
        <v>910</v>
      </c>
      <c r="G28" s="50" t="s">
        <v>911</v>
      </c>
      <c r="H28" s="50">
        <v>4790786617</v>
      </c>
      <c r="I28" s="50">
        <v>1</v>
      </c>
      <c r="J28" s="53" t="s">
        <v>948</v>
      </c>
      <c r="K28" s="51" t="s">
        <v>148</v>
      </c>
      <c r="L28" s="55"/>
      <c r="M28" s="9"/>
      <c r="N28" s="9"/>
      <c r="O28" s="9"/>
      <c r="P28" s="8" t="s">
        <v>101</v>
      </c>
      <c r="Q28" s="8" t="s">
        <v>57</v>
      </c>
      <c r="R28" s="11" t="s">
        <v>134</v>
      </c>
    </row>
    <row r="29" spans="1:33" s="3" customFormat="1" ht="82.9" customHeight="1" x14ac:dyDescent="0.25">
      <c r="A29" s="2" t="s">
        <v>20</v>
      </c>
      <c r="B29" s="1"/>
      <c r="C29" s="60"/>
      <c r="D29" s="60"/>
      <c r="E29" s="60"/>
      <c r="F29" s="50" t="s">
        <v>912</v>
      </c>
      <c r="G29" s="1" t="s">
        <v>917</v>
      </c>
      <c r="H29" s="50" t="s">
        <v>913</v>
      </c>
      <c r="I29" s="84">
        <v>1</v>
      </c>
      <c r="J29" s="53" t="s">
        <v>915</v>
      </c>
      <c r="K29" s="51" t="s">
        <v>148</v>
      </c>
      <c r="L29" s="1"/>
      <c r="M29" s="9"/>
      <c r="N29" s="9"/>
      <c r="O29" s="9"/>
      <c r="R29" s="11"/>
    </row>
    <row r="30" spans="1:33" s="3" customFormat="1" ht="15.75" x14ac:dyDescent="0.25">
      <c r="A30" s="2"/>
      <c r="B30" s="1"/>
      <c r="C30" s="60"/>
      <c r="D30" s="60"/>
      <c r="E30" s="60"/>
      <c r="F30" s="1"/>
      <c r="G30" s="1"/>
      <c r="H30" s="1"/>
      <c r="I30" s="1"/>
      <c r="J30" s="1"/>
      <c r="K30" s="29"/>
      <c r="L30" s="1"/>
      <c r="M30" s="9"/>
      <c r="N30" s="9"/>
      <c r="O30" s="9"/>
      <c r="R30" s="11"/>
    </row>
    <row r="31" spans="1:33" s="3" customFormat="1" ht="15.75" x14ac:dyDescent="0.25">
      <c r="A31" s="2"/>
      <c r="B31" s="1"/>
      <c r="C31" s="60"/>
      <c r="D31" s="60"/>
      <c r="E31" s="60"/>
      <c r="F31" s="1"/>
      <c r="G31" s="1"/>
      <c r="H31" s="1"/>
      <c r="I31" s="1"/>
      <c r="J31" s="1"/>
      <c r="K31" s="29"/>
      <c r="L31" s="1"/>
      <c r="M31" s="9"/>
      <c r="N31" s="9"/>
      <c r="O31" s="9"/>
      <c r="R31" s="11"/>
    </row>
    <row r="32" spans="1:33" s="3" customFormat="1" ht="15.75" x14ac:dyDescent="0.25">
      <c r="A32" s="2"/>
      <c r="B32" s="1"/>
      <c r="C32" s="60"/>
      <c r="D32" s="60"/>
      <c r="E32" s="60"/>
      <c r="F32" s="1"/>
      <c r="G32" s="1"/>
      <c r="H32" s="1"/>
      <c r="I32" s="1"/>
      <c r="J32" s="1"/>
      <c r="K32" s="29"/>
      <c r="L32" s="29"/>
      <c r="M32" s="9"/>
      <c r="N32" s="9"/>
      <c r="O32" s="9"/>
      <c r="Q32" s="7"/>
      <c r="R32" s="11"/>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row r="44" spans="17:17" x14ac:dyDescent="0.25">
      <c r="Q44" s="10"/>
    </row>
  </sheetData>
  <autoFilter ref="A2:R29" xr:uid="{67133217-09C3-499A-9637-02AA7A0868F7}"/>
  <phoneticPr fontId="12" type="noConversion"/>
  <conditionalFormatting sqref="K3:K28">
    <cfRule type="expression" dxfId="72" priority="122">
      <formula>COUNTBLANK($K3)</formula>
    </cfRule>
  </conditionalFormatting>
  <conditionalFormatting sqref="A6:A9 A11:A13 A28:A38">
    <cfRule type="expression" dxfId="71" priority="118">
      <formula>COUNTBLANK($F6:$I6)+COUNTBLANK(K6)</formula>
    </cfRule>
  </conditionalFormatting>
  <conditionalFormatting sqref="A3:A8 A10 A14:A27">
    <cfRule type="expression" dxfId="70" priority="93">
      <formula>COUNTBLANK($F3:$H3)+COUNTBLANK(K3)</formula>
    </cfRule>
  </conditionalFormatting>
  <conditionalFormatting sqref="F3:F38">
    <cfRule type="expression" dxfId="69" priority="47">
      <formula>COUNTBLANK($B3)</formula>
    </cfRule>
    <cfRule type="expression" dxfId="68" priority="48">
      <formula>COUNTBLANK($C3)</formula>
    </cfRule>
    <cfRule type="expression" dxfId="67" priority="49">
      <formula>COUNTBLANK($D3)</formula>
    </cfRule>
    <cfRule type="expression" dxfId="66" priority="50">
      <formula>COUNTBLANK($E3)</formula>
    </cfRule>
    <cfRule type="expression" dxfId="65" priority="51">
      <formula>COUNTBLANK($F3)</formula>
    </cfRule>
  </conditionalFormatting>
  <conditionalFormatting sqref="H28:H38 H15:H26 H3:H13">
    <cfRule type="expression" dxfId="64" priority="82">
      <formula>COUNTBLANK($G3)</formula>
    </cfRule>
    <cfRule type="expression" dxfId="63" priority="91">
      <formula>COUNTBLANK($H3)</formula>
    </cfRule>
  </conditionalFormatting>
  <conditionalFormatting sqref="A3:A38">
    <cfRule type="expression" dxfId="62" priority="43">
      <formula>$K3="Not Applicable"</formula>
    </cfRule>
    <cfRule type="expression" dxfId="61" priority="44">
      <formula>$K3="Not Audited"</formula>
    </cfRule>
  </conditionalFormatting>
  <conditionalFormatting sqref="I6:I9 I11:I13 I28:I38">
    <cfRule type="expression" dxfId="60" priority="92">
      <formula>COUNTBLANK($I6)</formula>
    </cfRule>
  </conditionalFormatting>
  <conditionalFormatting sqref="B5:I5 B27:G27 I27 B25:I26 B3:F4 H3:I4 B6:F9 J10 B10:I11 B12:F24 H12:I13 H15:I24 I14 H6:I10 B28:I38">
    <cfRule type="expression" dxfId="59" priority="45">
      <formula>$K3="Not Applicable"</formula>
    </cfRule>
    <cfRule type="expression" dxfId="58" priority="46">
      <formula>$K3="Not Audited"</formula>
    </cfRule>
  </conditionalFormatting>
  <conditionalFormatting sqref="J8">
    <cfRule type="expression" dxfId="57" priority="42">
      <formula>COUNTBLANK($I8)</formula>
    </cfRule>
  </conditionalFormatting>
  <conditionalFormatting sqref="J8">
    <cfRule type="expression" dxfId="56" priority="40">
      <formula>$K8="Not Applicable"</formula>
    </cfRule>
    <cfRule type="expression" dxfId="55" priority="41">
      <formula>$K8="Not Audited"</formula>
    </cfRule>
  </conditionalFormatting>
  <conditionalFormatting sqref="I5">
    <cfRule type="expression" dxfId="54" priority="39">
      <formula>COUNTBLANK($I5)</formula>
    </cfRule>
  </conditionalFormatting>
  <conditionalFormatting sqref="I14">
    <cfRule type="expression" dxfId="53" priority="38">
      <formula>COUNTBLANK($I14)</formula>
    </cfRule>
  </conditionalFormatting>
  <conditionalFormatting sqref="I15:I17">
    <cfRule type="expression" dxfId="52" priority="37">
      <formula>COUNTBLANK($I15)</formula>
    </cfRule>
  </conditionalFormatting>
  <conditionalFormatting sqref="I19">
    <cfRule type="expression" dxfId="51" priority="36">
      <formula>COUNTBLANK($I19)</formula>
    </cfRule>
  </conditionalFormatting>
  <conditionalFormatting sqref="I22:I24">
    <cfRule type="expression" dxfId="50" priority="35">
      <formula>COUNTBLANK($I22)</formula>
    </cfRule>
  </conditionalFormatting>
  <conditionalFormatting sqref="I26:I27">
    <cfRule type="expression" dxfId="49" priority="34">
      <formula>COUNTBLANK($I26)</formula>
    </cfRule>
  </conditionalFormatting>
  <conditionalFormatting sqref="J5">
    <cfRule type="expression" dxfId="48" priority="32">
      <formula>$K5="Not Applicable"</formula>
    </cfRule>
    <cfRule type="expression" dxfId="47" priority="33">
      <formula>$K5="Not Audited"</formula>
    </cfRule>
  </conditionalFormatting>
  <conditionalFormatting sqref="J6">
    <cfRule type="expression" dxfId="46" priority="30">
      <formula>COUNTBLANK($G6)</formula>
    </cfRule>
    <cfRule type="expression" dxfId="45" priority="31">
      <formula>COUNTBLANK($H6)</formula>
    </cfRule>
  </conditionalFormatting>
  <conditionalFormatting sqref="J6">
    <cfRule type="expression" dxfId="44" priority="28">
      <formula>$K6="Not Applicable"</formula>
    </cfRule>
    <cfRule type="expression" dxfId="43" priority="29">
      <formula>$K6="Not Audited"</formula>
    </cfRule>
  </conditionalFormatting>
  <conditionalFormatting sqref="J28">
    <cfRule type="expression" dxfId="42" priority="26">
      <formula>COUNTBLANK($G28)</formula>
    </cfRule>
    <cfRule type="expression" dxfId="41" priority="27">
      <formula>COUNTBLANK($H28)</formula>
    </cfRule>
  </conditionalFormatting>
  <conditionalFormatting sqref="J28">
    <cfRule type="expression" dxfId="40" priority="24">
      <formula>$K28="Not Applicable"</formula>
    </cfRule>
    <cfRule type="expression" dxfId="39" priority="25">
      <formula>$K28="Not Audited"</formula>
    </cfRule>
  </conditionalFormatting>
  <conditionalFormatting sqref="K29">
    <cfRule type="expression" dxfId="38" priority="17">
      <formula>COUNTBLANK($K29)</formula>
    </cfRule>
  </conditionalFormatting>
  <conditionalFormatting sqref="J22">
    <cfRule type="expression" dxfId="37" priority="15">
      <formula>$K22="Not Applicable"</formula>
    </cfRule>
    <cfRule type="expression" dxfId="36" priority="16">
      <formula>$K22="Not Audited"</formula>
    </cfRule>
  </conditionalFormatting>
  <conditionalFormatting sqref="G3">
    <cfRule type="expression" dxfId="13" priority="14">
      <formula>COUNTBLANK($G3)</formula>
    </cfRule>
  </conditionalFormatting>
  <conditionalFormatting sqref="G4">
    <cfRule type="expression" dxfId="12" priority="13">
      <formula>COUNTBLANK($G4)</formula>
    </cfRule>
  </conditionalFormatting>
  <conditionalFormatting sqref="G6">
    <cfRule type="expression" dxfId="11" priority="12">
      <formula>COUNTBLANK($G6)</formula>
    </cfRule>
  </conditionalFormatting>
  <conditionalFormatting sqref="G7:G8">
    <cfRule type="expression" dxfId="10" priority="11">
      <formula>COUNTBLANK($G7)</formula>
    </cfRule>
  </conditionalFormatting>
  <conditionalFormatting sqref="G9">
    <cfRule type="expression" dxfId="9" priority="10">
      <formula>COUNTBLANK($G9)</formula>
    </cfRule>
  </conditionalFormatting>
  <conditionalFormatting sqref="G18">
    <cfRule type="expression" dxfId="8" priority="9">
      <formula>COUNTBLANK($G18)</formula>
    </cfRule>
  </conditionalFormatting>
  <conditionalFormatting sqref="G15">
    <cfRule type="expression" dxfId="6" priority="7">
      <formula>COUNTBLANK($G15)</formula>
    </cfRule>
  </conditionalFormatting>
  <conditionalFormatting sqref="G16">
    <cfRule type="expression" dxfId="5" priority="6">
      <formula>COUNTBLANK($F16)</formula>
    </cfRule>
  </conditionalFormatting>
  <conditionalFormatting sqref="G12:G13">
    <cfRule type="expression" dxfId="4" priority="5">
      <formula>COUNTBLANK($G12)</formula>
    </cfRule>
  </conditionalFormatting>
  <conditionalFormatting sqref="G17">
    <cfRule type="expression" dxfId="3" priority="4">
      <formula>COUNTBLANK($G17)</formula>
    </cfRule>
  </conditionalFormatting>
  <conditionalFormatting sqref="G20">
    <cfRule type="expression" dxfId="2" priority="3">
      <formula>COUNTBLANK($F20)</formula>
    </cfRule>
  </conditionalFormatting>
  <conditionalFormatting sqref="G19">
    <cfRule type="expression" dxfId="1" priority="2">
      <formula>COUNTBLANK($G19)</formula>
    </cfRule>
  </conditionalFormatting>
  <conditionalFormatting sqref="G22:G24">
    <cfRule type="expression" dxfId="0" priority="1">
      <formula>COUNTBLANK($G22)</formula>
    </cfRule>
  </conditionalFormatting>
  <hyperlinks>
    <hyperlink ref="G21" r:id="rId1" display="https://ul.sharepoint.com/sites/commercial/DrinkingWater/_layouts/15/AccessDenied.aspx?Source=https%3A%2F%2Ful%2Esharepoint%2Ecom%2Fsites%2Fcommercial%2FDrinkingWater%2FSitePages%2FHome%2Easpx%3FOR%3DTeams%2DHL%26CT%3D1681826554634%26clickparams%3DeyJBcHBOYW1lIjoiVGVhbXMtRGVza3RvcCIsIkFwcFZlcnNpb24iOiIyNy8yMzAzMDUwMTExMCIsIkhhc0ZlZGVyYXRlZFVzZXIiOmZhbHNlfQ%253D%253D&amp;correlation=976daaa0%2Df0c2%2D3000%2D8660%2D9cc4d3d727aa&amp;Type=item&amp;name=0fda3d46%2De434%2D4439%2Db33f%2Dac00b0151648&amp;listItemId=18&amp;listItemUniqueId=1a042f56%2D5df5%2D4f9e%2Db9c4%2D3bde26b78493" xr:uid="{765CB1F4-9A4F-4354-AA04-F6078B669D75}"/>
  </hyperlinks>
  <pageMargins left="0.7" right="0.7" top="0.75" bottom="0.75" header="0.3" footer="0.3"/>
  <pageSetup orientation="portrait" r:id="rId2"/>
  <legacyDrawing r:id="rId3"/>
  <extLst>
    <ext xmlns:x14="http://schemas.microsoft.com/office/spreadsheetml/2009/9/main" uri="{78C0D931-6437-407d-A8EE-F0AAD7539E65}">
      <x14:conditionalFormattings>
        <x14:conditionalFormatting xmlns:xm="http://schemas.microsoft.com/office/excel/2006/main">
          <x14:cfRule type="cellIs" priority="253" operator="equal" id="{3C23C214-D09F-4A2E-98A0-246DB1E2A1B9}">
            <xm:f>Sheet1!$A$5</xm:f>
            <x14:dxf>
              <fill>
                <patternFill>
                  <bgColor rgb="FFFF0000"/>
                </patternFill>
              </fill>
            </x14:dxf>
          </x14:cfRule>
          <x14:cfRule type="cellIs" priority="254" operator="equal" id="{1FFF80F4-0946-4783-B506-E753A6269362}">
            <xm:f>Sheet1!$A$4</xm:f>
            <x14:dxf>
              <fill>
                <patternFill>
                  <bgColor rgb="FFFFFF00"/>
                </patternFill>
              </fill>
            </x14:dxf>
          </x14:cfRule>
          <x14:cfRule type="cellIs" priority="255" operator="equal" id="{531DB53F-FEDE-4AB4-B5EB-1B167E7B5006}">
            <xm:f>Sheet1!$A$3</xm:f>
            <x14:dxf>
              <fill>
                <patternFill>
                  <bgColor theme="9" tint="0.59996337778862885"/>
                </patternFill>
              </fill>
            </x14:dxf>
          </x14:cfRule>
          <x14:cfRule type="cellIs" priority="256" operator="equal" id="{33F8B9BE-0B38-458F-91C9-3329645AA818}">
            <xm:f>Sheet1!$A$2</xm:f>
            <x14:dxf>
              <fill>
                <patternFill>
                  <bgColor theme="9" tint="0.39994506668294322"/>
                </patternFill>
              </fill>
            </x14:dxf>
          </x14:cfRule>
          <xm:sqref>L32</xm:sqref>
        </x14:conditionalFormatting>
        <x14:conditionalFormatting xmlns:xm="http://schemas.microsoft.com/office/excel/2006/main">
          <x14:cfRule type="cellIs" priority="261" operator="equal" id="{DD9D8C0B-E118-4EDA-86CB-C24BB53513E3}">
            <xm:f>Sheet1!$A$7</xm:f>
            <x14:dxf>
              <fill>
                <patternFill>
                  <bgColor theme="5"/>
                </patternFill>
              </fill>
            </x14:dxf>
          </x14:cfRule>
          <x14:cfRule type="cellIs" priority="262" operator="equal" id="{03FA0D5D-273B-4B2A-92F7-11943347B225}">
            <xm:f>Sheet1!$A$6</xm:f>
            <x14:dxf>
              <fill>
                <patternFill>
                  <bgColor rgb="FF00B0F0"/>
                </patternFill>
              </fill>
            </x14:dxf>
          </x14:cfRule>
          <x14:cfRule type="cellIs" priority="263" operator="equal" id="{B3323DCA-6455-4080-96AD-FFC5D7B6922A}">
            <xm:f>Sheet1!$A$5</xm:f>
            <x14:dxf>
              <fill>
                <patternFill>
                  <bgColor rgb="FFFF0000"/>
                </patternFill>
              </fill>
            </x14:dxf>
          </x14:cfRule>
          <x14:cfRule type="cellIs" priority="264" operator="equal" id="{24C2B7C9-4BA8-45FA-877F-4B96336261BE}">
            <xm:f>Sheet1!$A$4</xm:f>
            <x14:dxf>
              <fill>
                <patternFill>
                  <bgColor rgb="FFFFFF00"/>
                </patternFill>
              </fill>
            </x14:dxf>
          </x14:cfRule>
          <x14:cfRule type="cellIs" priority="265" operator="equal" id="{94BBB2C3-4911-4C16-A6DC-80F592447786}">
            <xm:f>Sheet1!$A$3</xm:f>
            <x14:dxf>
              <fill>
                <patternFill>
                  <bgColor theme="9" tint="0.59996337778862885"/>
                </patternFill>
              </fill>
            </x14:dxf>
          </x14:cfRule>
          <x14:cfRule type="cellIs" priority="266" operator="equal" id="{01CDB396-BAD4-4854-B364-72E95820D3D4}">
            <xm:f>Sheet1!$A$2</xm:f>
            <x14:dxf>
              <fill>
                <patternFill>
                  <bgColor theme="9" tint="0.39994506668294322"/>
                </patternFill>
              </fill>
            </x14:dxf>
          </x14:cfRule>
          <xm:sqref>K4:K32</xm:sqref>
        </x14:conditionalFormatting>
        <x14:conditionalFormatting xmlns:xm="http://schemas.microsoft.com/office/excel/2006/main">
          <x14:cfRule type="cellIs" priority="123" operator="equal" id="{6F7E0579-96B6-4271-94CE-452DB74F50BE}">
            <xm:f>Sheet1!$A$7</xm:f>
            <x14:dxf>
              <fill>
                <patternFill>
                  <bgColor theme="5"/>
                </patternFill>
              </fill>
            </x14:dxf>
          </x14:cfRule>
          <x14:cfRule type="cellIs" priority="124" operator="equal" id="{40A3F120-6DBC-481C-B9F8-331116964E9B}">
            <xm:f>Sheet1!$A$6</xm:f>
            <x14:dxf>
              <fill>
                <patternFill>
                  <bgColor rgb="FF00B0F0"/>
                </patternFill>
              </fill>
            </x14:dxf>
          </x14:cfRule>
          <x14:cfRule type="cellIs" priority="125" operator="equal" id="{09A92345-2D60-4171-8CB9-95F7B4A7A710}">
            <xm:f>Sheet1!$A$5</xm:f>
            <x14:dxf>
              <fill>
                <patternFill>
                  <bgColor rgb="FFFF0000"/>
                </patternFill>
              </fill>
            </x14:dxf>
          </x14:cfRule>
          <x14:cfRule type="cellIs" priority="126" operator="equal" id="{14677CC0-D33D-40C9-90B0-3A0741EA278E}">
            <xm:f>Sheet1!$A$4</xm:f>
            <x14:dxf>
              <fill>
                <patternFill>
                  <bgColor rgb="FFFFFF00"/>
                </patternFill>
              </fill>
            </x14:dxf>
          </x14:cfRule>
          <x14:cfRule type="cellIs" priority="127" operator="equal" id="{359CCB9F-78E6-455B-8564-87B1BAD49624}">
            <xm:f>Sheet1!$A$3</xm:f>
            <x14:dxf>
              <fill>
                <patternFill>
                  <bgColor theme="9" tint="0.59996337778862885"/>
                </patternFill>
              </fill>
            </x14:dxf>
          </x14:cfRule>
          <x14:cfRule type="cellIs" priority="128"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18" operator="equal" id="{49EB04D8-149E-4F66-8F7B-CC9455ACD3B5}">
            <xm:f>Sheet1!$A$7</xm:f>
            <x14:dxf>
              <fill>
                <patternFill>
                  <bgColor theme="5"/>
                </patternFill>
              </fill>
            </x14:dxf>
          </x14:cfRule>
          <x14:cfRule type="cellIs" priority="19" operator="equal" id="{3EB03838-675B-4BFD-8639-19787087D5DB}">
            <xm:f>Sheet1!$A$6</xm:f>
            <x14:dxf>
              <fill>
                <patternFill>
                  <bgColor rgb="FF00B0F0"/>
                </patternFill>
              </fill>
            </x14:dxf>
          </x14:cfRule>
          <x14:cfRule type="cellIs" priority="20" operator="equal" id="{AD44BBF8-449C-4207-9FAA-9F1D9EDDFBFA}">
            <xm:f>Sheet1!$A$5</xm:f>
            <x14:dxf>
              <fill>
                <patternFill>
                  <bgColor rgb="FFFF0000"/>
                </patternFill>
              </fill>
            </x14:dxf>
          </x14:cfRule>
          <x14:cfRule type="cellIs" priority="21" operator="equal" id="{89E3A675-A952-45D0-BDE3-BE3B85440B28}">
            <xm:f>Sheet1!$A$4</xm:f>
            <x14:dxf>
              <fill>
                <patternFill>
                  <bgColor rgb="FFFFFF00"/>
                </patternFill>
              </fill>
            </x14:dxf>
          </x14:cfRule>
          <x14:cfRule type="cellIs" priority="22" operator="equal" id="{2F467E4B-81BD-4E41-B4C3-4E19CB6F04D8}">
            <xm:f>Sheet1!$A$3</xm:f>
            <x14:dxf>
              <fill>
                <patternFill>
                  <bgColor theme="9" tint="0.59996337778862885"/>
                </patternFill>
              </fill>
            </x14:dxf>
          </x14:cfRule>
          <x14:cfRule type="cellIs" priority="23" operator="equal" id="{E5BF786A-86C2-48CC-AA39-6839C3EEDDB6}">
            <xm:f>Sheet1!$A$2</xm:f>
            <x14:dxf>
              <fill>
                <patternFill>
                  <bgColor theme="9" tint="0.39994506668294322"/>
                </patternFill>
              </fill>
            </x14:dxf>
          </x14:cfRule>
          <xm:sqref>K29</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63349FC6-0271-45C2-A85A-93EDFEA99842}">
          <x14:formula1>
            <xm:f>Sheet1!$E$2:$E$48</xm:f>
          </x14:formula1>
          <xm:sqref>E29:E32</xm:sqref>
        </x14:dataValidation>
        <x14:dataValidation type="list" allowBlank="1" showInputMessage="1" showErrorMessage="1" xr:uid="{B16B6EDA-AAEC-48C5-9FCD-8D2FF9B89115}">
          <x14:formula1>
            <xm:f>Sheet1!$A$2:$A$5</xm:f>
          </x14:formula1>
          <xm:sqref>L32</xm:sqref>
        </x14:dataValidation>
        <x14:dataValidation type="list" allowBlank="1" showInputMessage="1" showErrorMessage="1" xr:uid="{449D939A-7C62-444A-B2A4-1C83EE4E091D}">
          <x14:formula1>
            <xm:f>Sheet1!$E$2:$E$49</xm:f>
          </x14:formula1>
          <xm:sqref>E3:E28</xm:sqref>
        </x14:dataValidation>
        <x14:dataValidation type="list" allowBlank="1" xr:uid="{CE206DDD-D756-407C-B532-68BAEF2F23C0}">
          <x14:formula1>
            <xm:f>Sheet1!$B$2:$B$6</xm:f>
          </x14:formula1>
          <xm:sqref>B3:B28</xm:sqref>
        </x14:dataValidation>
        <x14:dataValidation type="list" allowBlank="1" showInputMessage="1" showErrorMessage="1" xr:uid="{AFA4B4FA-C644-4443-9E97-DD6D120EFACD}">
          <x14:formula1>
            <xm:f>Sheet1!$D$2:$D$281</xm:f>
          </x14:formula1>
          <xm:sqref>D3:D28</xm:sqref>
        </x14:dataValidation>
        <x14:dataValidation type="list" allowBlank="1" showInputMessage="1" showErrorMessage="1" xr:uid="{C12E3E95-256F-4AC2-A325-D543E4E043D6}">
          <x14:formula1>
            <xm:f>Sheet1!$A$2:$A$7</xm:f>
          </x14:formula1>
          <xm:sqref>K3:K32</xm:sqref>
        </x14:dataValidation>
        <x14:dataValidation type="list" allowBlank="1" showInputMessage="1" showErrorMessage="1" xr:uid="{B516936B-56C3-474B-9CE5-4826F776D992}">
          <x14:formula1>
            <xm:f>_xlfn.IFS(B3=Sheet1!$B$2,Sheet1!$C$2:$C$114,B3=Sheet1!$B$3,Sheet1!$C$115:$C$239, B3=Sheet1!$B$4,Sheet1!$C$240:$C$297,B3=Sheet1!$B$5,Sheet1!$C$298:$C$347,B3=Sheet1!$B$6,Sheet1!$C$2:$C$347)</xm:f>
          </x14:formula1>
          <xm:sqref>C3:C28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topLeftCell="A2"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4" sqref="E4"/>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risk</vt:lpstr>
      <vt:lpstr>attendance</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2023-04-22T23:58:32Z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