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9, Materials/"/>
    </mc:Choice>
  </mc:AlternateContent>
  <xr:revisionPtr revIDLastSave="532" documentId="8_{CEC0F764-BDEF-4D02-8794-E36C4784BFC8}" xr6:coauthVersionLast="47" xr6:coauthVersionMax="47" xr10:uidLastSave="{BC295099-15C7-4C51-A7F6-20F1895B5DCF}"/>
  <bookViews>
    <workbookView xWindow="-120" yWindow="-120" windowWidth="28110" windowHeight="16440" firstSheet="1" activeTab="2" xr2:uid="{5426C36E-AAE0-45E3-9C4C-2C971D0504DB}"/>
  </bookViews>
  <sheets>
    <sheet name="ISO 17065" sheetId="13" state="hidden" r:id="rId1"/>
    <sheet name="attendance" sheetId="18" r:id="rId2"/>
    <sheet name="risk" sheetId="17" r:id="rId3"/>
    <sheet name="Ken" sheetId="16" r:id="rId4"/>
    <sheet name="Definition " sheetId="11" r:id="rId5"/>
    <sheet name="Sheet1" sheetId="14" state="hidden" r:id="rId6"/>
  </sheets>
  <definedNames>
    <definedName name="_xlnm._FilterDatabase" localSheetId="0" hidden="1">'ISO 17065'!$A$2:$U$29</definedName>
    <definedName name="_xlnm._FilterDatabase" localSheetId="3" hidden="1">Ken!$Q$2:$Q$84</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7" l="1"/>
  <c r="C4"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tc={742227DC-AC5C-4B3D-8548-C73E5BD40635}</author>
    <author>tc={DD18A5A6-7871-4B78-87E3-8FD6FB985854}</author>
    <author>tc={2688ABCC-6267-479C-AA36-F80E1EABEA06}</author>
    <author>tc={C486C491-4BF2-489E-AC66-9B7E67C47F33}</author>
    <author>tc={FCC33BAD-AAD3-4F1C-B2A4-79D86FE80793}</author>
    <author>tc={47D17868-2873-471C-BFAD-3835BB2C0C23}</author>
    <author>tc={E0A74BE6-F0B6-4421-854F-A8BE7E162C39}</author>
  </authors>
  <commentList>
    <comment ref="Q28" authorId="0" shapeId="0" xr:uid="{742227DC-AC5C-4B3D-8548-C73E5BD4063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D18A5A6-7871-4B78-87E3-8FD6FB98585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2688ABCC-6267-479C-AA36-F80E1EABEA0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486C491-4BF2-489E-AC66-9B7E67C47F3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FCC33BAD-AAD3-4F1C-B2A4-79D86FE8079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47D17868-2873-471C-BFAD-3835BB2C0C2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E0A74BE6-F0B6-4421-854F-A8BE7E162C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<sst xmlns="http://schemas.openxmlformats.org/spreadsheetml/2006/main" count="1298" uniqueCount="955">
  <si>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</si>
  <si>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</si>
  <si>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</si>
  <si>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</si>
  <si>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</si>
  <si>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</si>
  <si>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</si>
  <si>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</si>
  <si>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</si>
  <si>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</si>
  <si>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</si>
  <si>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</si>
  <si>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</si>
  <si>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</si>
  <si>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</si>
  <si>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</si>
  <si>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</si>
  <si>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</si>
  <si>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</si>
  <si>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</si>
  <si>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</si>
  <si>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</si>
  <si>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</si>
  <si>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</si>
  <si>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</si>
  <si>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</si>
  <si>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</si>
  <si>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</si>
  <si>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</si>
  <si>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</si>
  <si>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</si>
  <si>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</si>
  <si>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</si>
  <si>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</si>
  <si>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</si>
  <si>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</si>
  <si>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</si>
  <si>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</si>
  <si>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</si>
  <si>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</si>
  <si>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</si>
  <si>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</si>
  <si>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</si>
  <si>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</si>
  <si>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</si>
  <si>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</si>
  <si>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</si>
  <si>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</si>
  <si>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</si>
  <si>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</si>
  <si>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</si>
  <si>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</si>
  <si>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</si>
  <si>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</si>
  <si>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</si>
  <si>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</si>
  <si>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</si>
  <si>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</si>
  <si>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</si>
  <si>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</si>
  <si>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</si>
  <si>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</si>
  <si>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</si>
  <si>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</si>
  <si>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</si>
  <si>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</si>
  <si>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</si>
  <si>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</si>
  <si>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</si>
  <si>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</si>
  <si>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</si>
  <si>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</si>
  <si>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</si>
  <si>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</si>
  <si>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</si>
  <si>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</si>
  <si>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</si>
  <si>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</si>
  <si>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</si>
  <si>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</si>
  <si>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</si>
  <si>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</si>
  <si>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</si>
  <si>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</si>
  <si>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</si>
  <si>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</si>
  <si>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</si>
  <si>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</si>
  <si>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</si>
  <si>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</si>
  <si>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</si>
  <si>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</si>
  <si>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</si>
  <si>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</si>
  <si>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</si>
  <si>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</si>
  <si>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</si>
  <si>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</si>
  <si>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</si>
  <si>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</si>
  <si>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</si>
  <si>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</si>
  <si>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</si>
  <si>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</si>
  <si>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</si>
  <si>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</si>
  <si>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</si>
  <si>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</si>
  <si>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</si>
  <si>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</si>
  <si>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</si>
  <si>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</si>
  <si>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</si>
  <si>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</si>
  <si>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</si>
  <si>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</si>
  <si>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</si>
  <si>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</si>
  <si>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</si>
  <si>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</si>
  <si>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</si>
  <si>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</si>
  <si>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</si>
  <si>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</si>
  <si>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</si>
  <si>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</si>
  <si>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</si>
  <si>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</si>
  <si>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</si>
  <si>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</si>
  <si>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</si>
  <si>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</si>
  <si>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</si>
  <si>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</si>
  <si>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</si>
  <si>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</si>
  <si>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</si>
  <si>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</si>
  <si>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</si>
  <si>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</si>
  <si>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</si>
  <si>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</si>
  <si>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</si>
  <si>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</si>
  <si>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</si>
  <si>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</si>
  <si>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</si>
  <si>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</si>
  <si>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</si>
  <si>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</si>
  <si>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</si>
  <si>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</si>
  <si>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</si>
  <si>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</si>
  <si>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</si>
  <si>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</si>
  <si>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</si>
  <si>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</si>
  <si>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</si>
  <si>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</si>
  <si>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</si>
  <si>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</si>
  <si>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</si>
  <si>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</si>
  <si>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</si>
  <si>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</si>
  <si>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</si>
  <si>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</si>
  <si>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</si>
  <si>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</si>
  <si>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</si>
  <si>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</si>
  <si>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</si>
  <si>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</si>
  <si>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</si>
  <si>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</si>
  <si>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</si>
  <si>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</si>
  <si>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</si>
  <si>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</si>
  <si>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</si>
  <si>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</si>
  <si>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</si>
  <si>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</si>
  <si>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</si>
  <si>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</si>
  <si>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</si>
  <si>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</si>
  <si>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</si>
  <si>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</si>
  <si>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</si>
  <si>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</si>
  <si>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</si>
  <si>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</si>
  <si>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</si>
  <si>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</si>
  <si>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</si>
  <si>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</si>
  <si>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</si>
  <si>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</si>
  <si>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</si>
  <si>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</si>
  <si>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</si>
  <si>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</si>
  <si>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</si>
  <si>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</si>
  <si>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</si>
  <si>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</si>
  <si>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</si>
  <si>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</si>
  <si>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</si>
  <si>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</si>
  <si>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</si>
  <si>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</si>
  <si>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</si>
  <si>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</si>
  <si>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</si>
  <si>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</si>
  <si>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</si>
  <si>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</si>
  <si>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</si>
  <si>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</si>
  <si>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</si>
  <si>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</si>
  <si>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</si>
  <si>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</si>
  <si>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</si>
  <si>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</si>
  <si>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</si>
  <si>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</si>
  <si>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</si>
  <si>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</si>
  <si>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</si>
  <si>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</si>
  <si>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</si>
  <si>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</si>
  <si>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</si>
  <si>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</si>
  <si>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</si>
  <si>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</si>
  <si>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</si>
  <si>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</si>
  <si>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</si>
  <si>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</si>
  <si>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</si>
  <si>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</si>
  <si>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</si>
  <si>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</si>
  <si>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</si>
  <si>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</si>
  <si>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</si>
  <si>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</si>
  <si>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</si>
  <si>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</si>
  <si>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</si>
  <si>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</si>
  <si>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</si>
  <si>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</si>
  <si>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</si>
  <si>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</si>
  <si>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</si>
  <si>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</si>
  <si>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</si>
  <si>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</si>
  <si>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</si>
  <si>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</si>
  <si>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</si>
  <si>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</si>
  <si>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</si>
  <si>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</si>
  <si>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</si>
  <si>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</si>
  <si>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</si>
  <si>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</si>
  <si>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</si>
  <si>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</si>
  <si>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</si>
  <si>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</si>
  <si>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</si>
  <si>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</si>
  <si>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</si>
  <si>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</si>
  <si>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</si>
  <si>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</si>
  <si>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</si>
  <si>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</si>
  <si>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</si>
  <si>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</si>
  <si>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</si>
  <si>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</si>
  <si>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</si>
  <si>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</si>
  <si>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</si>
  <si>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</si>
  <si>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</si>
  <si>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</si>
  <si>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</si>
  <si>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</si>
  <si>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</si>
  <si>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</si>
  <si>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</si>
  <si>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</si>
  <si>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</si>
  <si>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</si>
  <si>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</si>
  <si>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</si>
  <si>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</si>
  <si>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</si>
  <si>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</si>
  <si>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</si>
  <si>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</si>
  <si>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</si>
  <si>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</si>
  <si>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</si>
  <si>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</si>
  <si>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</si>
  <si>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</si>
  <si>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</si>
  <si>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</si>
  <si>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</si>
  <si>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</si>
  <si>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</si>
  <si>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</si>
  <si>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</si>
  <si>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</si>
  <si>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</si>
  <si>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</si>
  <si>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</si>
  <si>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</si>
  <si>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</si>
  <si>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</si>
  <si>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</si>
  <si>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</si>
  <si>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</si>
  <si>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</si>
  <si>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</si>
  <si>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</si>
  <si>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</si>
  <si>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</si>
  <si>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</si>
  <si>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</si>
  <si>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</si>
  <si>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</si>
  <si>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</si>
  <si>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</si>
  <si>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</si>
  <si>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</si>
  <si>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</si>
  <si>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</si>
  <si>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</si>
  <si>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</si>
  <si>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</si>
  <si>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</si>
  <si>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</si>
  <si>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</si>
  <si>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</si>
  <si>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</si>
  <si>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</si>
  <si>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</si>
  <si>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</si>
  <si>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</si>
  <si>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</si>
  <si>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</si>
  <si>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</si>
  <si>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</si>
  <si>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</si>
  <si>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</si>
  <si>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</si>
  <si>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</si>
  <si>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</si>
  <si>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</si>
  <si>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</si>
  <si>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</si>
  <si>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</si>
  <si>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</si>
  <si>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</si>
  <si>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</si>
  <si>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</si>
  <si>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</si>
  <si>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</si>
  <si>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</si>
  <si>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</si>
  <si>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</si>
  <si>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</si>
  <si>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</si>
  <si>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</si>
  <si>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</si>
  <si>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</si>
  <si>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</si>
  <si>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</si>
  <si>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</si>
  <si>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</si>
  <si>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</si>
  <si>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</si>
  <si>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</si>
  <si>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</si>
  <si>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</si>
  <si>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</si>
  <si>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</si>
  <si>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</si>
  <si>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</si>
  <si>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</si>
  <si>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</si>
  <si>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</si>
  <si>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</si>
  <si>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</si>
  <si>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</si>
  <si>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</si>
  <si>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</si>
  <si>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</si>
  <si>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</si>
  <si>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</si>
  <si>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</si>
  <si>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</si>
  <si>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</si>
  <si>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</si>
  <si>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</si>
  <si>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</si>
  <si>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</si>
  <si>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</si>
  <si>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</si>
  <si>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</si>
  <si>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</si>
  <si>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</si>
  <si>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</si>
  <si>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</si>
  <si>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</si>
  <si>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</si>
  <si>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</si>
  <si>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</si>
  <si>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</si>
  <si>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</si>
  <si>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</si>
  <si>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</si>
  <si>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</si>
  <si>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</si>
  <si>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</si>
  <si>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</si>
  <si>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</si>
  <si>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</si>
  <si>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</si>
  <si>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</si>
  <si>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</si>
  <si>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</si>
  <si>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</si>
  <si>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</si>
  <si>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</si>
  <si>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</si>
  <si>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</si>
  <si>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</si>
  <si>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</si>
  <si>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</si>
  <si>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</si>
  <si>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</si>
  <si>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</si>
  <si>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</si>
  <si>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</si>
  <si>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</si>
  <si>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</si>
  <si>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</si>
  <si>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</si>
  <si>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</si>
  <si>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</si>
  <si>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</si>
  <si>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</si>
  <si>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</si>
  <si>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</si>
  <si>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</si>
  <si>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</si>
  <si>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</si>
  <si>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</si>
  <si>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</si>
  <si>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</si>
  <si>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</si>
  <si>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</si>
  <si>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</si>
  <si>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</si>
  <si>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</si>
  <si>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</si>
  <si>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</si>
  <si>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</si>
  <si>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</si>
  <si>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</si>
  <si>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</si>
  <si>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</si>
  <si>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</si>
  <si>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</si>
  <si>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</si>
  <si>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</si>
  <si>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</si>
  <si>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</si>
  <si>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</si>
  <si>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</si>
  <si>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</si>
  <si>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</si>
  <si>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</si>
  <si>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</si>
  <si>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</si>
  <si>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</si>
  <si>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</si>
  <si>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</si>
  <si>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</si>
  <si>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</si>
  <si>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</si>
  <si>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</si>
  <si>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</si>
  <si>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</si>
  <si>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</si>
  <si>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</si>
  <si>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</si>
  <si>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</si>
  <si>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</si>
  <si>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</si>
  <si>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</si>
  <si>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</si>
  <si>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</si>
  <si>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</si>
  <si>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</si>
  <si>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</si>
  <si>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</si>
  <si>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</si>
  <si>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</si>
  <si>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</si>
  <si>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</si>
  <si>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</si>
  <si>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</si>
  <si>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</si>
  <si>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</si>
  <si>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</si>
  <si>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</si>
  <si>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</si>
  <si>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</si>
  <si>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</si>
  <si>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</si>
  <si>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</si>
  <si>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</si>
  <si>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</si>
  <si>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</si>
  <si>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</si>
  <si>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</si>
  <si>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</si>
  <si>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</si>
  <si>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</si>
  <si>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</si>
  <si>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</si>
  <si>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</si>
  <si>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</si>
  <si>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</si>
  <si>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</si>
  <si>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</si>
  <si>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</si>
  <si>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</si>
  <si>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</si>
  <si>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</si>
  <si>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</si>
  <si>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</si>
  <si>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</si>
  <si>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</si>
  <si>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</si>
  <si>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</si>
  <si>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</si>
  <si>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</si>
  <si>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</si>
  <si>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</si>
  <si>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</si>
  <si>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</si>
  <si>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</si>
  <si>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</si>
  <si>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</si>
  <si>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</si>
  <si>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</si>
  <si>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</si>
  <si>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</si>
  <si>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</si>
  <si>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</si>
  <si>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</si>
  <si>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</si>
  <si>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</si>
  <si>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</si>
  <si>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</si>
  <si>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</si>
  <si>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</si>
  <si>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</si>
  <si>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</si>
  <si>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</si>
  <si>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</si>
  <si>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</si>
  <si>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</si>
  <si>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</si>
  <si>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</si>
  <si>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</si>
  <si>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</si>
  <si>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</si>
  <si>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</si>
  <si>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</si>
  <si>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</si>
  <si>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</si>
  <si>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</si>
  <si>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</si>
  <si>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</si>
  <si>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</si>
  <si>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</si>
  <si>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</si>
  <si>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</si>
  <si>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</si>
  <si>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</si>
  <si>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</si>
  <si>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</si>
  <si>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</si>
  <si>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</si>
  <si>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</si>
  <si>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</si>
  <si>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</si>
  <si>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</si>
  <si>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</si>
  <si>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</si>
  <si>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</si>
  <si>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</si>
  <si>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</si>
  <si>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</si>
  <si>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</si>
  <si>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</si>
  <si>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</si>
  <si>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</si>
  <si>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</si>
  <si>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</si>
  <si>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</si>
  <si>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</si>
  <si>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</si>
  <si>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</si>
  <si>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</si>
  <si>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</si>
  <si>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</si>
  <si>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</si>
  <si>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</si>
  <si>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</si>
  <si>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</si>
  <si>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</si>
  <si>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</si>
  <si>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</si>
  <si>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</si>
  <si>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</si>
  <si>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</si>
  <si>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</si>
  <si>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</si>
  <si>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</si>
  <si>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</si>
  <si>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</si>
  <si>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</si>
  <si>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</si>
  <si>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</si>
  <si>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</si>
  <si>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</si>
  <si>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</si>
  <si>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</si>
  <si>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</si>
  <si>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</si>
  <si>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</si>
  <si>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</si>
  <si>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</si>
  <si>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</si>
  <si>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</si>
  <si>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</si>
  <si>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</si>
  <si>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</si>
  <si>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</si>
  <si>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</si>
  <si>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</si>
  <si>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</si>
  <si>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</si>
  <si>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</si>
  <si>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</si>
  <si>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</si>
  <si>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</si>
  <si>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</si>
  <si>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</si>
  <si>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</si>
  <si>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</si>
  <si>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</si>
  <si>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</si>
  <si>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</si>
  <si>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</si>
  <si>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</si>
  <si>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</si>
  <si>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</si>
  <si>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</si>
  <si>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</si>
  <si>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</si>
  <si>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</si>
  <si>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</si>
  <si>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</si>
  <si>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</si>
  <si>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</si>
  <si>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</si>
  <si>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</si>
  <si>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</si>
  <si>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</si>
  <si>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</si>
  <si>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</si>
  <si>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</si>
  <si>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</si>
  <si>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</si>
  <si>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</si>
  <si>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</si>
  <si>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</si>
  <si>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</si>
  <si>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</si>
  <si>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</si>
  <si>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</si>
  <si>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</si>
  <si>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</si>
  <si>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</si>
  <si>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</si>
  <si>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</si>
  <si>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</si>
  <si>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</si>
  <si>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</si>
  <si>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</si>
  <si>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</si>
  <si>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</si>
  <si>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</si>
  <si>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</si>
  <si>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</si>
  <si>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</si>
  <si>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</si>
  <si>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</si>
  <si>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</si>
  <si>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</si>
  <si>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</si>
  <si>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</si>
  <si>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</si>
  <si>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</si>
  <si>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</si>
  <si>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</si>
  <si>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</si>
  <si>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</si>
  <si>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</si>
  <si>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</si>
  <si>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</si>
  <si>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</si>
  <si>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</si>
  <si>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</si>
  <si>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</si>
  <si>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</si>
  <si>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</si>
  <si>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</si>
  <si>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</si>
  <si>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</si>
  <si>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</si>
  <si>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</si>
  <si>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</si>
  <si>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</si>
  <si>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</si>
  <si>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</si>
  <si>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</si>
  <si>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</si>
  <si>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</si>
  <si>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</si>
  <si>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</si>
  <si>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</si>
  <si>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</si>
  <si>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</si>
  <si>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</si>
  <si>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</si>
  <si>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</si>
  <si>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</si>
  <si>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</si>
  <si>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</si>
  <si>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</si>
  <si>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</si>
  <si>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</si>
  <si>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</si>
  <si>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</si>
  <si>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</si>
  <si>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</si>
  <si>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</si>
  <si>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</si>
  <si>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</si>
  <si>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</si>
  <si>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</si>
  <si>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</si>
  <si>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</si>
  <si>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</si>
  <si>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</si>
  <si>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</si>
  <si>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</si>
  <si>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</si>
  <si>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</si>
  <si>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</si>
  <si>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</si>
  <si>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</si>
  <si>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</si>
  <si>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</si>
  <si>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</si>
  <si>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</si>
  <si>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</si>
  <si>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</si>
  <si>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</si>
  <si>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</si>
  <si>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</si>
  <si>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</si>
  <si>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</si>
  <si>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</si>
  <si>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</si>
  <si>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</si>
  <si>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</si>
  <si>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</si>
  <si>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</si>
  <si>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</si>
  <si>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</si>
  <si>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</si>
  <si>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</si>
  <si>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</si>
  <si>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</si>
  <si>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</si>
  <si>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</si>
  <si>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</si>
  <si>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</si>
  <si>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</si>
  <si>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</si>
  <si>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</si>
  <si>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</si>
  <si>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</si>
  <si>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</si>
  <si>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</si>
  <si>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</si>
  <si>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</si>
  <si>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</si>
  <si>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</si>
  <si>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</si>
  <si>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</si>
  <si>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</si>
  <si>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</si>
  <si>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</si>
  <si>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</si>
  <si>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</si>
  <si>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</si>
  <si>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</si>
  <si>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</si>
  <si>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</si>
  <si>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</si>
  <si>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</si>
  <si>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</si>
  <si>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US Safety Scheme, Canada Safety Scheme</t>
  </si>
  <si>
    <t>Test equipment, software and consumable had appropriate identifications, and associated tags.</t>
  </si>
  <si>
    <t xml:space="preserve">
Systems used are backed up by IT.
See test demonstrations below for additional details. 
Staff are accountable for keeping accurate and complete records of their activities</t>
  </si>
  <si>
    <t>Audit # 2023-99</t>
  </si>
  <si>
    <t>Auditor Name: Ken Berger</t>
  </si>
  <si>
    <t>00-QA-J0860 1.0</t>
  </si>
  <si>
    <t xml:space="preserve">Post Audit Risk Assessment for Audit Resource Arrangement  </t>
  </si>
  <si>
    <t>Date</t>
  </si>
  <si>
    <t>Conducted by:</t>
  </si>
  <si>
    <t>Ken Berger</t>
  </si>
  <si>
    <t>Audit Year</t>
  </si>
  <si>
    <t xml:space="preserve">Organization being audited </t>
  </si>
  <si>
    <t>Risk Level</t>
  </si>
  <si>
    <t>Volume of work</t>
  </si>
  <si>
    <t>Previous Internal Audit Results</t>
  </si>
  <si>
    <t>Staff Changes</t>
  </si>
  <si>
    <t>Additional Monitoring Mechanism</t>
  </si>
  <si>
    <t>Management Review</t>
  </si>
  <si>
    <t>External Audit Results</t>
  </si>
  <si>
    <t>Product Incident Report</t>
  </si>
  <si>
    <t>Risk Score</t>
  </si>
  <si>
    <t>Low</t>
  </si>
  <si>
    <t>High</t>
  </si>
  <si>
    <t>Medium</t>
  </si>
  <si>
    <t>Location:</t>
  </si>
  <si>
    <t>EPT NBK Lab</t>
  </si>
  <si>
    <t>Opening date:</t>
  </si>
  <si>
    <t>Closing date:</t>
  </si>
  <si>
    <t>Name</t>
  </si>
  <si>
    <t>Title/role</t>
  </si>
  <si>
    <t>Opening</t>
  </si>
  <si>
    <t xml:space="preserve">Closing </t>
  </si>
  <si>
    <t>x</t>
  </si>
  <si>
    <t>Auditor, Lead</t>
  </si>
  <si>
    <t>Jay Kogoma</t>
  </si>
  <si>
    <t>Auditor</t>
  </si>
  <si>
    <t>Chris Bednar</t>
  </si>
  <si>
    <t>Lab Quality Manager</t>
  </si>
  <si>
    <t>Lab Manager</t>
  </si>
  <si>
    <t>Lab Ldr</t>
  </si>
  <si>
    <t>To be audited in Global Audit Programs &amp; Corrective and Preventive Action audit, 2023-61-IQA</t>
  </si>
  <si>
    <t>CAR 223924630 (from the 2022 audit) verified effective Jul, 2022</t>
  </si>
  <si>
    <t>Tom Springer</t>
  </si>
  <si>
    <t>Pete Quintas</t>
  </si>
  <si>
    <t>n/a</t>
  </si>
  <si>
    <t>Stephen Bartelt</t>
  </si>
  <si>
    <t>Senior Engineering Technician</t>
  </si>
  <si>
    <t>see projects in method selection below</t>
  </si>
  <si>
    <t xml:space="preserve">To be fully audited under NBK lab support audit, 2023-97-IQA, only discussed during witness </t>
  </si>
  <si>
    <t>see records above &amp; below</t>
  </si>
  <si>
    <t>Peter Q - 42777</t>
  </si>
  <si>
    <t>Checked with various Techs for understanding of process.
Checked from a lab supervisory standpoint with Pete &amp; Tom.</t>
  </si>
  <si>
    <t xml:space="preserve">MS Teams - 909 - Lab Weekly management meetings. 
Saw Log of nonconforming work spreadsheet.  Corrosion &amp; weathering had none since Pete - saw 4/2022 entry by prior Lead (Jason Tito).
</t>
  </si>
  <si>
    <t xml:space="preserve">MS Teams - 909 - Lab Weekly management meetings. 
Saw Log of nonconforming work spreadsheet.  Corrosion &amp; weathering had none since Pete Q became lead.  saw 4/2022 entry by prior Lead (Jason Tito).
</t>
  </si>
  <si>
    <t>Chris B. explained previously the process related to laboratory complaints from a shared lab support standpoint.
Corrosion &amp; weathering had none since Pete Q became lead</t>
  </si>
  <si>
    <t xml:space="preserve">ECM, UL Standards, IHS, ULDC, etc. seen above/below
</t>
  </si>
  <si>
    <t xml:space="preserve">
CAR's 223924630 from 2022 audit verified 2022-07-07
</t>
  </si>
  <si>
    <t xml:space="preserve">See method selection below for additional details
Systems used are backed up by IT.
Datasheets come from Engineering or FUS admins through Epublisher or ECM and located in ECM.
Standards depository: UL Standards and IHS.
SOP's, Work Instruction and LPG's from ULDC.
Trello used for workflow management in the laboratory.
</t>
  </si>
  <si>
    <t>Facilities reviewed as part of ongoing test demonstration and lab tour.
Laboratory always captures environmental conditions, the environmental conditions are also captured in the datasheets as per requirements.  Access to labs controlled via badging.</t>
  </si>
  <si>
    <t>see staff in method selection below</t>
  </si>
  <si>
    <t>NBK Shared Lab Services 2023 Technical audit plan.
4/28/22 Peer Technical Audit for Marc S (Corrossion).  Saw Eric H &amp; Scott T.</t>
  </si>
  <si>
    <t>Joe Tito</t>
  </si>
  <si>
    <t>ULID-014435,  Issue: 2.0; Policy-ULID-009203, Issue 3.0; ULID-000907, issue 2.0; ULID-000866, issue 2.0</t>
  </si>
  <si>
    <t>ULID-014435,  Issue: 2.0; Policy-ULID-009203, Issue 3.0, ULID-000207, Issue #: 3.0
RECORD OF AGREEMENTS…</t>
  </si>
  <si>
    <t>not audited</t>
  </si>
  <si>
    <t>ULID-000687 (DCS:00-LO-S0855), Issue #: 19.0
LABORATORY PERSONNEL REQUIREMENTS, 
Form-ULID-000611 (DCS:00-LO-F0861)
Issue #:  3.0, Monitoring</t>
  </si>
  <si>
    <t>Tom's manager changing and BE lab staff moving to the integrated.  
 some staff and team realignment to the level out the number of reports in the lab.  the lab leads as well as accommodate the move of Jason Tito to report to Artie Mastromarino</t>
  </si>
  <si>
    <t>Peter Q, Tom S</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</si>
  <si>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</si>
  <si>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</si>
  <si>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Policy-ULID-000488 (DCS:00-LC-P0026), Issue #: 10.2, POLICY FOR THE USE OF CALIBRATION VENDORS.  
</t>
  </si>
  <si>
    <t>ULID-009203, Issue #: 3.0
UL ENTERPRISE TESTING AND CALIBRATION LABORATORY COMPLIANCE POLICY (ISO/IEC 17025:2017) 'New'.  
See also ULID-014435, ULID-004119.</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</si>
  <si>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</si>
  <si>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</si>
  <si>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ULID-000689(DCS: 00-LO-S0862), Issue #: 2.0
ENSURING THE VALIDITY OF RESULTS
ULID-007964 (DCS:80-LC-S0026), Issue #:  4.0
US LABORATORY INTERNAL TECHNICAL AUDITS
ULID-000490 (DCS:00-LC-P0029), Issue #: 14.0
PROFICIENCY TESTING POLICY</t>
  </si>
  <si>
    <t>Standard Operation Procedures-ULID-000093, Issue #:  1.0
LABORATORY CONTROL OF NONCONFORMING TESTING, 
ULID-000856 (DCS:00-OP-F0404), Issue #: 9.0
TRACEBACK PROCESS &amp; FORM</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</si>
  <si>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</si>
  <si>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</si>
  <si>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</si>
  <si>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ULID-001015 (DCS:00-QA-S0006), Issue #: 29.2
CORRECTIVE ACTION REQUEST PROCESS</t>
  </si>
  <si>
    <t>all staff above &amp; below</t>
  </si>
  <si>
    <t>Peter Q &amp; Tom S</t>
  </si>
  <si>
    <t>see equipment in method selection below</t>
  </si>
  <si>
    <t>see consumables in method selection below</t>
  </si>
  <si>
    <r>
      <rPr>
        <b/>
        <sz val="11"/>
        <rFont val="Calibri"/>
        <family val="2"/>
        <scheme val="minor"/>
      </rPr>
      <t xml:space="preserve">Damaged Equipment: </t>
    </r>
    <r>
      <rPr>
        <sz val="11"/>
        <rFont val="Calibri"/>
        <family val="2"/>
        <scheme val="minor"/>
      </rPr>
      <t xml:space="preserve">Review the process and handling of damaged equipment.
</t>
    </r>
    <r>
      <rPr>
        <b/>
        <sz val="11"/>
        <rFont val="Calibri"/>
        <family val="2"/>
        <scheme val="minor"/>
      </rPr>
      <t>Test demo equipment:</t>
    </r>
    <r>
      <rPr>
        <sz val="11"/>
        <rFont val="Calibri"/>
        <family val="2"/>
        <scheme val="minor"/>
      </rPr>
      <t xml:space="preserve"> Test equipment,  and consumables had appropriate identifications, and associated calibration sticker with proper cal due dates.</t>
    </r>
  </si>
  <si>
    <t>Reviewed TCD, Qualification Records , and Competency monitoring.
Reviewed eight (5) Qualification records,  Competency monitoring and technical competency each for the staff indicated.  Saw lab in Sharepoint site</t>
  </si>
  <si>
    <t>discussed project assignments</t>
  </si>
  <si>
    <t>See test demonstrations below for samples.</t>
  </si>
  <si>
    <t xml:space="preserve">Competency monitoring forms 3/27/23 &amp; 1/27/22 for Steve B 15082, Marc S (14185), Joe K (08352).  Also L1 Training Plan/Record 00-LO-F0582.  Hydro/Hose - Eric H (xx) L1 form (1/19/23) &amp; monitoring, TEST, saw Jan, 2022 &amp; May, 2022 Peer Audit.  Scott T(52063) L1 form (1/23),  OJT 7/19/21), ongoing competency 1/19/23. </t>
  </si>
  <si>
    <t>Eric H (19528)</t>
  </si>
  <si>
    <t>FUS 1001873422</t>
  </si>
  <si>
    <t>2023-99-03</t>
  </si>
  <si>
    <t>Scott (52063)</t>
  </si>
  <si>
    <t>Hydro lab.  
Equip:  Togque, 84812 (due 2/24), TC, 135474 (4/24), Transducer 180072 (11/23), chambers (no exp), on-shelf ready 134560 (11/24), datalogger 25452 (4/23).
CC: Oxygen 1506773
Datasheet: ULS-00252-YKFT-Ds-2003
SDS for Oxygen
Sample : 57510114 (saw on labware)</t>
  </si>
  <si>
    <t>Fus 1001825813</t>
  </si>
  <si>
    <t>Hose &amp; pipe lab.  
Equip:  Die 82645 (due 9/23), Temp 209589 (4/23), Scale 82733 (3/23), hook 159998, Timer 199123 (7/26), Time SW 167052, rev 4.
CC: IRM903 (5823348 ~ ASTM Oil 3), distilled water 1176020, alohol 5454472,
Datasheet: ULS-0021-MWVR-DS-2001, rev 2021-1-27
Sample:  5750114</t>
  </si>
  <si>
    <t>See test demonstrations below for additional details.
Sample were found to be with appropriate presonnel and were also entered in labware.
Also saw sample area near hose &amp; pipe lab</t>
  </si>
  <si>
    <t>UL 21, 11th Ed, App Vol 1, C, 2018-05-26, ASTM D471-16a (Reapp 2021) - Volume change/ swelling test</t>
  </si>
  <si>
    <t>Appx A, Vol 2, 1978-08-15, hydrostatic pressure/pull test/accelerated aging</t>
  </si>
  <si>
    <t xml:space="preserve">Steve (15082, workflow coord), Pete Q (42777), </t>
  </si>
  <si>
    <t>4790748407, 4790729713</t>
  </si>
  <si>
    <t>Corrosion lab.  
Equip:  PH meter, 49110 (verify before use), Temp 36973, (9/30), Hydro 179590, Chamber 66935 (PM due 5/23), SW 157089 (5%).
CC: x5% daily log, Salt 5774213, 7.0 Buffer 5420429 (5/24),  LWD order 185120
Datasheet: ULID-010488 (rev 2022), ULiD-017938 (rev 2021)
Sample: 5805278, 5792847&amp;8</t>
  </si>
  <si>
    <t>Joe (08352)</t>
  </si>
  <si>
    <t>IEEE C57.12-28-2005, ASTM 4587-11 (reapproved 2019), AST G154-23, Scab test</t>
  </si>
  <si>
    <t>UL 50E, 3rd, 2020, Salt Spray test (200 hr, 5%)</t>
  </si>
  <si>
    <t>Marc (14185)</t>
  </si>
  <si>
    <t>UL 1316, 3rd, 11/18, Immersion</t>
  </si>
  <si>
    <t>UV lab.  
Equip:  Xenon Chamber 71034 (PM due 5/23 incl. calibration, check time &amp; Temp), Chamber 191333 (5/23), scibe 127801, 200743 (9/25), UV radiometer 112015 (3/24), xenon lamp 230941, 2023-02-13 (due 2023, saw cert 100 0028 269)
CC: deionized water recommended.   CC:  FS40 bulbs, water, UV13-313 high energy PN 12575900
Datasheet: ETBD-202300-SAB-DS
Sample: 5604280</t>
  </si>
  <si>
    <t>FLEL Weathering.  Equip. - see email,  Temp 84119 (12/23 ) , Scale 50601 (4/23).  CC Solution (see email), Fuel Prep guide (032107), sent to Joe Allen to verify during audit - see email from Peter Q.
DS:  ULS-1316-EGHZ-DS-2002 (rev 2013)
Sample: 5114308..  Saw Environ Log</t>
  </si>
  <si>
    <t>Audit Date Range: 04/6-7/2023 (4/5-7/2023)</t>
  </si>
  <si>
    <t>Accreditation/ Regulation Status</t>
  </si>
  <si>
    <t>NBK Materials 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</si>
</sst>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8"/>
      <color theme="1"/>
      <name val="Calibri"/>
      <family val="2"/>
      <scheme val="minor"/>
    </font>
    <font>
      <b/>
      <sz val="11"/>
      <color theme="0"/>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7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vertical="center" wrapText="1"/>
    </xf>
    <xf numFmtId="0" fontId="7" fillId="2" borderId="1" xfId="0" applyFont="1" applyFill="1" applyBorder="1" applyAlignment="1">
      <alignment vertical="center" wrapText="1"/>
    </xf>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0" fillId="2" borderId="1" xfId="0" applyFill="1" applyBorder="1" applyAlignment="1">
      <alignment vertical="center"/>
    </xf>
    <xf numFmtId="0" fontId="0" fillId="2" borderId="1" xfId="0" applyFill="1" applyBorder="1" applyAlignment="1">
      <alignment horizontal="center" vertical="center"/>
    </xf>
    <xf numFmtId="0" fontId="6" fillId="0" borderId="0" xfId="0" applyFont="1"/>
    <xf numFmtId="0" fontId="11" fillId="0" borderId="0" xfId="0" applyFont="1"/>
    <xf numFmtId="14" fontId="0" fillId="0" borderId="0" xfId="0" applyNumberFormat="1"/>
    <xf numFmtId="0" fontId="0" fillId="0" borderId="0" xfId="0" applyAlignment="1">
      <alignment horizontal="center"/>
    </xf>
    <xf numFmtId="15" fontId="0" fillId="0" borderId="0" xfId="0" applyNumberFormat="1" applyAlignment="1">
      <alignment horizontal="center"/>
    </xf>
    <xf numFmtId="0" fontId="7" fillId="2" borderId="1" xfId="0" applyFont="1" applyFill="1" applyBorder="1" applyAlignment="1">
      <alignment wrapText="1"/>
    </xf>
    <xf numFmtId="0" fontId="7" fillId="2" borderId="1" xfId="0" applyFont="1" applyFill="1" applyBorder="1" applyAlignment="1">
      <alignment horizontal="center" wrapText="1"/>
    </xf>
    <xf numFmtId="0" fontId="12" fillId="0" borderId="0" xfId="0" applyFont="1" applyAlignment="1">
      <alignment horizontal="left"/>
    </xf>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6" fillId="20" borderId="3" xfId="0" applyFont="1" applyFill="1" applyBorder="1"/>
    <xf numFmtId="0" fontId="0" fillId="20" borderId="4" xfId="0" applyFill="1" applyBorder="1"/>
  </cellXfs>
  <cellStyles count="1">
    <cellStyle name="Normal" xfId="0" builtinId="0"/>
  </cellStyles>
  <dxfs count="145">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2</xdr:col>
      <xdr:colOff>685800</xdr:colOff>
      <xdr:row>14</xdr:row>
      <xdr:rowOff>124240</xdr:rowOff>
    </xdr:from>
    <xdr:to>
      <xdr:col>8</xdr:col>
      <xdr:colOff>5301</xdr:colOff>
      <xdr:row>33</xdr:row>
      <xdr:rowOff>91109</xdr:rowOff>
    </xdr:to>
    <xdr:sp macro="" textlink="">
      <xdr:nvSpPr>
        <xdr:cNvPr id="2" name="TextBox 1">
          <a:extLst>
            <a:ext uri="{FF2B5EF4-FFF2-40B4-BE49-F238E27FC236}">
              <a16:creationId xmlns:a16="http://schemas.microsoft.com/office/drawing/2014/main" id="{3FB7CEF6-1C54-4C10-92EF-56E713CD6734}"/>
            </a:ext>
          </a:extLst>
        </xdr:cNvPr>
        <xdr:cNvSpPr txBox="1"/>
      </xdr:nvSpPr>
      <xdr:spPr>
        <a:xfrm>
          <a:off x="3592996" y="2791240"/>
          <a:ext cx="3377979" cy="3586369"/>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5 - </a:t>
          </a:r>
          <a:r>
            <a:rPr lang="en-US" sz="1100" b="0">
              <a:solidFill>
                <a:schemeClr val="dk1"/>
              </a:solidFill>
              <a:effectLst/>
              <a:latin typeface="+mn-lt"/>
              <a:ea typeface="+mn-ea"/>
              <a:cs typeface="+mn-cs"/>
            </a:rPr>
            <a:t>consider</a:t>
          </a:r>
          <a:r>
            <a:rPr lang="en-US" sz="1100" b="0" baseline="0">
              <a:solidFill>
                <a:schemeClr val="dk1"/>
              </a:solidFill>
              <a:effectLst/>
              <a:latin typeface="+mn-lt"/>
              <a:ea typeface="+mn-ea"/>
              <a:cs typeface="+mn-cs"/>
            </a:rPr>
            <a:t> adding tech peer to peer audit results and other feedback (e.g., PH) to the Compentency Monitoring form.</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p>
        <a:p>
          <a:r>
            <a:rPr lang="en-US" sz="1100" b="1"/>
            <a:t>OFI</a:t>
          </a:r>
          <a:r>
            <a:rPr lang="en-US" sz="1100" b="1" baseline="0"/>
            <a:t> 6 </a:t>
          </a:r>
          <a:r>
            <a:rPr lang="en-US" sz="1100" b="1"/>
            <a:t>- </a:t>
          </a:r>
          <a:r>
            <a:rPr lang="en-US" sz="1100" b="0"/>
            <a:t>consider</a:t>
          </a:r>
          <a:r>
            <a:rPr lang="en-US" sz="1100" b="1"/>
            <a:t> </a:t>
          </a:r>
          <a:r>
            <a:rPr lang="en-US" sz="1100" b="0" baseline="0">
              <a:solidFill>
                <a:schemeClr val="dk1"/>
              </a:solidFill>
              <a:effectLst/>
              <a:latin typeface="+mn-lt"/>
              <a:ea typeface="+mn-ea"/>
              <a:cs typeface="+mn-cs"/>
            </a:rPr>
            <a:t>validating the</a:t>
          </a:r>
          <a:r>
            <a:rPr lang="en-US" sz="1100" b="1"/>
            <a:t> </a:t>
          </a:r>
          <a:r>
            <a:rPr lang="en-US" sz="1100" b="0"/>
            <a:t>excel</a:t>
          </a:r>
          <a:r>
            <a:rPr lang="en-US" sz="1100" b="0" baseline="0"/>
            <a:t> spreadsheet used for calculating solutions for FLEL conditioning, even though it's a simple formula.</a:t>
          </a:r>
        </a:p>
        <a:p>
          <a:endParaRPr lang="en-US" sz="1100" b="0" baseline="0"/>
        </a:p>
        <a:p>
          <a:r>
            <a:rPr lang="en-US" sz="1100" b="1" baseline="0">
              <a:effectLst/>
            </a:rPr>
            <a:t>OFI 7 - </a:t>
          </a:r>
          <a:r>
            <a:rPr lang="en-US" sz="1100" b="0" baseline="0">
              <a:effectLst/>
            </a:rPr>
            <a:t>for the salt spay in UL 50E, the 304 SS passivated sample for comparrison </a:t>
          </a:r>
          <a:r>
            <a:rPr lang="en-US" sz="1100" b="0" baseline="0">
              <a:solidFill>
                <a:schemeClr val="dk1"/>
              </a:solidFill>
              <a:effectLst/>
              <a:latin typeface="+mn-lt"/>
              <a:ea typeface="+mn-ea"/>
              <a:cs typeface="+mn-cs"/>
            </a:rPr>
            <a:t>ordered back in 2018 could have a clearer</a:t>
          </a:r>
          <a:r>
            <a:rPr lang="en-US" sz="1100" b="0" baseline="0">
              <a:effectLst/>
            </a:rPr>
            <a:t> record of verification/receipt per the current SOP.</a:t>
          </a:r>
        </a:p>
        <a:p>
          <a:endParaRPr lang="en-US" sz="1100" b="0" baseline="0">
            <a:effectLst/>
          </a:endParaRPr>
        </a:p>
        <a:p>
          <a:r>
            <a:rPr lang="en-US" sz="1100" b="1" baseline="0">
              <a:effectLst/>
            </a:rPr>
            <a:t>OFI 8 </a:t>
          </a:r>
          <a:r>
            <a:rPr lang="en-US" sz="1100" b="0" baseline="0">
              <a:effectLst/>
            </a:rPr>
            <a:t>- </a:t>
          </a:r>
          <a:r>
            <a:rPr lang="en-US" sz="1100" b="0" baseline="0">
              <a:solidFill>
                <a:schemeClr val="dk1"/>
              </a:solidFill>
              <a:effectLst/>
              <a:latin typeface="+mn-lt"/>
              <a:ea typeface="+mn-ea"/>
              <a:cs typeface="+mn-cs"/>
            </a:rPr>
            <a:t>in our peer to peer audits, </a:t>
          </a:r>
          <a:r>
            <a:rPr lang="en-US" sz="1100" b="0" baseline="0">
              <a:effectLst/>
            </a:rPr>
            <a:t>consider getting another auditor not familiar with the test so that there's a fresh set of eyes.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9 </a:t>
          </a:r>
          <a:r>
            <a:rPr lang="en-US" sz="1100" b="0" baseline="0">
              <a:solidFill>
                <a:schemeClr val="dk1"/>
              </a:solidFill>
              <a:effectLst/>
              <a:latin typeface="+mn-lt"/>
              <a:ea typeface="+mn-ea"/>
              <a:cs typeface="+mn-cs"/>
            </a:rPr>
            <a:t>- consider giving a refresher on how to find SDS (safety datasheets).</a:t>
          </a:r>
          <a:endParaRPr lang="en-US">
            <a:effectLst/>
          </a:endParaRPr>
        </a:p>
        <a:p>
          <a:endParaRPr lang="en-US" b="0">
            <a:effectLst/>
          </a:endParaRPr>
        </a:p>
        <a:p>
          <a:endParaRPr lang="en-US" sz="1100" b="0" baseline="0"/>
        </a:p>
        <a:p>
          <a:endParaRPr lang="en-US" sz="1100"/>
        </a:p>
      </xdr:txBody>
    </xdr:sp>
    <xdr:clientData/>
  </xdr:twoCellAnchor>
  <xdr:twoCellAnchor>
    <xdr:from>
      <xdr:col>0</xdr:col>
      <xdr:colOff>41722</xdr:colOff>
      <xdr:row>18</xdr:row>
      <xdr:rowOff>128237</xdr:rowOff>
    </xdr:from>
    <xdr:to>
      <xdr:col>2</xdr:col>
      <xdr:colOff>514576</xdr:colOff>
      <xdr:row>29</xdr:row>
      <xdr:rowOff>8283</xdr:rowOff>
    </xdr:to>
    <xdr:sp macro="" textlink="">
      <xdr:nvSpPr>
        <xdr:cNvPr id="4" name="TextBox 3">
          <a:extLst>
            <a:ext uri="{FF2B5EF4-FFF2-40B4-BE49-F238E27FC236}">
              <a16:creationId xmlns:a16="http://schemas.microsoft.com/office/drawing/2014/main" id="{FD7707CA-B779-48E2-A1A5-BFCCB1863E09}"/>
            </a:ext>
          </a:extLst>
        </xdr:cNvPr>
        <xdr:cNvSpPr txBox="1"/>
      </xdr:nvSpPr>
      <xdr:spPr>
        <a:xfrm>
          <a:off x="41722" y="3557237"/>
          <a:ext cx="3380050" cy="1975546"/>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a:t>
          </a:r>
          <a:r>
            <a:rPr lang="en-US" sz="1100" b="1" baseline="0"/>
            <a:t> </a:t>
          </a:r>
          <a:r>
            <a:rPr lang="en-US" sz="1100" b="1"/>
            <a:t>CAR</a:t>
          </a:r>
          <a:r>
            <a:rPr lang="en-US" sz="1100" b="1" baseline="0"/>
            <a:t> 2023-99-03: </a:t>
          </a:r>
        </a:p>
        <a:p>
          <a:r>
            <a:rPr lang="en-US" sz="1100" b="0" baseline="0"/>
            <a:t>- Volume change "</a:t>
          </a:r>
          <a:r>
            <a:rPr lang="en-US" sz="1100" b="0" baseline="0">
              <a:solidFill>
                <a:schemeClr val="dk1"/>
              </a:solidFill>
              <a:effectLst/>
              <a:latin typeface="+mn-lt"/>
              <a:ea typeface="+mn-ea"/>
              <a:cs typeface="+mn-cs"/>
            </a:rPr>
            <a:t>Volumetric Swelling" - not following the method: immerssion , and thermometer well?</a:t>
          </a:r>
        </a:p>
        <a:p>
          <a:endParaRPr lang="en-US"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t>- the DS &amp; App C Procedure and UL 157 do not match - one calls for 1x1 inch sample, another 1x2 inch and the lab tech said he also does smaller sizes (</a:t>
          </a:r>
          <a:r>
            <a:rPr lang="en-US" sz="1100" b="0" baseline="0">
              <a:solidFill>
                <a:schemeClr val="dk1"/>
              </a:solidFill>
              <a:effectLst/>
              <a:latin typeface="+mn-lt"/>
              <a:ea typeface="+mn-ea"/>
              <a:cs typeface="+mn-cs"/>
            </a:rPr>
            <a:t>"</a:t>
          </a:r>
          <a:r>
            <a:rPr lang="en-US" sz="1100">
              <a:solidFill>
                <a:schemeClr val="dk1"/>
              </a:solidFill>
              <a:effectLst/>
              <a:latin typeface="+mn-lt"/>
              <a:ea typeface="+mn-ea"/>
              <a:cs typeface="+mn-cs"/>
            </a:rPr>
            <a:t>For some of the hoses provided that we have to obtain specimens from, the available material is smaller than a 1x1 inch die."</a:t>
          </a:r>
          <a:r>
            <a:rPr lang="en-US" sz="1100" b="0" baseline="0"/>
            <a:t>)  </a:t>
          </a:r>
        </a:p>
        <a:p>
          <a:r>
            <a:rPr lang="en-US" sz="1100" b="0" baseline="0"/>
            <a:t>- see Jay's CAR</a:t>
          </a:r>
          <a:endParaRPr lang="en-US" sz="1100" b="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178415-063A-4A91-A0F8-8F98BE472EB0}" name="Table2" displayName="Table2" ref="A4:D17" totalsRowShown="0">
  <autoFilter ref="A4:D17" xr:uid="{9AED5F9A-4A45-4603-95B2-D2D26EA875DA}"/>
  <tableColumns count="4">
    <tableColumn id="1" xr3:uid="{F35965FC-C97F-4ED8-8164-034882AF2841}" name="Name"/>
    <tableColumn id="2" xr3:uid="{B2643CB1-B0D2-4534-90B4-5973E81F41A8}" name="Title/role"/>
    <tableColumn id="3" xr3:uid="{317D5F5F-C949-4D9C-9556-060B99649710}" name="Opening" dataDxfId="144"/>
    <tableColumn id="4" xr3:uid="{BC94DC74-6547-4A3E-9F9B-590191047F66}" name="Closing " dataDxfId="143"/>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742227DC-AC5C-4B3D-8548-C73E5BD40635}">
    <text>When looking test method,  need further discussion for additional form or pathnote</text>
  </threadedComment>
  <threadedComment ref="Q29" dT="2020-09-22T15:02:37.15" personId="{AC51E8DC-BF1C-40B5-8E58-84AE25CE4664}" id="{DD18A5A6-7871-4B78-87E3-8FD6FB985854}">
    <text>When looking test method,  need further discussion for additional form or pathnote</text>
  </threadedComment>
  <threadedComment ref="Q30" dT="2020-09-22T15:02:37.15" personId="{AC51E8DC-BF1C-40B5-8E58-84AE25CE4664}" id="{2688ABCC-6267-479C-AA36-F80E1EABEA06}">
    <text>When looking test method,  need further discussion for additional form or pathnote</text>
  </threadedComment>
  <threadedComment ref="Q31" dT="2020-09-22T15:02:37.15" personId="{AC51E8DC-BF1C-40B5-8E58-84AE25CE4664}" id="{C486C491-4BF2-489E-AC66-9B7E67C47F33}">
    <text>When looking test method,  need further discussion for additional form or pathnote</text>
  </threadedComment>
  <threadedComment ref="Q32" dT="2020-09-22T15:02:37.15" personId="{AC51E8DC-BF1C-40B5-8E58-84AE25CE4664}" id="{FCC33BAD-AAD3-4F1C-B2A4-79D86FE80793}">
    <text>When looking test method,  need further discussion for additional form or pathnote</text>
  </threadedComment>
  <threadedComment ref="Q33" dT="2020-09-22T15:02:37.15" personId="{AC51E8DC-BF1C-40B5-8E58-84AE25CE4664}" id="{47D17868-2873-471C-BFAD-3835BB2C0C23}">
    <text>When looking test method,  need further discussion for additional form or pathnote</text>
  </threadedComment>
  <threadedComment ref="Q34" dT="2020-09-22T15:02:37.15" personId="{AC51E8DC-BF1C-40B5-8E58-84AE25CE4664}" id="{E0A74BE6-F0B6-4421-854F-A8BE7E162C39}">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822</v>
      </c>
      <c r="B1" s="43" t="s">
        <v>833</v>
      </c>
      <c r="D1" s="44" t="s">
        <v>834</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837</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824</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42" priority="60">
      <formula>COUNTBLANK($F3)</formula>
    </cfRule>
  </conditionalFormatting>
  <conditionalFormatting sqref="I7 I27:I32">
    <cfRule type="expression" dxfId="141" priority="58">
      <formula>COUNTBLANK($I7)</formula>
    </cfRule>
  </conditionalFormatting>
  <conditionalFormatting sqref="G3:G32">
    <cfRule type="expression" dxfId="140" priority="50">
      <formula>COUNTBLANK($G3)</formula>
    </cfRule>
  </conditionalFormatting>
  <conditionalFormatting sqref="H3:H32">
    <cfRule type="expression" dxfId="139" priority="49">
      <formula>COUNTBLANK($H3)</formula>
    </cfRule>
  </conditionalFormatting>
  <conditionalFormatting sqref="A3">
    <cfRule type="expression" dxfId="138" priority="40">
      <formula>COUNTBLANK($F3:$H3)</formula>
    </cfRule>
  </conditionalFormatting>
  <conditionalFormatting sqref="I11:I12">
    <cfRule type="expression" dxfId="137" priority="36">
      <formula>COUNTBLANK($I11)</formula>
    </cfRule>
  </conditionalFormatting>
  <conditionalFormatting sqref="I14:I18">
    <cfRule type="expression" dxfId="136" priority="35">
      <formula>COUNTBLANK($I14)</formula>
    </cfRule>
  </conditionalFormatting>
  <conditionalFormatting sqref="K3:K32">
    <cfRule type="expression" dxfId="135" priority="11">
      <formula>COUNTBLANK($K3)</formula>
    </cfRule>
  </conditionalFormatting>
  <conditionalFormatting sqref="A3">
    <cfRule type="expression" dxfId="134" priority="12">
      <formula>$K3="Not Audited"</formula>
    </cfRule>
    <cfRule type="expression" dxfId="133" priority="13">
      <formula>$K3="Not Applicable"</formula>
    </cfRule>
  </conditionalFormatting>
  <conditionalFormatting sqref="A4:A32">
    <cfRule type="expression" dxfId="132" priority="3">
      <formula>COUNTBLANK($F4:$I4)</formula>
    </cfRule>
  </conditionalFormatting>
  <conditionalFormatting sqref="A4:A32">
    <cfRule type="expression" dxfId="131" priority="1">
      <formula>$K4="Not Audited"</formula>
    </cfRule>
    <cfRule type="expression" dxfId="130"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86C19-7EFC-43AD-98B5-CBB9F1C5BCE6}">
  <dimension ref="A1:D13"/>
  <sheetViews>
    <sheetView zoomScale="115" zoomScaleNormal="115" workbookViewId="0">
      <selection activeCell="L8" sqref="L8"/>
    </sheetView>
  </sheetViews>
  <sheetFormatPr defaultRowHeight="15" x14ac:dyDescent="0.25"/>
  <cols>
    <col min="1" max="1" width="17.28515625" customWidth="1"/>
    <col min="2" max="2" width="26.28515625" bestFit="1" customWidth="1"/>
    <col min="3" max="3" width="11.7109375" style="61" bestFit="1" customWidth="1"/>
    <col min="4" max="4" width="12.42578125" style="61" bestFit="1" customWidth="1"/>
  </cols>
  <sheetData>
    <row r="1" spans="1:4" x14ac:dyDescent="0.25">
      <c r="A1" t="s">
        <v>867</v>
      </c>
      <c r="B1" t="s">
        <v>868</v>
      </c>
      <c r="C1" s="61" t="s">
        <v>869</v>
      </c>
      <c r="D1" s="62">
        <v>45012</v>
      </c>
    </row>
    <row r="2" spans="1:4" x14ac:dyDescent="0.25">
      <c r="C2" s="61" t="s">
        <v>870</v>
      </c>
      <c r="D2" s="62">
        <v>45013</v>
      </c>
    </row>
    <row r="4" spans="1:4" x14ac:dyDescent="0.25">
      <c r="A4" t="s">
        <v>871</v>
      </c>
      <c r="B4" t="s">
        <v>872</v>
      </c>
      <c r="C4" s="61" t="s">
        <v>873</v>
      </c>
      <c r="D4" s="61" t="s">
        <v>874</v>
      </c>
    </row>
    <row r="5" spans="1:4" x14ac:dyDescent="0.25">
      <c r="A5" t="s">
        <v>885</v>
      </c>
      <c r="B5" t="s">
        <v>881</v>
      </c>
      <c r="C5" s="61" t="s">
        <v>875</v>
      </c>
      <c r="D5" s="61" t="s">
        <v>875</v>
      </c>
    </row>
    <row r="6" spans="1:4" x14ac:dyDescent="0.25">
      <c r="A6" t="s">
        <v>852</v>
      </c>
      <c r="B6" t="s">
        <v>876</v>
      </c>
      <c r="C6" s="61" t="s">
        <v>875</v>
      </c>
      <c r="D6" s="61" t="s">
        <v>875</v>
      </c>
    </row>
    <row r="7" spans="1:4" x14ac:dyDescent="0.25">
      <c r="A7" t="s">
        <v>877</v>
      </c>
      <c r="B7" t="s">
        <v>878</v>
      </c>
      <c r="C7" s="61" t="s">
        <v>875</v>
      </c>
      <c r="D7" s="61" t="s">
        <v>887</v>
      </c>
    </row>
    <row r="8" spans="1:4" x14ac:dyDescent="0.25">
      <c r="A8" t="s">
        <v>879</v>
      </c>
      <c r="B8" t="s">
        <v>880</v>
      </c>
      <c r="C8" s="61" t="s">
        <v>875</v>
      </c>
      <c r="D8" s="61" t="s">
        <v>875</v>
      </c>
    </row>
    <row r="9" spans="1:4" x14ac:dyDescent="0.25">
      <c r="A9" t="s">
        <v>886</v>
      </c>
      <c r="B9" t="s">
        <v>882</v>
      </c>
      <c r="C9" s="61" t="s">
        <v>875</v>
      </c>
    </row>
    <row r="12" spans="1:4" x14ac:dyDescent="0.25">
      <c r="A12" t="s">
        <v>888</v>
      </c>
      <c r="B12" t="s">
        <v>889</v>
      </c>
      <c r="C12" s="61" t="s">
        <v>875</v>
      </c>
    </row>
    <row r="13" spans="1:4" x14ac:dyDescent="0.25">
      <c r="A13" t="s">
        <v>904</v>
      </c>
      <c r="B13" t="s">
        <v>881</v>
      </c>
      <c r="D13" s="61" t="s">
        <v>875</v>
      </c>
    </row>
  </sheetData>
  <pageMargins left="0.7" right="0.7" top="0.75" bottom="0.75" header="0.3" footer="0.3"/>
  <pageSetup orientation="portrait"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62AD5-E27C-45B1-8E90-B815A981DB60}">
  <dimension ref="A1:L4"/>
  <sheetViews>
    <sheetView tabSelected="1" workbookViewId="0">
      <selection activeCell="A3" sqref="A3:L4"/>
    </sheetView>
  </sheetViews>
  <sheetFormatPr defaultRowHeight="15" x14ac:dyDescent="0.25"/>
  <cols>
    <col min="1" max="1" width="15" bestFit="1" customWidth="1"/>
    <col min="2" max="2" width="26" bestFit="1" customWidth="1"/>
    <col min="3" max="12" width="18" customWidth="1"/>
  </cols>
  <sheetData>
    <row r="1" spans="1:12" ht="23.25" x14ac:dyDescent="0.35">
      <c r="A1" t="s">
        <v>848</v>
      </c>
      <c r="C1" s="58"/>
      <c r="D1" s="65" t="s">
        <v>849</v>
      </c>
      <c r="E1" s="65"/>
      <c r="F1" s="65"/>
      <c r="G1" s="65"/>
    </row>
    <row r="2" spans="1:12" x14ac:dyDescent="0.25">
      <c r="A2" s="59" t="s">
        <v>850</v>
      </c>
      <c r="B2" s="60">
        <v>45030</v>
      </c>
      <c r="C2" s="58"/>
      <c r="H2" s="59" t="s">
        <v>851</v>
      </c>
      <c r="I2" t="s">
        <v>852</v>
      </c>
    </row>
    <row r="3" spans="1:12" ht="45" x14ac:dyDescent="0.25">
      <c r="A3" s="66" t="s">
        <v>853</v>
      </c>
      <c r="B3" s="67" t="s">
        <v>854</v>
      </c>
      <c r="C3" s="68" t="s">
        <v>855</v>
      </c>
      <c r="D3" s="69" t="s">
        <v>856</v>
      </c>
      <c r="E3" s="70" t="s">
        <v>953</v>
      </c>
      <c r="F3" s="71" t="s">
        <v>857</v>
      </c>
      <c r="G3" s="72" t="s">
        <v>858</v>
      </c>
      <c r="H3" s="69" t="s">
        <v>859</v>
      </c>
      <c r="I3" s="70" t="s">
        <v>860</v>
      </c>
      <c r="J3" s="71" t="s">
        <v>861</v>
      </c>
      <c r="K3" s="72" t="s">
        <v>862</v>
      </c>
      <c r="L3" s="73" t="s">
        <v>863</v>
      </c>
    </row>
    <row r="4" spans="1:12" x14ac:dyDescent="0.25">
      <c r="A4" s="74">
        <v>2023</v>
      </c>
      <c r="B4" s="75" t="s">
        <v>954</v>
      </c>
      <c r="C4" s="76" t="str">
        <f t="shared" ref="C4" si="0" xml:space="preserve"> IF( L4&lt; 86, "Low", IF( L4&gt;180, "High", "Medium"))</f>
        <v>Medium</v>
      </c>
      <c r="D4" s="75" t="s">
        <v>866</v>
      </c>
      <c r="E4" s="75" t="s">
        <v>865</v>
      </c>
      <c r="F4" s="75" t="s">
        <v>864</v>
      </c>
      <c r="G4" s="75" t="s">
        <v>865</v>
      </c>
      <c r="H4" s="75" t="s">
        <v>865</v>
      </c>
      <c r="I4" s="75" t="s">
        <v>866</v>
      </c>
      <c r="J4" s="75" t="s">
        <v>864</v>
      </c>
      <c r="K4" s="75" t="s">
        <v>864</v>
      </c>
      <c r="L4" s="77">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144</v>
      </c>
    </row>
  </sheetData>
  <mergeCells count="1">
    <mergeCell ref="D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72871-BF8B-4037-9CCD-EC0FDD830C64}">
  <sheetPr codeName="Sheet6"/>
  <dimension ref="A1:R51"/>
  <sheetViews>
    <sheetView zoomScale="80" zoomScaleNormal="80" workbookViewId="0">
      <pane xSplit="1" ySplit="2" topLeftCell="I3" activePane="bottomRight" state="frozen"/>
      <selection pane="topRight" activeCell="B1" sqref="B1"/>
      <selection pane="bottomLeft" activeCell="A2" sqref="A2"/>
      <selection pane="bottomRight" activeCell="J3" sqref="J3"/>
    </sheetView>
  </sheetViews>
  <sheetFormatPr defaultColWidth="9.140625" defaultRowHeight="15" x14ac:dyDescent="0.25"/>
  <cols>
    <col min="1" max="1" width="60.28515625" customWidth="1"/>
    <col min="2" max="4" width="9.85546875" customWidth="1"/>
    <col min="5" max="5" width="11.42578125" customWidth="1"/>
    <col min="6" max="6" width="30.7109375" customWidth="1"/>
    <col min="7" max="7" width="42.7109375" customWidth="1"/>
    <col min="8" max="8" width="35.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846</v>
      </c>
      <c r="B1" s="43" t="s">
        <v>847</v>
      </c>
      <c r="D1" s="44" t="s">
        <v>952</v>
      </c>
      <c r="E1" s="43"/>
      <c r="F1" s="45"/>
      <c r="G1" s="45"/>
      <c r="H1" s="45"/>
      <c r="I1" s="45"/>
      <c r="J1" s="45"/>
      <c r="K1" s="45"/>
      <c r="L1" s="45"/>
      <c r="M1" s="45"/>
      <c r="N1" s="45"/>
      <c r="O1" s="45"/>
      <c r="P1" s="46"/>
      <c r="Q1" s="45"/>
      <c r="R1" s="47"/>
    </row>
    <row r="2" spans="1:18" s="3" customFormat="1" ht="85.5" customHeight="1" x14ac:dyDescent="0.25">
      <c r="A2" s="4" t="s">
        <v>61</v>
      </c>
      <c r="B2" s="42"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8" t="s">
        <v>120</v>
      </c>
    </row>
    <row r="3" spans="1:18" s="3" customFormat="1" ht="45" x14ac:dyDescent="0.25">
      <c r="A3" s="2" t="s">
        <v>29</v>
      </c>
      <c r="B3" s="50" t="s">
        <v>827</v>
      </c>
      <c r="C3" s="56" t="s">
        <v>465</v>
      </c>
      <c r="D3" s="56" t="s">
        <v>843</v>
      </c>
      <c r="E3" s="56" t="s">
        <v>800</v>
      </c>
      <c r="F3" s="55" t="s">
        <v>887</v>
      </c>
      <c r="G3" s="1" t="s">
        <v>905</v>
      </c>
      <c r="H3" s="55" t="s">
        <v>887</v>
      </c>
      <c r="I3" s="55" t="s">
        <v>887</v>
      </c>
      <c r="J3" s="50" t="s">
        <v>891</v>
      </c>
      <c r="K3" s="53" t="s">
        <v>840</v>
      </c>
      <c r="L3" s="52"/>
      <c r="M3" s="9"/>
      <c r="N3" s="9"/>
      <c r="O3" s="9"/>
      <c r="P3" s="8" t="s">
        <v>101</v>
      </c>
      <c r="Q3" s="11" t="s">
        <v>35</v>
      </c>
      <c r="R3" s="11" t="s">
        <v>132</v>
      </c>
    </row>
    <row r="4" spans="1:18" s="3" customFormat="1" ht="45" x14ac:dyDescent="0.25">
      <c r="A4" s="2" t="s">
        <v>30</v>
      </c>
      <c r="B4" s="50" t="s">
        <v>827</v>
      </c>
      <c r="C4" s="56" t="s">
        <v>465</v>
      </c>
      <c r="D4" s="56" t="s">
        <v>843</v>
      </c>
      <c r="E4" s="56" t="s">
        <v>800</v>
      </c>
      <c r="F4" s="55" t="s">
        <v>887</v>
      </c>
      <c r="G4" s="1" t="s">
        <v>906</v>
      </c>
      <c r="H4" s="55" t="s">
        <v>887</v>
      </c>
      <c r="I4" s="55" t="s">
        <v>887</v>
      </c>
      <c r="J4" s="50" t="s">
        <v>891</v>
      </c>
      <c r="K4" s="53" t="s">
        <v>840</v>
      </c>
      <c r="L4" s="52"/>
      <c r="M4" s="9"/>
      <c r="N4" s="9"/>
      <c r="O4" s="9"/>
      <c r="P4" s="8" t="s">
        <v>62</v>
      </c>
      <c r="Q4" s="11" t="s">
        <v>36</v>
      </c>
      <c r="R4" s="11"/>
    </row>
    <row r="5" spans="1:18" s="3" customFormat="1" ht="90" x14ac:dyDescent="0.25">
      <c r="A5" s="2" t="s">
        <v>28</v>
      </c>
      <c r="B5" s="50" t="s">
        <v>827</v>
      </c>
      <c r="C5" s="56" t="s">
        <v>465</v>
      </c>
      <c r="D5" s="56" t="s">
        <v>843</v>
      </c>
      <c r="E5" s="56" t="s">
        <v>800</v>
      </c>
      <c r="F5" s="55" t="s">
        <v>910</v>
      </c>
      <c r="G5" s="1" t="s">
        <v>909</v>
      </c>
      <c r="H5" s="55" t="s">
        <v>887</v>
      </c>
      <c r="I5" s="55" t="s">
        <v>887</v>
      </c>
      <c r="J5" s="50" t="s">
        <v>891</v>
      </c>
      <c r="K5" s="53" t="s">
        <v>840</v>
      </c>
      <c r="L5" s="52"/>
      <c r="M5" s="9"/>
      <c r="N5" s="9"/>
      <c r="O5" s="9"/>
      <c r="P5" s="8" t="s">
        <v>101</v>
      </c>
      <c r="Q5" s="8" t="s">
        <v>37</v>
      </c>
      <c r="R5" s="11"/>
    </row>
    <row r="6" spans="1:18" s="3" customFormat="1" ht="162.75" customHeight="1" x14ac:dyDescent="0.25">
      <c r="A6" s="2" t="s">
        <v>2</v>
      </c>
      <c r="B6" s="50" t="s">
        <v>827</v>
      </c>
      <c r="C6" s="56" t="s">
        <v>465</v>
      </c>
      <c r="D6" s="56" t="s">
        <v>843</v>
      </c>
      <c r="E6" s="56" t="s">
        <v>800</v>
      </c>
      <c r="F6" s="55" t="s">
        <v>910</v>
      </c>
      <c r="G6" s="51" t="s">
        <v>908</v>
      </c>
      <c r="H6" s="55" t="s">
        <v>931</v>
      </c>
      <c r="I6" s="55">
        <v>5</v>
      </c>
      <c r="J6" s="55" t="s">
        <v>928</v>
      </c>
      <c r="K6" s="53" t="s">
        <v>148</v>
      </c>
      <c r="L6" s="52"/>
      <c r="M6" s="9"/>
      <c r="N6" s="9"/>
      <c r="O6" s="9"/>
      <c r="P6" s="8" t="s">
        <v>101</v>
      </c>
      <c r="Q6" s="8" t="s">
        <v>32</v>
      </c>
      <c r="R6" s="11" t="s">
        <v>131</v>
      </c>
    </row>
    <row r="7" spans="1:18" s="3" customFormat="1" ht="90" x14ac:dyDescent="0.25">
      <c r="A7" s="2" t="s">
        <v>1</v>
      </c>
      <c r="B7" s="50" t="s">
        <v>827</v>
      </c>
      <c r="C7" s="56" t="s">
        <v>465</v>
      </c>
      <c r="D7" s="56" t="s">
        <v>843</v>
      </c>
      <c r="E7" s="56" t="s">
        <v>800</v>
      </c>
      <c r="F7" s="55" t="s">
        <v>902</v>
      </c>
      <c r="G7" s="51" t="s">
        <v>911</v>
      </c>
      <c r="H7" s="55" t="s">
        <v>890</v>
      </c>
      <c r="I7" s="55">
        <v>7</v>
      </c>
      <c r="J7" s="55" t="s">
        <v>901</v>
      </c>
      <c r="K7" s="53" t="s">
        <v>148</v>
      </c>
      <c r="L7" s="52"/>
      <c r="M7" s="9"/>
      <c r="N7" s="9"/>
      <c r="O7" s="9"/>
      <c r="P7" s="8" t="s">
        <v>101</v>
      </c>
      <c r="Q7" s="11" t="s">
        <v>33</v>
      </c>
      <c r="R7" s="11"/>
    </row>
    <row r="8" spans="1:18" s="3" customFormat="1" ht="118.15" customHeight="1" x14ac:dyDescent="0.25">
      <c r="A8" s="2" t="s">
        <v>5</v>
      </c>
      <c r="B8" s="50" t="s">
        <v>827</v>
      </c>
      <c r="C8" s="56" t="s">
        <v>465</v>
      </c>
      <c r="D8" s="56" t="s">
        <v>843</v>
      </c>
      <c r="E8" s="56" t="s">
        <v>800</v>
      </c>
      <c r="F8" s="55" t="s">
        <v>902</v>
      </c>
      <c r="G8" s="51" t="s">
        <v>912</v>
      </c>
      <c r="H8" s="55" t="s">
        <v>925</v>
      </c>
      <c r="I8" s="55">
        <v>7</v>
      </c>
      <c r="J8" s="55" t="s">
        <v>927</v>
      </c>
      <c r="K8" s="53" t="s">
        <v>148</v>
      </c>
      <c r="L8" s="52"/>
      <c r="M8" s="9"/>
      <c r="N8" s="9"/>
      <c r="O8" s="9"/>
      <c r="P8" s="8" t="s">
        <v>101</v>
      </c>
      <c r="Q8" s="8" t="s">
        <v>43</v>
      </c>
      <c r="R8" s="11" t="s">
        <v>140</v>
      </c>
    </row>
    <row r="9" spans="1:18" s="3" customFormat="1" ht="59.25" customHeight="1" x14ac:dyDescent="0.25">
      <c r="A9" s="2" t="s">
        <v>17</v>
      </c>
      <c r="B9" s="50" t="s">
        <v>827</v>
      </c>
      <c r="C9" s="56" t="s">
        <v>465</v>
      </c>
      <c r="D9" s="56" t="s">
        <v>843</v>
      </c>
      <c r="E9" s="56" t="s">
        <v>800</v>
      </c>
      <c r="F9" s="55" t="s">
        <v>902</v>
      </c>
      <c r="G9" s="51" t="s">
        <v>913</v>
      </c>
      <c r="H9" s="55" t="s">
        <v>926</v>
      </c>
      <c r="I9" s="55">
        <v>10</v>
      </c>
      <c r="J9" s="55" t="s">
        <v>844</v>
      </c>
      <c r="K9" s="53" t="s">
        <v>148</v>
      </c>
      <c r="L9" s="52"/>
      <c r="M9" s="9"/>
      <c r="N9" s="9"/>
      <c r="O9" s="9"/>
      <c r="P9" s="8" t="s">
        <v>101</v>
      </c>
      <c r="Q9" s="8" t="s">
        <v>34</v>
      </c>
      <c r="R9" s="11"/>
    </row>
    <row r="10" spans="1:18" s="3" customFormat="1" ht="30" x14ac:dyDescent="0.25">
      <c r="A10" s="2" t="s">
        <v>16</v>
      </c>
      <c r="B10" s="50" t="s">
        <v>827</v>
      </c>
      <c r="C10" s="56" t="s">
        <v>465</v>
      </c>
      <c r="D10" s="56" t="s">
        <v>843</v>
      </c>
      <c r="E10" s="56" t="s">
        <v>800</v>
      </c>
      <c r="F10" s="55" t="s">
        <v>887</v>
      </c>
      <c r="G10" s="51" t="s">
        <v>887</v>
      </c>
      <c r="H10" s="55" t="s">
        <v>887</v>
      </c>
      <c r="I10" s="55" t="s">
        <v>887</v>
      </c>
      <c r="J10" s="55" t="s">
        <v>887</v>
      </c>
      <c r="K10" s="53" t="s">
        <v>841</v>
      </c>
      <c r="L10" s="52"/>
      <c r="M10" s="9"/>
      <c r="N10" s="9"/>
      <c r="O10" s="9"/>
      <c r="P10" s="8" t="s">
        <v>101</v>
      </c>
      <c r="Q10" s="8" t="s">
        <v>38</v>
      </c>
      <c r="R10" s="11">
        <v>4.5</v>
      </c>
    </row>
    <row r="11" spans="1:18" s="3" customFormat="1" ht="75" x14ac:dyDescent="0.25">
      <c r="A11" s="2" t="s">
        <v>4</v>
      </c>
      <c r="B11" s="50" t="s">
        <v>827</v>
      </c>
      <c r="C11" s="56" t="s">
        <v>465</v>
      </c>
      <c r="D11" s="56" t="s">
        <v>843</v>
      </c>
      <c r="E11" s="56" t="s">
        <v>800</v>
      </c>
      <c r="F11" s="55" t="s">
        <v>902</v>
      </c>
      <c r="G11" s="51" t="s">
        <v>914</v>
      </c>
      <c r="H11" s="55" t="s">
        <v>890</v>
      </c>
      <c r="I11" s="55">
        <v>5</v>
      </c>
      <c r="J11" s="55" t="s">
        <v>929</v>
      </c>
      <c r="K11" s="53" t="s">
        <v>148</v>
      </c>
      <c r="L11" s="52"/>
      <c r="M11" s="9"/>
      <c r="N11" s="9"/>
      <c r="O11" s="9"/>
      <c r="P11" s="7" t="s">
        <v>62</v>
      </c>
      <c r="Q11" s="7" t="s">
        <v>39</v>
      </c>
      <c r="R11" s="11"/>
    </row>
    <row r="12" spans="1:18" s="3" customFormat="1" ht="85.5" customHeight="1" x14ac:dyDescent="0.25">
      <c r="A12" s="2" t="s">
        <v>7</v>
      </c>
      <c r="B12" s="50" t="s">
        <v>827</v>
      </c>
      <c r="C12" s="56" t="s">
        <v>465</v>
      </c>
      <c r="D12" s="56" t="s">
        <v>843</v>
      </c>
      <c r="E12" s="56" t="s">
        <v>800</v>
      </c>
      <c r="F12" s="55" t="s">
        <v>902</v>
      </c>
      <c r="G12" s="51" t="s">
        <v>915</v>
      </c>
      <c r="H12" s="55" t="s">
        <v>890</v>
      </c>
      <c r="I12" s="55">
        <v>7</v>
      </c>
      <c r="J12" s="55" t="s">
        <v>939</v>
      </c>
      <c r="K12" s="53" t="s">
        <v>148</v>
      </c>
      <c r="L12" s="52"/>
      <c r="M12" s="9"/>
      <c r="N12" s="9"/>
      <c r="O12" s="9"/>
      <c r="P12" s="8" t="s">
        <v>101</v>
      </c>
      <c r="Q12" s="12" t="s">
        <v>40</v>
      </c>
      <c r="R12" s="11"/>
    </row>
    <row r="13" spans="1:18" s="3" customFormat="1" ht="60" x14ac:dyDescent="0.25">
      <c r="A13" s="2" t="s">
        <v>19</v>
      </c>
      <c r="B13" s="50" t="s">
        <v>827</v>
      </c>
      <c r="C13" s="56" t="s">
        <v>465</v>
      </c>
      <c r="D13" s="56" t="s">
        <v>843</v>
      </c>
      <c r="E13" s="56" t="s">
        <v>800</v>
      </c>
      <c r="F13" s="55" t="s">
        <v>902</v>
      </c>
      <c r="G13" s="51" t="s">
        <v>916</v>
      </c>
      <c r="H13" s="55" t="s">
        <v>890</v>
      </c>
      <c r="I13" s="55">
        <v>7</v>
      </c>
      <c r="J13" s="55" t="s">
        <v>930</v>
      </c>
      <c r="K13" s="53" t="s">
        <v>148</v>
      </c>
      <c r="L13" s="52"/>
      <c r="M13" s="9"/>
      <c r="N13" s="9"/>
      <c r="O13" s="9"/>
      <c r="P13" s="8" t="s">
        <v>101</v>
      </c>
      <c r="Q13" s="8" t="s">
        <v>50</v>
      </c>
      <c r="R13" s="11" t="s">
        <v>135</v>
      </c>
    </row>
    <row r="14" spans="1:18" s="3" customFormat="1" ht="30" x14ac:dyDescent="0.25">
      <c r="A14" s="2" t="s">
        <v>9</v>
      </c>
      <c r="B14" s="50" t="s">
        <v>827</v>
      </c>
      <c r="C14" s="56" t="s">
        <v>465</v>
      </c>
      <c r="D14" s="56" t="s">
        <v>843</v>
      </c>
      <c r="E14" s="56" t="s">
        <v>800</v>
      </c>
      <c r="F14" s="55" t="s">
        <v>887</v>
      </c>
      <c r="G14" s="63" t="s">
        <v>907</v>
      </c>
      <c r="H14" s="55" t="s">
        <v>887</v>
      </c>
      <c r="I14" s="55" t="s">
        <v>887</v>
      </c>
      <c r="J14" s="50" t="s">
        <v>891</v>
      </c>
      <c r="K14" s="53" t="s">
        <v>840</v>
      </c>
      <c r="L14" s="52"/>
      <c r="M14" s="9"/>
      <c r="N14" s="9"/>
      <c r="O14" s="9"/>
      <c r="P14" s="8" t="s">
        <v>101</v>
      </c>
      <c r="Q14" s="8" t="s">
        <v>42</v>
      </c>
      <c r="R14" s="11"/>
    </row>
    <row r="15" spans="1:18" s="3" customFormat="1" ht="135.75" customHeight="1" x14ac:dyDescent="0.25">
      <c r="A15" s="2" t="s">
        <v>10</v>
      </c>
      <c r="B15" s="50" t="s">
        <v>827</v>
      </c>
      <c r="C15" s="56" t="s">
        <v>465</v>
      </c>
      <c r="D15" s="56" t="s">
        <v>843</v>
      </c>
      <c r="E15" s="56" t="s">
        <v>800</v>
      </c>
      <c r="F15" s="55" t="s">
        <v>893</v>
      </c>
      <c r="G15" s="63" t="s">
        <v>917</v>
      </c>
      <c r="H15" s="55" t="s">
        <v>903</v>
      </c>
      <c r="I15" s="55">
        <v>2</v>
      </c>
      <c r="J15" s="54"/>
      <c r="K15" s="53" t="s">
        <v>148</v>
      </c>
      <c r="L15" s="52"/>
      <c r="M15" s="9"/>
      <c r="N15" s="9"/>
      <c r="O15" s="9"/>
      <c r="P15" s="8" t="s">
        <v>101</v>
      </c>
      <c r="Q15" s="8" t="s">
        <v>41</v>
      </c>
      <c r="R15" s="11"/>
    </row>
    <row r="16" spans="1:18" s="3" customFormat="1" ht="30" x14ac:dyDescent="0.25">
      <c r="A16" s="2" t="s">
        <v>11</v>
      </c>
      <c r="B16" s="50" t="s">
        <v>827</v>
      </c>
      <c r="C16" s="56" t="s">
        <v>465</v>
      </c>
      <c r="D16" s="56" t="s">
        <v>843</v>
      </c>
      <c r="E16" s="56" t="s">
        <v>800</v>
      </c>
      <c r="F16" s="55" t="s">
        <v>887</v>
      </c>
      <c r="G16" s="63" t="s">
        <v>907</v>
      </c>
      <c r="H16" s="55" t="s">
        <v>887</v>
      </c>
      <c r="I16" s="55" t="s">
        <v>887</v>
      </c>
      <c r="J16" s="50" t="s">
        <v>891</v>
      </c>
      <c r="K16" s="53" t="s">
        <v>840</v>
      </c>
      <c r="L16" s="52"/>
      <c r="M16" s="9"/>
      <c r="N16" s="9"/>
      <c r="O16" s="9"/>
      <c r="P16" s="8" t="s">
        <v>101</v>
      </c>
      <c r="Q16" s="8" t="s">
        <v>44</v>
      </c>
      <c r="R16" s="11"/>
    </row>
    <row r="17" spans="1:18" s="3" customFormat="1" ht="127.5" customHeight="1" x14ac:dyDescent="0.25">
      <c r="A17" s="2" t="s">
        <v>12</v>
      </c>
      <c r="B17" s="50" t="s">
        <v>827</v>
      </c>
      <c r="C17" s="56" t="s">
        <v>465</v>
      </c>
      <c r="D17" s="56" t="s">
        <v>843</v>
      </c>
      <c r="E17" s="56" t="s">
        <v>800</v>
      </c>
      <c r="F17" s="55" t="s">
        <v>910</v>
      </c>
      <c r="G17" s="51" t="s">
        <v>918</v>
      </c>
      <c r="H17" s="55" t="s">
        <v>895</v>
      </c>
      <c r="I17" s="55">
        <v>1</v>
      </c>
      <c r="J17" s="55" t="s">
        <v>894</v>
      </c>
      <c r="K17" s="53" t="s">
        <v>148</v>
      </c>
      <c r="L17" s="52"/>
      <c r="M17" s="9"/>
      <c r="N17" s="9"/>
      <c r="O17" s="9"/>
      <c r="P17" s="8" t="s">
        <v>101</v>
      </c>
      <c r="Q17" s="8" t="s">
        <v>45</v>
      </c>
      <c r="R17" s="11" t="s">
        <v>138</v>
      </c>
    </row>
    <row r="18" spans="1:18" s="3" customFormat="1" ht="45" x14ac:dyDescent="0.25">
      <c r="A18" s="2" t="s">
        <v>13</v>
      </c>
      <c r="B18" s="50" t="s">
        <v>827</v>
      </c>
      <c r="C18" s="56" t="s">
        <v>465</v>
      </c>
      <c r="D18" s="56" t="s">
        <v>843</v>
      </c>
      <c r="E18" s="56" t="s">
        <v>800</v>
      </c>
      <c r="F18" s="55" t="s">
        <v>887</v>
      </c>
      <c r="G18" s="55" t="s">
        <v>887</v>
      </c>
      <c r="H18" s="55" t="s">
        <v>887</v>
      </c>
      <c r="I18" s="55" t="s">
        <v>887</v>
      </c>
      <c r="J18" s="50" t="s">
        <v>891</v>
      </c>
      <c r="K18" s="53" t="s">
        <v>840</v>
      </c>
      <c r="L18" s="52"/>
      <c r="M18" s="9"/>
      <c r="N18" s="9"/>
      <c r="O18" s="9"/>
      <c r="P18" s="8" t="s">
        <v>101</v>
      </c>
      <c r="Q18" s="8" t="s">
        <v>51</v>
      </c>
      <c r="R18" s="11"/>
    </row>
    <row r="19" spans="1:18" s="3" customFormat="1" ht="117" customHeight="1" x14ac:dyDescent="0.25">
      <c r="A19" s="2" t="s">
        <v>21</v>
      </c>
      <c r="B19" s="50" t="s">
        <v>827</v>
      </c>
      <c r="C19" s="56" t="s">
        <v>465</v>
      </c>
      <c r="D19" s="56" t="s">
        <v>843</v>
      </c>
      <c r="E19" s="56" t="s">
        <v>800</v>
      </c>
      <c r="F19" s="55" t="s">
        <v>910</v>
      </c>
      <c r="G19" s="51" t="s">
        <v>919</v>
      </c>
      <c r="H19" s="55" t="s">
        <v>896</v>
      </c>
      <c r="I19" s="55">
        <v>1</v>
      </c>
      <c r="J19" s="55" t="s">
        <v>897</v>
      </c>
      <c r="K19" s="53" t="s">
        <v>148</v>
      </c>
      <c r="L19" s="52"/>
      <c r="M19" s="9"/>
      <c r="N19" s="9"/>
      <c r="O19" s="9"/>
      <c r="P19" s="7" t="s">
        <v>62</v>
      </c>
      <c r="Q19" s="7" t="s">
        <v>52</v>
      </c>
      <c r="R19" s="11"/>
    </row>
    <row r="20" spans="1:18" s="3" customFormat="1" ht="30" x14ac:dyDescent="0.25">
      <c r="A20" s="2" t="s">
        <v>6</v>
      </c>
      <c r="B20" s="50" t="s">
        <v>827</v>
      </c>
      <c r="C20" s="56" t="s">
        <v>465</v>
      </c>
      <c r="D20" s="56" t="s">
        <v>843</v>
      </c>
      <c r="E20" s="56" t="s">
        <v>800</v>
      </c>
      <c r="F20" s="55" t="s">
        <v>887</v>
      </c>
      <c r="G20" s="64" t="s">
        <v>887</v>
      </c>
      <c r="H20" s="55" t="s">
        <v>887</v>
      </c>
      <c r="I20" s="55" t="s">
        <v>887</v>
      </c>
      <c r="J20" s="55" t="s">
        <v>887</v>
      </c>
      <c r="K20" s="53" t="s">
        <v>841</v>
      </c>
      <c r="L20" s="52"/>
      <c r="M20" s="9"/>
      <c r="N20" s="9"/>
      <c r="O20" s="9"/>
      <c r="P20" s="8" t="s">
        <v>101</v>
      </c>
      <c r="Q20" s="8" t="s">
        <v>46</v>
      </c>
      <c r="R20" s="11"/>
    </row>
    <row r="21" spans="1:18" s="3" customFormat="1" ht="45" x14ac:dyDescent="0.25">
      <c r="A21" s="2" t="s">
        <v>3</v>
      </c>
      <c r="B21" s="50" t="s">
        <v>827</v>
      </c>
      <c r="C21" s="56" t="s">
        <v>465</v>
      </c>
      <c r="D21" s="56" t="s">
        <v>843</v>
      </c>
      <c r="E21" s="56" t="s">
        <v>800</v>
      </c>
      <c r="F21" s="55" t="s">
        <v>887</v>
      </c>
      <c r="G21" s="64" t="s">
        <v>907</v>
      </c>
      <c r="H21" s="55" t="s">
        <v>887</v>
      </c>
      <c r="I21" s="55" t="s">
        <v>887</v>
      </c>
      <c r="J21" s="50" t="s">
        <v>891</v>
      </c>
      <c r="K21" s="53" t="s">
        <v>840</v>
      </c>
      <c r="L21" s="52"/>
      <c r="M21" s="9"/>
      <c r="N21" s="9"/>
      <c r="O21" s="9"/>
      <c r="P21" s="8" t="s">
        <v>101</v>
      </c>
      <c r="Q21" s="8" t="s">
        <v>53</v>
      </c>
      <c r="R21" s="11" t="s">
        <v>133</v>
      </c>
    </row>
    <row r="22" spans="1:18" s="3" customFormat="1" ht="197.25" customHeight="1" x14ac:dyDescent="0.25">
      <c r="A22" s="2" t="s">
        <v>18</v>
      </c>
      <c r="B22" s="50" t="s">
        <v>827</v>
      </c>
      <c r="C22" s="56" t="s">
        <v>465</v>
      </c>
      <c r="D22" s="56" t="s">
        <v>843</v>
      </c>
      <c r="E22" s="56" t="s">
        <v>800</v>
      </c>
      <c r="F22" s="55" t="s">
        <v>923</v>
      </c>
      <c r="G22" s="51" t="s">
        <v>920</v>
      </c>
      <c r="H22" s="55" t="s">
        <v>898</v>
      </c>
      <c r="I22" s="55">
        <v>9</v>
      </c>
      <c r="J22" s="55" t="s">
        <v>900</v>
      </c>
      <c r="K22" s="53" t="s">
        <v>148</v>
      </c>
      <c r="L22" s="52"/>
      <c r="M22" s="9"/>
      <c r="N22" s="9"/>
      <c r="O22" s="9"/>
      <c r="P22" s="8" t="s">
        <v>62</v>
      </c>
      <c r="Q22" s="8" t="s">
        <v>47</v>
      </c>
      <c r="R22" s="11" t="s">
        <v>139</v>
      </c>
    </row>
    <row r="23" spans="1:18" s="3" customFormat="1" ht="101.25" customHeight="1" x14ac:dyDescent="0.25">
      <c r="A23" s="2" t="s">
        <v>8</v>
      </c>
      <c r="B23" s="50" t="s">
        <v>827</v>
      </c>
      <c r="C23" s="56" t="s">
        <v>465</v>
      </c>
      <c r="D23" s="56" t="s">
        <v>843</v>
      </c>
      <c r="E23" s="56" t="s">
        <v>800</v>
      </c>
      <c r="F23" s="55" t="s">
        <v>923</v>
      </c>
      <c r="G23" s="51" t="s">
        <v>921</v>
      </c>
      <c r="H23" s="55" t="s">
        <v>892</v>
      </c>
      <c r="I23" s="55">
        <v>20</v>
      </c>
      <c r="J23" s="55" t="s">
        <v>845</v>
      </c>
      <c r="K23" s="53" t="s">
        <v>148</v>
      </c>
      <c r="L23" s="52"/>
      <c r="M23" s="9"/>
      <c r="N23" s="9"/>
      <c r="O23" s="9"/>
      <c r="P23" s="8" t="s">
        <v>62</v>
      </c>
      <c r="Q23" s="8" t="s">
        <v>31</v>
      </c>
      <c r="R23" s="11"/>
    </row>
    <row r="24" spans="1:18" s="3" customFormat="1" ht="60" x14ac:dyDescent="0.25">
      <c r="A24" s="2" t="s">
        <v>14</v>
      </c>
      <c r="B24" s="50" t="s">
        <v>827</v>
      </c>
      <c r="C24" s="56" t="s">
        <v>465</v>
      </c>
      <c r="D24" s="56" t="s">
        <v>843</v>
      </c>
      <c r="E24" s="56" t="s">
        <v>800</v>
      </c>
      <c r="F24" s="55" t="s">
        <v>924</v>
      </c>
      <c r="G24" s="51" t="s">
        <v>922</v>
      </c>
      <c r="H24" s="55" t="s">
        <v>899</v>
      </c>
      <c r="I24" s="55">
        <v>1</v>
      </c>
      <c r="J24" s="55" t="s">
        <v>884</v>
      </c>
      <c r="K24" s="53" t="s">
        <v>148</v>
      </c>
      <c r="L24" s="52"/>
      <c r="M24" s="9"/>
      <c r="N24" s="9"/>
      <c r="O24" s="9"/>
      <c r="P24" s="8" t="s">
        <v>62</v>
      </c>
      <c r="Q24" s="8" t="s">
        <v>48</v>
      </c>
      <c r="R24" s="11"/>
    </row>
    <row r="25" spans="1:18" s="3" customFormat="1" ht="30" x14ac:dyDescent="0.25">
      <c r="A25" s="2" t="s">
        <v>0</v>
      </c>
      <c r="B25" s="50" t="s">
        <v>827</v>
      </c>
      <c r="C25" s="56" t="s">
        <v>465</v>
      </c>
      <c r="D25" s="57" t="s">
        <v>843</v>
      </c>
      <c r="E25" s="57" t="s">
        <v>800</v>
      </c>
      <c r="F25" s="55" t="s">
        <v>887</v>
      </c>
      <c r="G25" s="55" t="s">
        <v>887</v>
      </c>
      <c r="H25" s="55" t="s">
        <v>887</v>
      </c>
      <c r="I25" s="55" t="s">
        <v>887</v>
      </c>
      <c r="J25" s="63" t="s">
        <v>883</v>
      </c>
      <c r="K25" s="53" t="s">
        <v>840</v>
      </c>
      <c r="L25" s="54"/>
      <c r="M25" s="9"/>
      <c r="N25" s="9"/>
      <c r="O25" s="9"/>
      <c r="P25" s="8" t="s">
        <v>62</v>
      </c>
      <c r="Q25" s="8" t="s">
        <v>49</v>
      </c>
      <c r="R25" s="11"/>
    </row>
    <row r="26" spans="1:18" s="3" customFormat="1" ht="30" x14ac:dyDescent="0.25">
      <c r="A26" s="2" t="s">
        <v>54</v>
      </c>
      <c r="B26" s="50" t="s">
        <v>827</v>
      </c>
      <c r="C26" s="56" t="s">
        <v>465</v>
      </c>
      <c r="D26" s="57" t="s">
        <v>843</v>
      </c>
      <c r="E26" s="57" t="s">
        <v>800</v>
      </c>
      <c r="F26" s="55" t="s">
        <v>887</v>
      </c>
      <c r="G26" s="55" t="s">
        <v>887</v>
      </c>
      <c r="H26" s="55" t="s">
        <v>887</v>
      </c>
      <c r="I26" s="55" t="s">
        <v>887</v>
      </c>
      <c r="J26" s="50" t="s">
        <v>891</v>
      </c>
      <c r="K26" s="53" t="s">
        <v>840</v>
      </c>
      <c r="L26" s="52"/>
      <c r="M26" s="9"/>
      <c r="N26" s="9"/>
      <c r="O26" s="9"/>
      <c r="P26" s="8" t="s">
        <v>101</v>
      </c>
      <c r="Q26" s="8" t="s">
        <v>55</v>
      </c>
      <c r="R26" s="11"/>
    </row>
    <row r="27" spans="1:18" s="3" customFormat="1" ht="30" x14ac:dyDescent="0.25">
      <c r="A27" s="2" t="s">
        <v>15</v>
      </c>
      <c r="B27" s="50" t="s">
        <v>827</v>
      </c>
      <c r="C27" s="56" t="s">
        <v>465</v>
      </c>
      <c r="D27" s="57" t="s">
        <v>843</v>
      </c>
      <c r="E27" s="57" t="s">
        <v>800</v>
      </c>
      <c r="F27" s="55" t="s">
        <v>887</v>
      </c>
      <c r="G27" s="55" t="s">
        <v>887</v>
      </c>
      <c r="H27" s="55" t="s">
        <v>887</v>
      </c>
      <c r="I27" s="55" t="s">
        <v>887</v>
      </c>
      <c r="J27" s="50" t="s">
        <v>891</v>
      </c>
      <c r="K27" s="53" t="s">
        <v>840</v>
      </c>
      <c r="L27" s="52"/>
      <c r="M27" s="9"/>
      <c r="N27" s="9"/>
      <c r="O27" s="9"/>
      <c r="P27" s="8" t="s">
        <v>101</v>
      </c>
      <c r="Q27" s="8" t="s">
        <v>56</v>
      </c>
      <c r="R27" s="11"/>
    </row>
    <row r="28" spans="1:18" s="3" customFormat="1" ht="120" x14ac:dyDescent="0.25">
      <c r="A28" s="2" t="s">
        <v>20</v>
      </c>
      <c r="B28" s="50" t="s">
        <v>827</v>
      </c>
      <c r="C28" s="56" t="s">
        <v>465</v>
      </c>
      <c r="D28" s="57" t="s">
        <v>843</v>
      </c>
      <c r="E28" s="57" t="s">
        <v>800</v>
      </c>
      <c r="F28" s="55" t="s">
        <v>932</v>
      </c>
      <c r="G28" s="55" t="s">
        <v>941</v>
      </c>
      <c r="H28" s="55" t="s">
        <v>933</v>
      </c>
      <c r="I28" s="55">
        <v>1</v>
      </c>
      <c r="J28" s="55" t="s">
        <v>936</v>
      </c>
      <c r="K28" s="53" t="s">
        <v>149</v>
      </c>
      <c r="L28" s="52" t="s">
        <v>934</v>
      </c>
      <c r="M28" s="9"/>
      <c r="N28" s="9"/>
      <c r="O28" s="9"/>
      <c r="P28" s="8" t="s">
        <v>101</v>
      </c>
      <c r="Q28" s="8" t="s">
        <v>57</v>
      </c>
      <c r="R28" s="11" t="s">
        <v>134</v>
      </c>
    </row>
    <row r="29" spans="1:18" s="3" customFormat="1" ht="120" x14ac:dyDescent="0.25">
      <c r="A29" s="2" t="s">
        <v>20</v>
      </c>
      <c r="B29" s="50" t="s">
        <v>827</v>
      </c>
      <c r="C29" s="56" t="s">
        <v>465</v>
      </c>
      <c r="D29" s="57" t="s">
        <v>843</v>
      </c>
      <c r="E29" s="57" t="s">
        <v>800</v>
      </c>
      <c r="F29" s="55" t="s">
        <v>935</v>
      </c>
      <c r="G29" s="55" t="s">
        <v>940</v>
      </c>
      <c r="H29" s="55" t="s">
        <v>937</v>
      </c>
      <c r="I29" s="55">
        <v>1</v>
      </c>
      <c r="J29" s="55" t="s">
        <v>938</v>
      </c>
      <c r="K29" s="53" t="s">
        <v>149</v>
      </c>
      <c r="L29" s="52" t="s">
        <v>934</v>
      </c>
      <c r="M29" s="9"/>
      <c r="N29" s="9"/>
      <c r="O29" s="9"/>
      <c r="P29" s="8" t="s">
        <v>101</v>
      </c>
      <c r="Q29" s="8" t="s">
        <v>57</v>
      </c>
      <c r="R29" s="11" t="s">
        <v>134</v>
      </c>
    </row>
    <row r="30" spans="1:18" s="3" customFormat="1" ht="141" customHeight="1" x14ac:dyDescent="0.25">
      <c r="A30" s="2" t="s">
        <v>20</v>
      </c>
      <c r="B30" s="50" t="s">
        <v>827</v>
      </c>
      <c r="C30" s="56" t="s">
        <v>465</v>
      </c>
      <c r="D30" s="57" t="s">
        <v>843</v>
      </c>
      <c r="E30" s="57" t="s">
        <v>800</v>
      </c>
      <c r="F30" s="55" t="s">
        <v>942</v>
      </c>
      <c r="G30" s="55" t="s">
        <v>947</v>
      </c>
      <c r="H30" s="55" t="s">
        <v>943</v>
      </c>
      <c r="I30" s="55">
        <v>2</v>
      </c>
      <c r="J30" s="55" t="s">
        <v>944</v>
      </c>
      <c r="K30" s="53" t="s">
        <v>148</v>
      </c>
      <c r="L30" s="52"/>
      <c r="M30" s="9"/>
      <c r="N30" s="9"/>
      <c r="O30" s="9"/>
      <c r="P30" s="8" t="s">
        <v>101</v>
      </c>
      <c r="Q30" s="8" t="s">
        <v>57</v>
      </c>
      <c r="R30" s="11" t="s">
        <v>134</v>
      </c>
    </row>
    <row r="31" spans="1:18" s="3" customFormat="1" ht="147.75" customHeight="1" x14ac:dyDescent="0.25">
      <c r="A31" s="2" t="s">
        <v>20</v>
      </c>
      <c r="B31" s="50" t="s">
        <v>827</v>
      </c>
      <c r="C31" s="56" t="s">
        <v>465</v>
      </c>
      <c r="D31" s="57" t="s">
        <v>843</v>
      </c>
      <c r="E31" s="57" t="s">
        <v>800</v>
      </c>
      <c r="F31" s="55" t="s">
        <v>945</v>
      </c>
      <c r="G31" s="55" t="s">
        <v>946</v>
      </c>
      <c r="H31" s="55">
        <v>4790444166</v>
      </c>
      <c r="I31" s="55">
        <v>2</v>
      </c>
      <c r="J31" s="55" t="s">
        <v>950</v>
      </c>
      <c r="K31" s="53" t="s">
        <v>148</v>
      </c>
      <c r="L31" s="52"/>
      <c r="M31" s="9"/>
      <c r="N31" s="9"/>
      <c r="O31" s="9"/>
      <c r="P31" s="8" t="s">
        <v>101</v>
      </c>
      <c r="Q31" s="8" t="s">
        <v>57</v>
      </c>
      <c r="R31" s="11" t="s">
        <v>134</v>
      </c>
    </row>
    <row r="32" spans="1:18" s="3" customFormat="1" ht="134.25" customHeight="1" x14ac:dyDescent="0.25">
      <c r="A32" s="2" t="s">
        <v>20</v>
      </c>
      <c r="B32" s="50" t="s">
        <v>827</v>
      </c>
      <c r="C32" s="56" t="s">
        <v>465</v>
      </c>
      <c r="D32" s="57" t="s">
        <v>843</v>
      </c>
      <c r="E32" s="57" t="s">
        <v>800</v>
      </c>
      <c r="F32" s="55" t="s">
        <v>948</v>
      </c>
      <c r="G32" s="55" t="s">
        <v>949</v>
      </c>
      <c r="H32" s="55">
        <v>4790470925</v>
      </c>
      <c r="I32" s="55">
        <v>1</v>
      </c>
      <c r="J32" s="55" t="s">
        <v>951</v>
      </c>
      <c r="K32" s="53" t="s">
        <v>148</v>
      </c>
      <c r="L32" s="52"/>
      <c r="M32" s="9"/>
      <c r="N32" s="9"/>
      <c r="O32" s="9"/>
      <c r="P32" s="8" t="s">
        <v>101</v>
      </c>
      <c r="Q32" s="8" t="s">
        <v>57</v>
      </c>
      <c r="R32" s="11" t="s">
        <v>134</v>
      </c>
    </row>
    <row r="33" spans="1:18" s="3" customFormat="1" ht="144" customHeight="1" x14ac:dyDescent="0.25">
      <c r="A33" s="2" t="s">
        <v>20</v>
      </c>
      <c r="B33" s="50" t="s">
        <v>827</v>
      </c>
      <c r="C33" s="56" t="s">
        <v>465</v>
      </c>
      <c r="D33" s="56" t="s">
        <v>843</v>
      </c>
      <c r="E33" s="56" t="s">
        <v>800</v>
      </c>
      <c r="F33" s="55"/>
      <c r="G33" s="55"/>
      <c r="H33" s="55"/>
      <c r="I33" s="55"/>
      <c r="J33" s="55"/>
      <c r="K33" s="53"/>
      <c r="L33" s="52"/>
      <c r="M33" s="9"/>
      <c r="N33" s="9"/>
      <c r="O33" s="9"/>
      <c r="P33" s="8" t="s">
        <v>101</v>
      </c>
      <c r="Q33" s="8" t="s">
        <v>57</v>
      </c>
      <c r="R33" s="11" t="s">
        <v>134</v>
      </c>
    </row>
    <row r="34" spans="1:18" s="3" customFormat="1" ht="105" x14ac:dyDescent="0.25">
      <c r="A34" s="2" t="s">
        <v>20</v>
      </c>
      <c r="B34" s="50" t="s">
        <v>827</v>
      </c>
      <c r="C34" s="56" t="s">
        <v>465</v>
      </c>
      <c r="D34" s="56" t="s">
        <v>843</v>
      </c>
      <c r="E34" s="56" t="s">
        <v>800</v>
      </c>
      <c r="F34" s="55"/>
      <c r="G34" s="55"/>
      <c r="H34" s="55"/>
      <c r="I34" s="55"/>
      <c r="J34" s="54"/>
      <c r="K34" s="53"/>
      <c r="L34" s="52"/>
      <c r="M34" s="9"/>
      <c r="N34" s="9"/>
      <c r="O34" s="9"/>
      <c r="P34" s="8" t="s">
        <v>101</v>
      </c>
      <c r="Q34" s="8" t="s">
        <v>57</v>
      </c>
      <c r="R34" s="11" t="s">
        <v>134</v>
      </c>
    </row>
    <row r="35" spans="1:18" s="3" customFormat="1" ht="15.75" x14ac:dyDescent="0.25">
      <c r="A35" s="2"/>
      <c r="B35" s="1"/>
      <c r="C35" s="1"/>
      <c r="D35" s="1"/>
      <c r="E35" s="1"/>
      <c r="F35" s="1"/>
      <c r="G35" s="1"/>
      <c r="H35" s="1"/>
      <c r="I35" s="1"/>
      <c r="J35" s="1"/>
      <c r="K35" s="29"/>
      <c r="L35" s="1"/>
      <c r="M35" s="9"/>
      <c r="N35" s="9"/>
      <c r="O35" s="9"/>
      <c r="R35" s="11"/>
    </row>
    <row r="36" spans="1:18" s="3" customFormat="1" ht="15.75" x14ac:dyDescent="0.25">
      <c r="A36" s="2"/>
      <c r="B36" s="1"/>
      <c r="C36" s="1"/>
      <c r="D36" s="1"/>
      <c r="E36" s="1"/>
      <c r="F36" s="1"/>
      <c r="G36" s="1"/>
      <c r="H36" s="1"/>
      <c r="I36" s="1"/>
      <c r="J36" s="1"/>
      <c r="K36" s="29"/>
      <c r="L36" s="1"/>
      <c r="M36" s="9"/>
      <c r="N36" s="9"/>
      <c r="O36" s="9"/>
      <c r="R36" s="11"/>
    </row>
    <row r="37" spans="1:18" s="3" customFormat="1" ht="15.75" x14ac:dyDescent="0.25">
      <c r="A37" s="2"/>
      <c r="B37" s="1"/>
      <c r="C37" s="1"/>
      <c r="D37" s="1"/>
      <c r="E37" s="1"/>
      <c r="F37" s="1"/>
      <c r="G37" s="1"/>
      <c r="H37" s="1"/>
      <c r="I37" s="1"/>
      <c r="J37" s="1"/>
      <c r="K37" s="29"/>
      <c r="L37" s="1"/>
      <c r="M37" s="9"/>
      <c r="N37" s="9"/>
      <c r="O37" s="9"/>
      <c r="R37" s="11"/>
    </row>
    <row r="38" spans="1:18" s="3" customFormat="1" ht="15.75" x14ac:dyDescent="0.25">
      <c r="A38" s="2"/>
      <c r="B38" s="1"/>
      <c r="C38" s="1"/>
      <c r="D38" s="1"/>
      <c r="E38" s="1"/>
      <c r="F38" s="1"/>
      <c r="G38" s="1"/>
      <c r="H38" s="1"/>
      <c r="I38" s="1"/>
      <c r="J38" s="1"/>
      <c r="K38" s="29"/>
      <c r="L38" s="1"/>
      <c r="M38" s="9"/>
      <c r="N38" s="9"/>
      <c r="O38" s="9"/>
      <c r="R38" s="11"/>
    </row>
    <row r="39" spans="1:18" s="3" customFormat="1" ht="15.75" x14ac:dyDescent="0.25">
      <c r="A39" s="2"/>
      <c r="B39" s="1"/>
      <c r="C39" s="1"/>
      <c r="D39" s="1"/>
      <c r="E39" s="1"/>
      <c r="F39" s="1"/>
      <c r="G39" s="1"/>
      <c r="H39" s="1"/>
      <c r="I39" s="1"/>
      <c r="J39" s="1"/>
      <c r="K39" s="29"/>
      <c r="L39" s="29"/>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conditionalFormatting sqref="K3:K28 K30:K34">
    <cfRule type="expression" dxfId="123" priority="123">
      <formula>COUNTBLANK($K3)</formula>
    </cfRule>
  </conditionalFormatting>
  <conditionalFormatting sqref="A6:A9 A11:A13 A28:A34">
    <cfRule type="expression" dxfId="122" priority="122">
      <formula>COUNTBLANK($F6:$I6)</formula>
    </cfRule>
  </conditionalFormatting>
  <conditionalFormatting sqref="A6:A9 A11:A13 A28:A34">
    <cfRule type="expression" dxfId="121" priority="120">
      <formula>$K6="Not Audited"</formula>
    </cfRule>
    <cfRule type="expression" dxfId="120" priority="121">
      <formula>$K6="Not Applicable"</formula>
    </cfRule>
  </conditionalFormatting>
  <conditionalFormatting sqref="A10">
    <cfRule type="expression" dxfId="119" priority="119">
      <formula>COUNTBLANK($F10:$H10)</formula>
    </cfRule>
  </conditionalFormatting>
  <conditionalFormatting sqref="A10">
    <cfRule type="expression" dxfId="118" priority="117">
      <formula>$K10="Not Audited"</formula>
    </cfRule>
    <cfRule type="expression" dxfId="117" priority="118">
      <formula>$K10="Not Applicable"</formula>
    </cfRule>
  </conditionalFormatting>
  <conditionalFormatting sqref="A15">
    <cfRule type="expression" dxfId="116" priority="116">
      <formula>COUNTBLANK($F15:$H15)</formula>
    </cfRule>
  </conditionalFormatting>
  <conditionalFormatting sqref="A15">
    <cfRule type="expression" dxfId="115" priority="114">
      <formula>$K15="Not Audited"</formula>
    </cfRule>
    <cfRule type="expression" dxfId="114" priority="115">
      <formula>$K15="Not Applicable"</formula>
    </cfRule>
  </conditionalFormatting>
  <conditionalFormatting sqref="A14">
    <cfRule type="expression" dxfId="113" priority="113">
      <formula>COUNTBLANK($F14:$H14)</formula>
    </cfRule>
  </conditionalFormatting>
  <conditionalFormatting sqref="A14">
    <cfRule type="expression" dxfId="112" priority="111">
      <formula>$K14="Not Audited"</formula>
    </cfRule>
    <cfRule type="expression" dxfId="111" priority="112">
      <formula>$K14="Not Applicable"</formula>
    </cfRule>
  </conditionalFormatting>
  <conditionalFormatting sqref="A16:A17">
    <cfRule type="expression" dxfId="110" priority="110">
      <formula>COUNTBLANK($F16:$H16)</formula>
    </cfRule>
  </conditionalFormatting>
  <conditionalFormatting sqref="A16:A17">
    <cfRule type="expression" dxfId="109" priority="108">
      <formula>$K16="Not Audited"</formula>
    </cfRule>
    <cfRule type="expression" dxfId="108" priority="109">
      <formula>$K16="Not Applicable"</formula>
    </cfRule>
  </conditionalFormatting>
  <conditionalFormatting sqref="A18">
    <cfRule type="expression" dxfId="107" priority="107">
      <formula>COUNTBLANK($F18:$H18)</formula>
    </cfRule>
  </conditionalFormatting>
  <conditionalFormatting sqref="A18">
    <cfRule type="expression" dxfId="106" priority="105">
      <formula>$K18="Not Audited"</formula>
    </cfRule>
    <cfRule type="expression" dxfId="105" priority="106">
      <formula>$K18="Not Applicable"</formula>
    </cfRule>
  </conditionalFormatting>
  <conditionalFormatting sqref="A19:A21">
    <cfRule type="expression" dxfId="104" priority="104">
      <formula>COUNTBLANK($F19:$H19)</formula>
    </cfRule>
  </conditionalFormatting>
  <conditionalFormatting sqref="A19:A21">
    <cfRule type="expression" dxfId="103" priority="102">
      <formula>$K19="Not Audited"</formula>
    </cfRule>
    <cfRule type="expression" dxfId="102" priority="103">
      <formula>$K19="Not Applicable"</formula>
    </cfRule>
  </conditionalFormatting>
  <conditionalFormatting sqref="A22:A24">
    <cfRule type="expression" dxfId="101" priority="101">
      <formula>COUNTBLANK($F22:$H22)</formula>
    </cfRule>
  </conditionalFormatting>
  <conditionalFormatting sqref="A22:A24">
    <cfRule type="expression" dxfId="100" priority="99">
      <formula>$K22="Not Audited"</formula>
    </cfRule>
    <cfRule type="expression" dxfId="99" priority="100">
      <formula>$K22="Not Applicable"</formula>
    </cfRule>
  </conditionalFormatting>
  <conditionalFormatting sqref="A25:A27">
    <cfRule type="expression" dxfId="98" priority="98">
      <formula>COUNTBLANK($F25:$H25)</formula>
    </cfRule>
  </conditionalFormatting>
  <conditionalFormatting sqref="A25:A27">
    <cfRule type="expression" dxfId="97" priority="96">
      <formula>$K25="Not Audited"</formula>
    </cfRule>
    <cfRule type="expression" dxfId="96" priority="97">
      <formula>$K25="Not Applicable"</formula>
    </cfRule>
  </conditionalFormatting>
  <conditionalFormatting sqref="A3:A5">
    <cfRule type="expression" dxfId="95" priority="95">
      <formula>COUNTBLANK($F3:$H3)</formula>
    </cfRule>
  </conditionalFormatting>
  <conditionalFormatting sqref="A3:A5">
    <cfRule type="expression" dxfId="94" priority="93">
      <formula>$K3="Not Audited"</formula>
    </cfRule>
    <cfRule type="expression" dxfId="93" priority="94">
      <formula>$K3="Not Applicable"</formula>
    </cfRule>
  </conditionalFormatting>
  <conditionalFormatting sqref="H6:H9">
    <cfRule type="expression" dxfId="92" priority="88">
      <formula>COUNTBLANK($H6)</formula>
    </cfRule>
  </conditionalFormatting>
  <conditionalFormatting sqref="I6">
    <cfRule type="expression" dxfId="91" priority="87">
      <formula>COUNTBLANK($I6)</formula>
    </cfRule>
  </conditionalFormatting>
  <conditionalFormatting sqref="I7:I9">
    <cfRule type="expression" dxfId="90" priority="86">
      <formula>COUNTBLANK($I7)</formula>
    </cfRule>
  </conditionalFormatting>
  <conditionalFormatting sqref="F15 F17 F19">
    <cfRule type="expression" dxfId="89" priority="80">
      <formula>COUNTBLANK($F15)</formula>
    </cfRule>
  </conditionalFormatting>
  <conditionalFormatting sqref="H15 H17 H19">
    <cfRule type="expression" dxfId="88" priority="79">
      <formula>COUNTBLANK($H15)</formula>
    </cfRule>
  </conditionalFormatting>
  <conditionalFormatting sqref="F28">
    <cfRule type="expression" dxfId="87" priority="77">
      <formula>COUNTBLANK($F28)</formula>
    </cfRule>
  </conditionalFormatting>
  <conditionalFormatting sqref="G28">
    <cfRule type="expression" dxfId="86" priority="76">
      <formula>COUNTBLANK($G28)</formula>
    </cfRule>
  </conditionalFormatting>
  <conditionalFormatting sqref="H22:H24 H28:H32">
    <cfRule type="expression" dxfId="85" priority="75">
      <formula>COUNTBLANK($H22)</formula>
    </cfRule>
  </conditionalFormatting>
  <conditionalFormatting sqref="I28:I33">
    <cfRule type="expression" dxfId="84" priority="74">
      <formula>COUNTBLANK($I28)</formula>
    </cfRule>
  </conditionalFormatting>
  <conditionalFormatting sqref="F29:F32">
    <cfRule type="expression" dxfId="83" priority="73">
      <formula>COUNTBLANK($F29)</formula>
    </cfRule>
  </conditionalFormatting>
  <conditionalFormatting sqref="G29:G32">
    <cfRule type="expression" dxfId="82" priority="72">
      <formula>COUNTBLANK($G29)</formula>
    </cfRule>
  </conditionalFormatting>
  <conditionalFormatting sqref="H34">
    <cfRule type="expression" dxfId="81" priority="70">
      <formula>COUNTBLANK($H34)</formula>
    </cfRule>
  </conditionalFormatting>
  <conditionalFormatting sqref="F34">
    <cfRule type="expression" dxfId="80" priority="69">
      <formula>COUNTBLANK($F34)</formula>
    </cfRule>
  </conditionalFormatting>
  <conditionalFormatting sqref="G34">
    <cfRule type="expression" dxfId="79" priority="68">
      <formula>COUNTBLANK($G34)</formula>
    </cfRule>
  </conditionalFormatting>
  <conditionalFormatting sqref="I34">
    <cfRule type="expression" dxfId="78" priority="67">
      <formula>COUNTBLANK($I34)</formula>
    </cfRule>
  </conditionalFormatting>
  <conditionalFormatting sqref="H33">
    <cfRule type="expression" dxfId="77" priority="66">
      <formula>COUNTBLANK($H33)</formula>
    </cfRule>
  </conditionalFormatting>
  <conditionalFormatting sqref="F33">
    <cfRule type="expression" dxfId="76" priority="65">
      <formula>COUNTBLANK($F33)</formula>
    </cfRule>
  </conditionalFormatting>
  <conditionalFormatting sqref="G33">
    <cfRule type="expression" dxfId="75" priority="64">
      <formula>COUNTBLANK($G33)</formula>
    </cfRule>
  </conditionalFormatting>
  <conditionalFormatting sqref="I24">
    <cfRule type="expression" dxfId="74" priority="63">
      <formula>COUNTBLANK($I24)</formula>
    </cfRule>
  </conditionalFormatting>
  <conditionalFormatting sqref="H11">
    <cfRule type="expression" dxfId="73" priority="62">
      <formula>COUNTBLANK($H11)</formula>
    </cfRule>
  </conditionalFormatting>
  <conditionalFormatting sqref="H12">
    <cfRule type="expression" dxfId="72" priority="61">
      <formula>COUNTBLANK($H12)</formula>
    </cfRule>
  </conditionalFormatting>
  <conditionalFormatting sqref="H16">
    <cfRule type="expression" dxfId="71" priority="60">
      <formula>COUNTBLANK($G16)</formula>
    </cfRule>
  </conditionalFormatting>
  <conditionalFormatting sqref="F16">
    <cfRule type="expression" dxfId="70" priority="59">
      <formula>COUNTBLANK($G16)</formula>
    </cfRule>
  </conditionalFormatting>
  <conditionalFormatting sqref="G18">
    <cfRule type="expression" dxfId="69" priority="58">
      <formula>COUNTBLANK($G18)</formula>
    </cfRule>
  </conditionalFormatting>
  <conditionalFormatting sqref="H18">
    <cfRule type="expression" dxfId="68" priority="57">
      <formula>COUNTBLANK($G18)</formula>
    </cfRule>
  </conditionalFormatting>
  <conditionalFormatting sqref="F18">
    <cfRule type="expression" dxfId="67" priority="56">
      <formula>COUNTBLANK($G18)</formula>
    </cfRule>
  </conditionalFormatting>
  <conditionalFormatting sqref="I16">
    <cfRule type="expression" dxfId="66" priority="55">
      <formula>COUNTBLANK($G16)</formula>
    </cfRule>
  </conditionalFormatting>
  <conditionalFormatting sqref="I18">
    <cfRule type="expression" dxfId="65" priority="54">
      <formula>COUNTBLANK($G18)</formula>
    </cfRule>
  </conditionalFormatting>
  <conditionalFormatting sqref="F10">
    <cfRule type="expression" dxfId="64" priority="52">
      <formula>COUNTBLANK($G10)</formula>
    </cfRule>
  </conditionalFormatting>
  <conditionalFormatting sqref="F3:F5 H3:I5">
    <cfRule type="expression" dxfId="63" priority="51">
      <formula>COUNTBLANK($G3)</formula>
    </cfRule>
  </conditionalFormatting>
  <conditionalFormatting sqref="F14 H14:I14">
    <cfRule type="expression" dxfId="62" priority="50">
      <formula>COUNTBLANK($G14)</formula>
    </cfRule>
  </conditionalFormatting>
  <conditionalFormatting sqref="F20:F21 H20:I21">
    <cfRule type="expression" dxfId="61" priority="49">
      <formula>COUNTBLANK($G20)</formula>
    </cfRule>
  </conditionalFormatting>
  <conditionalFormatting sqref="J20">
    <cfRule type="expression" dxfId="60" priority="48">
      <formula>COUNTBLANK($G20)</formula>
    </cfRule>
  </conditionalFormatting>
  <conditionalFormatting sqref="F25:I27">
    <cfRule type="expression" dxfId="59" priority="47">
      <formula>COUNTBLANK($G25)</formula>
    </cfRule>
  </conditionalFormatting>
  <conditionalFormatting sqref="H13">
    <cfRule type="expression" dxfId="58" priority="44">
      <formula>COUNTBLANK($H13)</formula>
    </cfRule>
  </conditionalFormatting>
  <conditionalFormatting sqref="I22:I23">
    <cfRule type="expression" dxfId="57" priority="43">
      <formula>COUNTBLANK($I22)</formula>
    </cfRule>
  </conditionalFormatting>
  <conditionalFormatting sqref="I15">
    <cfRule type="expression" dxfId="56" priority="42">
      <formula>COUNTBLANK($I15)</formula>
    </cfRule>
  </conditionalFormatting>
  <conditionalFormatting sqref="I19 I17">
    <cfRule type="expression" dxfId="55" priority="41">
      <formula>COUNTBLANK($I17)</formula>
    </cfRule>
  </conditionalFormatting>
  <conditionalFormatting sqref="F9">
    <cfRule type="expression" dxfId="54" priority="40">
      <formula>COUNTBLANK($H9)</formula>
    </cfRule>
  </conditionalFormatting>
  <conditionalFormatting sqref="F24">
    <cfRule type="expression" dxfId="53" priority="39">
      <formula>COUNTBLANK($F24)</formula>
    </cfRule>
  </conditionalFormatting>
  <conditionalFormatting sqref="G5">
    <cfRule type="expression" dxfId="52" priority="38">
      <formula>COUNTBLANK($G5)</formula>
    </cfRule>
  </conditionalFormatting>
  <conditionalFormatting sqref="G3">
    <cfRule type="expression" dxfId="51" priority="37">
      <formula>COUNTBLANK($G3)</formula>
    </cfRule>
  </conditionalFormatting>
  <conditionalFormatting sqref="G4">
    <cfRule type="expression" dxfId="50" priority="36">
      <formula>COUNTBLANK($G4)</formula>
    </cfRule>
  </conditionalFormatting>
  <conditionalFormatting sqref="G6">
    <cfRule type="expression" dxfId="49" priority="35">
      <formula>COUNTBLANK($G6)</formula>
    </cfRule>
  </conditionalFormatting>
  <conditionalFormatting sqref="G7:G8">
    <cfRule type="expression" dxfId="48" priority="33">
      <formula>COUNTBLANK($G7)</formula>
    </cfRule>
  </conditionalFormatting>
  <conditionalFormatting sqref="G9:G11">
    <cfRule type="expression" dxfId="47" priority="32">
      <formula>COUNTBLANK($G9)</formula>
    </cfRule>
  </conditionalFormatting>
  <conditionalFormatting sqref="H10">
    <cfRule type="expression" dxfId="46" priority="31">
      <formula>COUNTBLANK($G10)</formula>
    </cfRule>
  </conditionalFormatting>
  <conditionalFormatting sqref="I10:J10">
    <cfRule type="expression" dxfId="45" priority="30">
      <formula>COUNTBLANK($G10)</formula>
    </cfRule>
  </conditionalFormatting>
  <conditionalFormatting sqref="F11">
    <cfRule type="expression" dxfId="44" priority="29">
      <formula>COUNTBLANK($H11)</formula>
    </cfRule>
  </conditionalFormatting>
  <conditionalFormatting sqref="F12">
    <cfRule type="expression" dxfId="43" priority="28">
      <formula>COUNTBLANK($H12)</formula>
    </cfRule>
  </conditionalFormatting>
  <conditionalFormatting sqref="F13">
    <cfRule type="expression" dxfId="42" priority="27">
      <formula>COUNTBLANK($H13)</formula>
    </cfRule>
  </conditionalFormatting>
  <conditionalFormatting sqref="G14">
    <cfRule type="expression" dxfId="41" priority="26">
      <formula>COUNTBLANK($F14)</formula>
    </cfRule>
  </conditionalFormatting>
  <conditionalFormatting sqref="G15">
    <cfRule type="expression" dxfId="40" priority="25">
      <formula>COUNTBLANK($G15)</formula>
    </cfRule>
  </conditionalFormatting>
  <conditionalFormatting sqref="G16">
    <cfRule type="expression" dxfId="39" priority="24">
      <formula>COUNTBLANK($F16)</formula>
    </cfRule>
  </conditionalFormatting>
  <conditionalFormatting sqref="G12:G13">
    <cfRule type="expression" dxfId="38" priority="23">
      <formula>COUNTBLANK($G12)</formula>
    </cfRule>
  </conditionalFormatting>
  <conditionalFormatting sqref="G17">
    <cfRule type="expression" dxfId="37" priority="22">
      <formula>COUNTBLANK($G17)</formula>
    </cfRule>
  </conditionalFormatting>
  <conditionalFormatting sqref="G20:G21">
    <cfRule type="expression" dxfId="36" priority="21">
      <formula>COUNTBLANK($F20)</formula>
    </cfRule>
  </conditionalFormatting>
  <conditionalFormatting sqref="G19">
    <cfRule type="expression" dxfId="35" priority="20">
      <formula>COUNTBLANK($G19)</formula>
    </cfRule>
  </conditionalFormatting>
  <conditionalFormatting sqref="G22:G24">
    <cfRule type="expression" dxfId="34" priority="19">
      <formula>COUNTBLANK($G22)</formula>
    </cfRule>
  </conditionalFormatting>
  <conditionalFormatting sqref="F22:F23">
    <cfRule type="expression" dxfId="33" priority="18">
      <formula>COUNTBLANK($G22)</formula>
    </cfRule>
  </conditionalFormatting>
  <conditionalFormatting sqref="F7:F8">
    <cfRule type="expression" dxfId="32" priority="17">
      <formula>COUNTBLANK($H7)</formula>
    </cfRule>
  </conditionalFormatting>
  <conditionalFormatting sqref="F6">
    <cfRule type="expression" dxfId="31" priority="16">
      <formula>COUNTBLANK($G6)</formula>
    </cfRule>
  </conditionalFormatting>
  <conditionalFormatting sqref="I11:I12">
    <cfRule type="expression" dxfId="30" priority="15">
      <formula>COUNTBLANK($I11)</formula>
    </cfRule>
  </conditionalFormatting>
  <conditionalFormatting sqref="I13">
    <cfRule type="expression" dxfId="29" priority="14">
      <formula>COUNTBLANK($I13)</formula>
    </cfRule>
  </conditionalFormatting>
  <conditionalFormatting sqref="K29">
    <cfRule type="expression" dxfId="28" priority="1">
      <formula>COUNTBLANK($K29)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34" operator="equal" id="{215AD2BE-1F45-4197-92C0-3E41EE984C39}">
            <xm:f>Sheet1!$A$5</xm:f>
            <x14:dxf>
              <fill>
                <patternFill>
                  <bgColor rgb="FFFF0000"/>
                </patternFill>
              </fill>
            </x14:dxf>
          </x14:cfRule>
          <x14:cfRule type="cellIs" priority="135" operator="equal" id="{D3713090-5C1D-4957-BA0E-7FB5619A8174}">
            <xm:f>Sheet1!$A$4</xm:f>
            <x14:dxf>
              <fill>
                <patternFill>
                  <bgColor rgb="FFFFFF00"/>
                </patternFill>
              </fill>
            </x14:dxf>
          </x14:cfRule>
          <x14:cfRule type="cellIs" priority="136" operator="equal" id="{C1B13A27-17C0-4518-9678-922973E44902}">
            <xm:f>Sheet1!$A$3</xm:f>
            <x14:dxf>
              <fill>
                <patternFill>
                  <bgColor theme="9" tint="0.59996337778862885"/>
                </patternFill>
              </fill>
            </x14:dxf>
          </x14:cfRule>
          <x14:cfRule type="cellIs" priority="137" operator="equal" id="{DA5B28B2-E384-4327-A417-965F33210FC4}">
            <xm:f>Sheet1!$A$2</xm:f>
            <x14:dxf>
              <fill>
                <patternFill>
                  <bgColor theme="9" tint="0.39994506668294322"/>
                </patternFill>
              </fill>
            </x14:dxf>
          </x14:cfRule>
          <xm:sqref>L39</xm:sqref>
        </x14:conditionalFormatting>
        <x14:conditionalFormatting xmlns:xm="http://schemas.microsoft.com/office/excel/2006/main">
          <x14:cfRule type="cellIs" priority="138" operator="equal" id="{193741EE-D37A-4F5B-AC5D-65E3C530FAE8}">
            <xm:f>Sheet1!$A$7</xm:f>
            <x14:dxf>
              <fill>
                <patternFill>
                  <bgColor theme="5"/>
                </patternFill>
              </fill>
            </x14:dxf>
          </x14:cfRule>
          <x14:cfRule type="cellIs" priority="139" operator="equal" id="{1E044632-BA8A-4F8F-BF43-05B72FC92BA5}">
            <xm:f>Sheet1!$A$6</xm:f>
            <x14:dxf>
              <fill>
                <patternFill>
                  <bgColor rgb="FF00B0F0"/>
                </patternFill>
              </fill>
            </x14:dxf>
          </x14:cfRule>
          <x14:cfRule type="cellIs" priority="140" operator="equal" id="{983128E0-462B-43BE-9032-6D8FBBBCCB1B}">
            <xm:f>Sheet1!$A$5</xm:f>
            <x14:dxf>
              <fill>
                <patternFill>
                  <bgColor rgb="FFFF0000"/>
                </patternFill>
              </fill>
            </x14:dxf>
          </x14:cfRule>
          <x14:cfRule type="cellIs" priority="141" operator="equal" id="{489D858D-256C-4180-B450-39FF58FA2314}">
            <xm:f>Sheet1!$A$4</xm:f>
            <x14:dxf>
              <fill>
                <patternFill>
                  <bgColor rgb="FFFFFF00"/>
                </patternFill>
              </fill>
            </x14:dxf>
          </x14:cfRule>
          <x14:cfRule type="cellIs" priority="142" operator="equal" id="{5C17596C-6E9A-4498-BB51-7BCC00CB6F95}">
            <xm:f>Sheet1!$A$3</xm:f>
            <x14:dxf>
              <fill>
                <patternFill>
                  <bgColor theme="9" tint="0.59996337778862885"/>
                </patternFill>
              </fill>
            </x14:dxf>
          </x14:cfRule>
          <x14:cfRule type="cellIs" priority="143" operator="equal" id="{11ACC464-92E8-47F7-B616-AAB70E8B5DD6}">
            <xm:f>Sheet1!$A$2</xm:f>
            <x14:dxf>
              <fill>
                <patternFill>
                  <bgColor theme="9" tint="0.39994506668294322"/>
                </patternFill>
              </fill>
            </x14:dxf>
          </x14:cfRule>
          <xm:sqref>K4:K28 K30:K39</xm:sqref>
        </x14:conditionalFormatting>
        <x14:conditionalFormatting xmlns:xm="http://schemas.microsoft.com/office/excel/2006/main">
          <x14:cfRule type="cellIs" priority="124" operator="equal" id="{A783B94E-E384-4EC9-8659-50BF4496E8ED}">
            <xm:f>Sheet1!$A$7</xm:f>
            <x14:dxf>
              <fill>
                <patternFill>
                  <bgColor theme="5"/>
                </patternFill>
              </fill>
            </x14:dxf>
          </x14:cfRule>
          <x14:cfRule type="cellIs" priority="125" operator="equal" id="{B49598CF-DBFD-4F1D-96F9-BDE085FBC684}">
            <xm:f>Sheet1!$A$6</xm:f>
            <x14:dxf>
              <fill>
                <patternFill>
                  <bgColor rgb="FF00B0F0"/>
                </patternFill>
              </fill>
            </x14:dxf>
          </x14:cfRule>
          <x14:cfRule type="cellIs" priority="126" operator="equal" id="{18EA5B8F-D789-4E97-9F6C-F33BA42DEB61}">
            <xm:f>Sheet1!$A$5</xm:f>
            <x14:dxf>
              <fill>
                <patternFill>
                  <bgColor rgb="FFFF0000"/>
                </patternFill>
              </fill>
            </x14:dxf>
          </x14:cfRule>
          <x14:cfRule type="cellIs" priority="127" operator="equal" id="{899FF127-035F-450E-BDC5-27A499848CF5}">
            <xm:f>Sheet1!$A$4</xm:f>
            <x14:dxf>
              <fill>
                <patternFill>
                  <bgColor rgb="FFFFFF00"/>
                </patternFill>
              </fill>
            </x14:dxf>
          </x14:cfRule>
          <x14:cfRule type="cellIs" priority="128" operator="equal" id="{6B116C71-DCCF-4005-91E9-D7CA6022E861}">
            <xm:f>Sheet1!$A$3</xm:f>
            <x14:dxf>
              <fill>
                <patternFill>
                  <bgColor theme="9" tint="0.59996337778862885"/>
                </patternFill>
              </fill>
            </x14:dxf>
          </x14:cfRule>
          <x14:cfRule type="cellIs" priority="129" operator="equal" id="{603CAB36-A29E-4D4F-8894-44218A7E9039}">
            <xm:f>Sheet1!$A$2</xm:f>
            <x14:dxf>
              <fill>
                <patternFill>
                  <bgColor theme="9" tint="0.39994506668294322"/>
                </patternFill>
              </fill>
            </x14:dxf>
          </x14:cfRule>
          <xm:sqref>K3:K28 K30:K34</xm:sqref>
        </x14:conditionalFormatting>
        <x14:conditionalFormatting xmlns:xm="http://schemas.microsoft.com/office/excel/2006/main">
          <x14:cfRule type="cellIs" priority="8" operator="equal" id="{184FA227-CE50-4111-9BCF-7237114E74A5}">
            <xm:f>Sheet1!$A$7</xm:f>
            <x14:dxf>
              <fill>
                <patternFill>
                  <bgColor theme="5"/>
                </patternFill>
              </fill>
            </x14:dxf>
          </x14:cfRule>
          <x14:cfRule type="cellIs" priority="9" operator="equal" id="{B90089FC-8311-4566-AC8E-5B66EABBCD11}">
            <xm:f>Sheet1!$A$6</xm:f>
            <x14:dxf>
              <fill>
                <patternFill>
                  <bgColor rgb="FF00B0F0"/>
                </patternFill>
              </fill>
            </x14:dxf>
          </x14:cfRule>
          <x14:cfRule type="cellIs" priority="10" operator="equal" id="{9C2681D3-E517-4ADD-A6F1-DE5AC42E2CA7}">
            <xm:f>Sheet1!$A$5</xm:f>
            <x14:dxf>
              <fill>
                <patternFill>
                  <bgColor rgb="FFFF0000"/>
                </patternFill>
              </fill>
            </x14:dxf>
          </x14:cfRule>
          <x14:cfRule type="cellIs" priority="11" operator="equal" id="{D04DAE0F-CC95-4DB9-9B2A-824D7DE44AE8}">
            <xm:f>Sheet1!$A$4</xm:f>
            <x14:dxf>
              <fill>
                <patternFill>
                  <bgColor rgb="FFFFFF00"/>
                </patternFill>
              </fill>
            </x14:dxf>
          </x14:cfRule>
          <x14:cfRule type="cellIs" priority="12" operator="equal" id="{440962B5-98E6-4A76-9450-C5E8ABDF60D1}">
            <xm:f>Sheet1!$A$3</xm:f>
            <x14:dxf>
              <fill>
                <patternFill>
                  <bgColor theme="9" tint="0.59996337778862885"/>
                </patternFill>
              </fill>
            </x14:dxf>
          </x14:cfRule>
          <x14:cfRule type="cellIs" priority="13" operator="equal" id="{C66D5253-CE20-4A30-A5C2-FE62889DED8D}">
            <xm:f>Sheet1!$A$2</xm:f>
            <x14:dxf>
              <fill>
                <patternFill>
                  <bgColor theme="9" tint="0.39994506668294322"/>
                </patternFill>
              </fill>
            </x14:dxf>
          </x14:cfRule>
          <xm:sqref>K29</xm:sqref>
        </x14:conditionalFormatting>
        <x14:conditionalFormatting xmlns:xm="http://schemas.microsoft.com/office/excel/2006/main">
          <x14:cfRule type="cellIs" priority="2" operator="equal" id="{9F6C9DE9-82FE-49EA-9294-C77305E15492}">
            <xm:f>Sheet1!$A$7</xm:f>
            <x14:dxf>
              <fill>
                <patternFill>
                  <bgColor theme="5"/>
                </patternFill>
              </fill>
            </x14:dxf>
          </x14:cfRule>
          <x14:cfRule type="cellIs" priority="3" operator="equal" id="{57066F8B-4949-4FE9-98AB-5E910DB1495E}">
            <xm:f>Sheet1!$A$6</xm:f>
            <x14:dxf>
              <fill>
                <patternFill>
                  <bgColor rgb="FF00B0F0"/>
                </patternFill>
              </fill>
            </x14:dxf>
          </x14:cfRule>
          <x14:cfRule type="cellIs" priority="4" operator="equal" id="{96454885-536E-4A83-B521-21213CEE6E00}">
            <xm:f>Sheet1!$A$5</xm:f>
            <x14:dxf>
              <fill>
                <patternFill>
                  <bgColor rgb="FFFF0000"/>
                </patternFill>
              </fill>
            </x14:dxf>
          </x14:cfRule>
          <x14:cfRule type="cellIs" priority="5" operator="equal" id="{006F294A-B366-4B3E-89DA-F8B0155B8311}">
            <xm:f>Sheet1!$A$4</xm:f>
            <x14:dxf>
              <fill>
                <patternFill>
                  <bgColor rgb="FFFFFF00"/>
                </patternFill>
              </fill>
            </x14:dxf>
          </x14:cfRule>
          <x14:cfRule type="cellIs" priority="6" operator="equal" id="{AFA0489D-9A41-48C8-8487-E911B80AFC98}">
            <xm:f>Sheet1!$A$3</xm:f>
            <x14:dxf>
              <fill>
                <patternFill>
                  <bgColor theme="9" tint="0.59996337778862885"/>
                </patternFill>
              </fill>
            </x14:dxf>
          </x14:cfRule>
          <x14:cfRule type="cellIs" priority="7" operator="equal" id="{F8517F35-A2BB-4886-B2F8-40AC323F600D}">
            <xm:f>Sheet1!$A$2</xm:f>
            <x14:dxf>
              <fill>
                <patternFill>
                  <bgColor theme="9" tint="0.39994506668294322"/>
                </patternFill>
              </fill>
            </x14:dxf>
          </x14:cfRule>
          <xm:sqref>K29</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CF13684B-AE1F-462B-BE18-5FBC21F1517B}">
          <x14:formula1>
            <xm:f>Sheet1!$D$2:$D$281</xm:f>
          </x14:formula1>
          <xm:sqref>D3:D34</xm:sqref>
        </x14:dataValidation>
        <x14:dataValidation type="list" allowBlank="1" showInputMessage="1" showErrorMessage="1" xr:uid="{1241EC43-89FC-4CB7-B600-35CB072465AC}">
          <x14:formula1>
            <xm:f>Sheet1!$E$2:$E$48</xm:f>
          </x14:formula1>
          <xm:sqref>E35:E39</xm:sqref>
        </x14:dataValidation>
        <x14:dataValidation type="list" allowBlank="1" showInputMessage="1" showErrorMessage="1" xr:uid="{5F160A19-70F6-411F-8618-3035F00FBECA}">
          <x14:formula1>
            <xm:f>Sheet1!$B$2:$B$6</xm:f>
          </x14:formula1>
          <xm:sqref>B3:B34</xm:sqref>
        </x14:dataValidation>
        <x14:dataValidation type="list" allowBlank="1" showInputMessage="1" showErrorMessage="1" xr:uid="{0F6FC944-C769-49D9-8A32-A5F822C84083}">
          <x14:formula1>
            <xm:f>_xlfn.IFS(B3=Sheet1!$B$2,Sheet1!$C$2:$C$114,B3=Sheet1!$B$3,Sheet1!$C$115:$C$239, B3=Sheet1!$B$4,Sheet1!$C$240:$C$297,B3=Sheet1!$B$5,Sheet1!$C$298:$C$347,B3=Sheet1!$B$6,Sheet1!$C$2:$C$347)</xm:f>
          </x14:formula1>
          <xm:sqref>C3:C34</xm:sqref>
        </x14:dataValidation>
        <x14:dataValidation type="list" allowBlank="1" showInputMessage="1" showErrorMessage="1" xr:uid="{05310FCA-78E5-4BCF-820C-E28FCE7C6E55}">
          <x14:formula1>
            <xm:f>Sheet1!$A$2:$A$5</xm:f>
          </x14:formula1>
          <xm:sqref>L39</xm:sqref>
        </x14:dataValidation>
        <x14:dataValidation type="list" allowBlank="1" showInputMessage="1" showErrorMessage="1" xr:uid="{8F2EE2AF-1EC0-4F5A-8D6D-7737CC1B2641}">
          <x14:formula1>
            <xm:f>Sheet1!$A$2:$A$7</xm:f>
          </x14:formula1>
          <xm:sqref>K3:K39</xm:sqref>
        </x14:dataValidation>
        <x14:dataValidation type="list" allowBlank="1" showInputMessage="1" showErrorMessage="1" xr:uid="{CF884577-88C7-4D8F-8E64-E22CC35E81DF}">
          <x14:formula1>
            <xm:f>Sheet1!$E$2:$E$49</xm:f>
          </x14:formula1>
          <xm:sqref>E3:E34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826</v>
      </c>
      <c r="C1" s="23" t="s">
        <v>494</v>
      </c>
      <c r="D1" s="23" t="s">
        <v>22</v>
      </c>
      <c r="E1" s="23" t="s">
        <v>775</v>
      </c>
      <c r="F1" s="23"/>
    </row>
    <row r="2" spans="1:6" x14ac:dyDescent="0.25">
      <c r="A2" s="27" t="s">
        <v>148</v>
      </c>
      <c r="B2" t="s">
        <v>827</v>
      </c>
      <c r="C2" s="36" t="s">
        <v>175</v>
      </c>
      <c r="D2" t="s">
        <v>495</v>
      </c>
      <c r="E2" t="s">
        <v>776</v>
      </c>
    </row>
    <row r="3" spans="1:6" x14ac:dyDescent="0.25">
      <c r="A3" s="24" t="s">
        <v>149</v>
      </c>
      <c r="B3" t="s">
        <v>828</v>
      </c>
      <c r="C3" s="36" t="s">
        <v>176</v>
      </c>
      <c r="D3" t="s">
        <v>496</v>
      </c>
      <c r="E3" t="s">
        <v>777</v>
      </c>
    </row>
    <row r="4" spans="1:6" x14ac:dyDescent="0.25">
      <c r="A4" s="25" t="s">
        <v>150</v>
      </c>
      <c r="B4" t="s">
        <v>829</v>
      </c>
      <c r="C4" s="36" t="s">
        <v>177</v>
      </c>
      <c r="D4" t="s">
        <v>497</v>
      </c>
      <c r="E4" t="s">
        <v>778</v>
      </c>
    </row>
    <row r="5" spans="1:6" x14ac:dyDescent="0.25">
      <c r="A5" s="26" t="s">
        <v>151</v>
      </c>
      <c r="B5" t="s">
        <v>830</v>
      </c>
      <c r="C5" s="36" t="s">
        <v>178</v>
      </c>
      <c r="D5" t="s">
        <v>498</v>
      </c>
      <c r="E5" t="s">
        <v>779</v>
      </c>
    </row>
    <row r="6" spans="1:6" x14ac:dyDescent="0.25">
      <c r="A6" s="49" t="s">
        <v>841</v>
      </c>
      <c r="B6" t="s">
        <v>831</v>
      </c>
      <c r="C6" s="36" t="s">
        <v>179</v>
      </c>
      <c r="D6" t="s">
        <v>499</v>
      </c>
      <c r="E6" t="s">
        <v>780</v>
      </c>
    </row>
    <row r="7" spans="1:6" x14ac:dyDescent="0.25">
      <c r="A7" s="48" t="s">
        <v>840</v>
      </c>
      <c r="C7" s="36" t="s">
        <v>180</v>
      </c>
      <c r="D7" t="s">
        <v>500</v>
      </c>
      <c r="E7" t="s">
        <v>781</v>
      </c>
    </row>
    <row r="8" spans="1:6" x14ac:dyDescent="0.25">
      <c r="C8" s="36" t="s">
        <v>181</v>
      </c>
      <c r="D8" t="s">
        <v>501</v>
      </c>
      <c r="E8" t="s">
        <v>782</v>
      </c>
    </row>
    <row r="9" spans="1:6" x14ac:dyDescent="0.25">
      <c r="C9" s="36" t="s">
        <v>182</v>
      </c>
      <c r="D9" t="s">
        <v>502</v>
      </c>
      <c r="E9" t="s">
        <v>783</v>
      </c>
    </row>
    <row r="10" spans="1:6" x14ac:dyDescent="0.25">
      <c r="C10" s="36" t="s">
        <v>183</v>
      </c>
      <c r="D10" t="s">
        <v>503</v>
      </c>
      <c r="E10" t="s">
        <v>784</v>
      </c>
    </row>
    <row r="11" spans="1:6" x14ac:dyDescent="0.25">
      <c r="C11" s="36" t="s">
        <v>184</v>
      </c>
      <c r="D11" t="s">
        <v>504</v>
      </c>
      <c r="E11" t="s">
        <v>785</v>
      </c>
    </row>
    <row r="12" spans="1:6" x14ac:dyDescent="0.25">
      <c r="C12" s="36" t="s">
        <v>185</v>
      </c>
      <c r="D12" t="s">
        <v>505</v>
      </c>
      <c r="E12" t="s">
        <v>786</v>
      </c>
    </row>
    <row r="13" spans="1:6" x14ac:dyDescent="0.25">
      <c r="C13" s="36" t="s">
        <v>186</v>
      </c>
      <c r="D13" t="s">
        <v>506</v>
      </c>
      <c r="E13" t="s">
        <v>787</v>
      </c>
    </row>
    <row r="14" spans="1:6" x14ac:dyDescent="0.25">
      <c r="C14" s="36" t="s">
        <v>187</v>
      </c>
      <c r="D14" t="s">
        <v>507</v>
      </c>
      <c r="E14" t="s">
        <v>788</v>
      </c>
    </row>
    <row r="15" spans="1:6" x14ac:dyDescent="0.25">
      <c r="C15" s="36" t="s">
        <v>188</v>
      </c>
      <c r="D15" t="s">
        <v>508</v>
      </c>
      <c r="E15" t="s">
        <v>789</v>
      </c>
    </row>
    <row r="16" spans="1:6" x14ac:dyDescent="0.25">
      <c r="C16" s="36" t="s">
        <v>313</v>
      </c>
      <c r="D16" t="s">
        <v>509</v>
      </c>
      <c r="E16" t="s">
        <v>790</v>
      </c>
    </row>
    <row r="17" spans="3:5" x14ac:dyDescent="0.25">
      <c r="C17" s="36" t="s">
        <v>375</v>
      </c>
      <c r="D17" t="s">
        <v>510</v>
      </c>
      <c r="E17" t="s">
        <v>791</v>
      </c>
    </row>
    <row r="18" spans="3:5" x14ac:dyDescent="0.25">
      <c r="C18" s="36" t="s">
        <v>376</v>
      </c>
      <c r="D18" t="s">
        <v>511</v>
      </c>
      <c r="E18" t="s">
        <v>792</v>
      </c>
    </row>
    <row r="19" spans="3:5" x14ac:dyDescent="0.25">
      <c r="C19" s="36" t="s">
        <v>370</v>
      </c>
      <c r="D19" t="s">
        <v>512</v>
      </c>
      <c r="E19" t="s">
        <v>793</v>
      </c>
    </row>
    <row r="20" spans="3:5" x14ac:dyDescent="0.25">
      <c r="C20" s="36" t="s">
        <v>396</v>
      </c>
      <c r="D20" t="s">
        <v>513</v>
      </c>
      <c r="E20" t="s">
        <v>794</v>
      </c>
    </row>
    <row r="21" spans="3:5" x14ac:dyDescent="0.25">
      <c r="C21" s="36" t="s">
        <v>397</v>
      </c>
      <c r="D21" t="s">
        <v>514</v>
      </c>
      <c r="E21" t="s">
        <v>795</v>
      </c>
    </row>
    <row r="22" spans="3:5" x14ac:dyDescent="0.25">
      <c r="C22" s="36" t="s">
        <v>398</v>
      </c>
      <c r="D22" t="s">
        <v>515</v>
      </c>
      <c r="E22" t="s">
        <v>796</v>
      </c>
    </row>
    <row r="23" spans="3:5" x14ac:dyDescent="0.25">
      <c r="C23" s="36" t="s">
        <v>399</v>
      </c>
      <c r="D23" t="s">
        <v>516</v>
      </c>
      <c r="E23" t="s">
        <v>797</v>
      </c>
    </row>
    <row r="24" spans="3:5" x14ac:dyDescent="0.25">
      <c r="C24" s="36" t="s">
        <v>400</v>
      </c>
      <c r="D24" t="s">
        <v>517</v>
      </c>
      <c r="E24" t="s">
        <v>798</v>
      </c>
    </row>
    <row r="25" spans="3:5" x14ac:dyDescent="0.25">
      <c r="C25" s="36" t="s">
        <v>401</v>
      </c>
      <c r="D25" t="s">
        <v>518</v>
      </c>
      <c r="E25" t="s">
        <v>799</v>
      </c>
    </row>
    <row r="26" spans="3:5" x14ac:dyDescent="0.25">
      <c r="C26" s="36" t="s">
        <v>402</v>
      </c>
      <c r="D26" t="s">
        <v>519</v>
      </c>
      <c r="E26" t="s">
        <v>797</v>
      </c>
    </row>
    <row r="27" spans="3:5" x14ac:dyDescent="0.25">
      <c r="C27" s="36" t="s">
        <v>403</v>
      </c>
      <c r="D27" t="s">
        <v>520</v>
      </c>
      <c r="E27" t="s">
        <v>800</v>
      </c>
    </row>
    <row r="28" spans="3:5" x14ac:dyDescent="0.25">
      <c r="C28" s="36" t="s">
        <v>404</v>
      </c>
      <c r="D28" t="s">
        <v>521</v>
      </c>
      <c r="E28" t="s">
        <v>801</v>
      </c>
    </row>
    <row r="29" spans="3:5" x14ac:dyDescent="0.25">
      <c r="C29" s="36" t="s">
        <v>405</v>
      </c>
      <c r="D29" t="s">
        <v>522</v>
      </c>
      <c r="E29" t="s">
        <v>802</v>
      </c>
    </row>
    <row r="30" spans="3:5" x14ac:dyDescent="0.25">
      <c r="C30" s="36" t="s">
        <v>406</v>
      </c>
      <c r="D30" t="s">
        <v>523</v>
      </c>
      <c r="E30" t="s">
        <v>803</v>
      </c>
    </row>
    <row r="31" spans="3:5" x14ac:dyDescent="0.25">
      <c r="C31" s="36" t="s">
        <v>407</v>
      </c>
      <c r="D31" t="s">
        <v>524</v>
      </c>
      <c r="E31" s="30" t="s">
        <v>804</v>
      </c>
    </row>
    <row r="32" spans="3:5" x14ac:dyDescent="0.25">
      <c r="C32" s="36" t="s">
        <v>408</v>
      </c>
      <c r="D32" t="s">
        <v>525</v>
      </c>
      <c r="E32" s="30" t="s">
        <v>805</v>
      </c>
    </row>
    <row r="33" spans="3:5" x14ac:dyDescent="0.25">
      <c r="C33" s="36" t="s">
        <v>409</v>
      </c>
      <c r="D33" t="s">
        <v>526</v>
      </c>
      <c r="E33" s="30" t="s">
        <v>806</v>
      </c>
    </row>
    <row r="34" spans="3:5" x14ac:dyDescent="0.25">
      <c r="C34" s="36" t="s">
        <v>410</v>
      </c>
      <c r="D34" t="s">
        <v>527</v>
      </c>
      <c r="E34" s="31" t="s">
        <v>807</v>
      </c>
    </row>
    <row r="35" spans="3:5" x14ac:dyDescent="0.25">
      <c r="C35" s="36" t="s">
        <v>411</v>
      </c>
      <c r="D35" t="s">
        <v>528</v>
      </c>
      <c r="E35" s="32" t="s">
        <v>808</v>
      </c>
    </row>
    <row r="36" spans="3:5" x14ac:dyDescent="0.25">
      <c r="C36" s="36" t="s">
        <v>412</v>
      </c>
      <c r="D36" t="s">
        <v>529</v>
      </c>
      <c r="E36" s="31" t="s">
        <v>809</v>
      </c>
    </row>
    <row r="37" spans="3:5" x14ac:dyDescent="0.25">
      <c r="C37" s="36" t="s">
        <v>413</v>
      </c>
      <c r="D37" t="s">
        <v>530</v>
      </c>
      <c r="E37" s="31" t="s">
        <v>810</v>
      </c>
    </row>
    <row r="38" spans="3:5" x14ac:dyDescent="0.25">
      <c r="C38" s="36" t="s">
        <v>414</v>
      </c>
      <c r="D38" t="s">
        <v>531</v>
      </c>
      <c r="E38" s="31" t="s">
        <v>811</v>
      </c>
    </row>
    <row r="39" spans="3:5" x14ac:dyDescent="0.25">
      <c r="C39" s="36" t="s">
        <v>415</v>
      </c>
      <c r="D39" t="s">
        <v>532</v>
      </c>
      <c r="E39" s="33" t="s">
        <v>812</v>
      </c>
    </row>
    <row r="40" spans="3:5" x14ac:dyDescent="0.25">
      <c r="C40" s="36" t="s">
        <v>416</v>
      </c>
      <c r="D40" t="s">
        <v>533</v>
      </c>
      <c r="E40" s="33" t="s">
        <v>813</v>
      </c>
    </row>
    <row r="41" spans="3:5" x14ac:dyDescent="0.25">
      <c r="C41" s="36" t="s">
        <v>417</v>
      </c>
      <c r="D41" t="s">
        <v>534</v>
      </c>
      <c r="E41" s="33" t="s">
        <v>816</v>
      </c>
    </row>
    <row r="42" spans="3:5" x14ac:dyDescent="0.25">
      <c r="C42" s="36" t="s">
        <v>418</v>
      </c>
      <c r="D42" t="s">
        <v>535</v>
      </c>
      <c r="E42" s="34" t="s">
        <v>814</v>
      </c>
    </row>
    <row r="43" spans="3:5" x14ac:dyDescent="0.25">
      <c r="C43" s="36" t="s">
        <v>419</v>
      </c>
      <c r="D43" t="s">
        <v>536</v>
      </c>
      <c r="E43" s="35" t="s">
        <v>815</v>
      </c>
    </row>
    <row r="44" spans="3:5" x14ac:dyDescent="0.25">
      <c r="C44" s="36" t="s">
        <v>420</v>
      </c>
      <c r="D44" t="s">
        <v>537</v>
      </c>
      <c r="E44" t="s">
        <v>817</v>
      </c>
    </row>
    <row r="45" spans="3:5" x14ac:dyDescent="0.25">
      <c r="C45" s="36" t="s">
        <v>421</v>
      </c>
      <c r="D45" t="s">
        <v>538</v>
      </c>
      <c r="E45" t="s">
        <v>818</v>
      </c>
    </row>
    <row r="46" spans="3:5" x14ac:dyDescent="0.25">
      <c r="C46" s="36" t="s">
        <v>422</v>
      </c>
      <c r="D46" t="s">
        <v>539</v>
      </c>
      <c r="E46" t="s">
        <v>819</v>
      </c>
    </row>
    <row r="47" spans="3:5" x14ac:dyDescent="0.25">
      <c r="C47" s="36" t="s">
        <v>423</v>
      </c>
      <c r="D47" t="s">
        <v>540</v>
      </c>
      <c r="E47" t="s">
        <v>820</v>
      </c>
    </row>
    <row r="48" spans="3:5" x14ac:dyDescent="0.25">
      <c r="C48" s="36" t="s">
        <v>424</v>
      </c>
      <c r="D48" t="s">
        <v>541</v>
      </c>
      <c r="E48" t="s">
        <v>821</v>
      </c>
    </row>
    <row r="49" spans="3:5" x14ac:dyDescent="0.25">
      <c r="C49" s="36" t="s">
        <v>425</v>
      </c>
      <c r="D49" t="s">
        <v>542</v>
      </c>
      <c r="E49" t="s">
        <v>842</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attendance</vt:lpstr>
      <vt:lpstr>risk</vt:lpstr>
      <vt:lpstr>Ken</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2023-04-14T22:18:57Z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