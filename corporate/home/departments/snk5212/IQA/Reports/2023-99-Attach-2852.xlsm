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OLD, IQA PAST AUDITS (OLD)/23-99, Materials/"/>
    </mc:Choice>
  </mc:AlternateContent>
  <xr:revisionPtr revIDLastSave="535" documentId="8_{CEC0F764-BDEF-4D02-8794-E36C4784BFC8}" xr6:coauthVersionLast="47" xr6:coauthVersionMax="47" xr10:uidLastSave="{79D3890E-C704-4F45-A72B-6D8BFF62C245}"/>
  <bookViews>
    <workbookView xWindow="-120" yWindow="-120" windowWidth="27870" windowHeight="16440" firstSheet="1" activeTab="3" xr2:uid="{5426C36E-AAE0-45E3-9C4C-2C971D0504DB}"/>
  </bookViews>
  <sheets>
    <sheet name="ISO 17065" sheetId="13" state="hidden" r:id="rId1"/>
    <sheet name="attendance" sheetId="18" r:id="rId2"/>
    <sheet name="risk" sheetId="17" r:id="rId3"/>
    <sheet name="Ken" sheetId="16" r:id="rId4"/>
    <sheet name="Definition " sheetId="11" r:id="rId5"/>
    <sheet name="Sheet1" sheetId="14" state="hidden" r:id="rId6"/>
  </sheets>
  <definedNames>
    <definedName name="_xlnm._FilterDatabase" localSheetId="0" hidden="1">'ISO 17065'!$A$2:$U$29</definedName>
    <definedName name="_xlnm._FilterDatabase" localSheetId="3" hidden="1">Ken!$Q$2:$Q$84</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7" l="1"/>
  <c r="C4"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tc={742227DC-AC5C-4B3D-8548-C73E5BD40635}</author>
    <author>tc={DD18A5A6-7871-4B78-87E3-8FD6FB985854}</author>
    <author>tc={2688ABCC-6267-479C-AA36-F80E1EABEA06}</author>
    <author>tc={C486C491-4BF2-489E-AC66-9B7E67C47F33}</author>
    <author>tc={FCC33BAD-AAD3-4F1C-B2A4-79D86FE80793}</author>
    <author>tc={47D17868-2873-471C-BFAD-3835BB2C0C23}</author>
    <author>tc={E0A74BE6-F0B6-4421-854F-A8BE7E162C39}</author>
  </authors>
  <commentList>
    <comment ref="Q28" authorId="0" shapeId="0" xr:uid="{742227DC-AC5C-4B3D-8548-C73E5BD4063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D18A5A6-7871-4B78-87E3-8FD6FB985854}">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2688ABCC-6267-479C-AA36-F80E1EABEA0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486C491-4BF2-489E-AC66-9B7E67C47F3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FCC33BAD-AAD3-4F1C-B2A4-79D86FE8079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47D17868-2873-471C-BFAD-3835BB2C0C2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E0A74BE6-F0B6-4421-854F-A8BE7E162C3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<sst xmlns="http://schemas.openxmlformats.org/spreadsheetml/2006/main" count="1299" uniqueCount="956">
  <si>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</si>
  <si>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</si>
  <si>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</si>
  <si>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</si>
  <si>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</si>
  <si>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</si>
  <si>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</si>
  <si>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</si>
  <si>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</si>
  <si>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</si>
  <si>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</si>
  <si>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</si>
  <si>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</si>
  <si>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</si>
  <si>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</si>
  <si>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</si>
  <si>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</si>
  <si>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</si>
  <si>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</si>
  <si>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</si>
  <si>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</si>
  <si>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</si>
  <si>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</si>
  <si>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</si>
  <si>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</si>
  <si>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</si>
  <si>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</si>
  <si>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</si>
  <si>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</si>
  <si>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</si>
  <si>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</si>
  <si>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</si>
  <si>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</si>
  <si>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</si>
  <si>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</si>
  <si>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</si>
  <si>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</si>
  <si>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</si>
  <si>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</si>
  <si>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</si>
  <si>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</si>
  <si>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</si>
  <si>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</si>
  <si>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</si>
  <si>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</si>
  <si>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</si>
  <si>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</si>
  <si>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</si>
  <si>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</si>
  <si>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</si>
  <si>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</si>
  <si>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</si>
  <si>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</si>
  <si>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</si>
  <si>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</si>
  <si>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</si>
  <si>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</si>
  <si>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</si>
  <si>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</si>
  <si>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</si>
  <si>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</si>
  <si>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</si>
  <si>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</si>
  <si>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</si>
  <si>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</si>
  <si>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</si>
  <si>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</si>
  <si>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</si>
  <si>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</si>
  <si>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</si>
  <si>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</si>
  <si>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</si>
  <si>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</si>
  <si>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</si>
  <si>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</si>
  <si>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</si>
  <si>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</si>
  <si>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</si>
  <si>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</si>
  <si>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</si>
  <si>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</si>
  <si>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</si>
  <si>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</si>
  <si>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</si>
  <si>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</si>
  <si>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</si>
  <si>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</si>
  <si>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</si>
  <si>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</si>
  <si>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</si>
  <si>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</si>
  <si>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</si>
  <si>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</si>
  <si>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</si>
  <si>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</si>
  <si>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</si>
  <si>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</si>
  <si>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</si>
  <si>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</si>
  <si>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</si>
  <si>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</si>
  <si>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</si>
  <si>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</si>
  <si>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</si>
  <si>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</si>
  <si>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</si>
  <si>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</si>
  <si>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</si>
  <si>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</si>
  <si>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</si>
  <si>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</si>
  <si>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</si>
  <si>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</si>
  <si>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</si>
  <si>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</si>
  <si>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</si>
  <si>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</si>
  <si>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</si>
  <si>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</si>
  <si>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</si>
  <si>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</si>
  <si>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</si>
  <si>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</si>
  <si>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</si>
  <si>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</si>
  <si>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</si>
  <si>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</si>
  <si>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</si>
  <si>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</si>
  <si>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</si>
  <si>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</si>
  <si>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</si>
  <si>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</si>
  <si>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</si>
  <si>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</si>
  <si>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</si>
  <si>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</si>
  <si>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</si>
  <si>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</si>
  <si>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</si>
  <si>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</si>
  <si>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</si>
  <si>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</si>
  <si>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</si>
  <si>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</si>
  <si>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</si>
  <si>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</si>
  <si>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</si>
  <si>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</si>
  <si>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</si>
  <si>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</si>
  <si>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</si>
  <si>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</si>
  <si>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</si>
  <si>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</si>
  <si>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</si>
  <si>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</si>
  <si>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</si>
  <si>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</si>
  <si>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</si>
  <si>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</si>
  <si>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</si>
  <si>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</si>
  <si>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</si>
  <si>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</si>
  <si>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</si>
  <si>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</si>
  <si>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</si>
  <si>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</si>
  <si>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</si>
  <si>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</si>
  <si>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</si>
  <si>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</si>
  <si>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</si>
  <si>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</si>
  <si>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</si>
  <si>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</si>
  <si>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</si>
  <si>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</si>
  <si>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</si>
  <si>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</si>
  <si>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</si>
  <si>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</si>
  <si>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</si>
  <si>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</si>
  <si>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</si>
  <si>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</si>
  <si>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</si>
  <si>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</si>
  <si>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</si>
  <si>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</si>
  <si>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</si>
  <si>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</si>
  <si>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</si>
  <si>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</si>
  <si>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</si>
  <si>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</si>
  <si>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</si>
  <si>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</si>
  <si>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</si>
  <si>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</si>
  <si>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</si>
  <si>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</si>
  <si>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</si>
  <si>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</si>
  <si>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</si>
  <si>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</si>
  <si>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</si>
  <si>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</si>
  <si>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</si>
  <si>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</si>
  <si>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</si>
  <si>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</si>
  <si>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</si>
  <si>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</si>
  <si>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</si>
  <si>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</si>
  <si>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</si>
  <si>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</si>
  <si>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</si>
  <si>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</si>
  <si>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</si>
  <si>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</si>
  <si>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</si>
  <si>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</si>
  <si>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</si>
  <si>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</si>
  <si>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</si>
  <si>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</si>
  <si>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</si>
  <si>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</si>
  <si>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</si>
  <si>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</si>
  <si>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</si>
  <si>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</si>
  <si>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</si>
  <si>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</si>
  <si>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</si>
  <si>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</si>
  <si>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</si>
  <si>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</si>
  <si>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</si>
  <si>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</si>
  <si>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</si>
  <si>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</si>
  <si>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</si>
  <si>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</si>
  <si>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</si>
  <si>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</si>
  <si>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</si>
  <si>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</si>
  <si>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</si>
  <si>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</si>
  <si>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</si>
  <si>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</si>
  <si>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</si>
  <si>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</si>
  <si>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</si>
  <si>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</si>
  <si>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</si>
  <si>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</si>
  <si>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</si>
  <si>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</si>
  <si>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</si>
  <si>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</si>
  <si>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</si>
  <si>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</si>
  <si>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</si>
  <si>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</si>
  <si>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</si>
  <si>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</si>
  <si>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</si>
  <si>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</si>
  <si>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</si>
  <si>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</si>
  <si>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</si>
  <si>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</si>
  <si>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</si>
  <si>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</si>
  <si>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</si>
  <si>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</si>
  <si>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</si>
  <si>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</si>
  <si>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</si>
  <si>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</si>
  <si>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</si>
  <si>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</si>
  <si>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</si>
  <si>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</si>
  <si>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</si>
  <si>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</si>
  <si>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</si>
  <si>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</si>
  <si>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</si>
  <si>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</si>
  <si>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</si>
  <si>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</si>
  <si>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</si>
  <si>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</si>
  <si>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</si>
  <si>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</si>
  <si>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</si>
  <si>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</si>
  <si>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</si>
  <si>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</si>
  <si>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</si>
  <si>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</si>
  <si>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</si>
  <si>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</si>
  <si>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</si>
  <si>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</si>
  <si>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</si>
  <si>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</si>
  <si>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</si>
  <si>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</si>
  <si>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</si>
  <si>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</si>
  <si>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</si>
  <si>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</si>
  <si>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</si>
  <si>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</si>
  <si>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</si>
  <si>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</si>
  <si>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</si>
  <si>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</si>
  <si>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</si>
  <si>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</si>
  <si>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</si>
  <si>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</si>
  <si>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</si>
  <si>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</si>
  <si>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</si>
  <si>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</si>
  <si>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</si>
  <si>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</si>
  <si>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</si>
  <si>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</si>
  <si>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</si>
  <si>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</si>
  <si>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</si>
  <si>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</si>
  <si>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</si>
  <si>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</si>
  <si>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</si>
  <si>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</si>
  <si>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</si>
  <si>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</si>
  <si>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</si>
  <si>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</si>
  <si>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</si>
  <si>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</si>
  <si>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</si>
  <si>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</si>
  <si>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</si>
  <si>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</si>
  <si>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</si>
  <si>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</si>
  <si>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</si>
  <si>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</si>
  <si>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</si>
  <si>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</si>
  <si>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</si>
  <si>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</si>
  <si>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</si>
  <si>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</si>
  <si>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</si>
  <si>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</si>
  <si>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</si>
  <si>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</si>
  <si>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</si>
  <si>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</si>
  <si>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</si>
  <si>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</si>
  <si>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</si>
  <si>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</si>
  <si>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</si>
  <si>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</si>
  <si>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</si>
  <si>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</si>
  <si>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</si>
  <si>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</si>
  <si>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</si>
  <si>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</si>
  <si>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</si>
  <si>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</si>
  <si>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</si>
  <si>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</si>
  <si>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</si>
  <si>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</si>
  <si>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</si>
  <si>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</si>
  <si>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</si>
  <si>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</si>
  <si>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</si>
  <si>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</si>
  <si>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</si>
  <si>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</si>
  <si>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</si>
  <si>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</si>
  <si>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</si>
  <si>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</si>
  <si>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</si>
  <si>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</si>
  <si>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</si>
  <si>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</si>
  <si>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</si>
  <si>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</si>
  <si>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</si>
  <si>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</si>
  <si>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</si>
  <si>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</si>
  <si>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</si>
  <si>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</si>
  <si>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</si>
  <si>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</si>
  <si>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</si>
  <si>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</si>
  <si>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</si>
  <si>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</si>
  <si>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</si>
  <si>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</si>
  <si>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</si>
  <si>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</si>
  <si>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</si>
  <si>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</si>
  <si>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</si>
  <si>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</si>
  <si>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</si>
  <si>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</si>
  <si>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</si>
  <si>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</si>
  <si>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</si>
  <si>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</si>
  <si>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</si>
  <si>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</si>
  <si>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</si>
  <si>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</si>
  <si>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</si>
  <si>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</si>
  <si>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</si>
  <si>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</si>
  <si>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</si>
  <si>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</si>
  <si>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</si>
  <si>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</si>
  <si>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</si>
  <si>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</si>
  <si>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</si>
  <si>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</si>
  <si>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</si>
  <si>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</si>
  <si>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</si>
  <si>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</si>
  <si>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</si>
  <si>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</si>
  <si>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</si>
  <si>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</si>
  <si>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</si>
  <si>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</si>
  <si>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</si>
  <si>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</si>
  <si>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</si>
  <si>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</si>
  <si>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</si>
  <si>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</si>
  <si>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</si>
  <si>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</si>
  <si>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</si>
  <si>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</si>
  <si>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</si>
  <si>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</si>
  <si>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</si>
  <si>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</si>
  <si>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</si>
  <si>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</si>
  <si>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</si>
  <si>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</si>
  <si>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</si>
  <si>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</si>
  <si>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</si>
  <si>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</si>
  <si>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</si>
  <si>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</si>
  <si>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</si>
  <si>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</si>
  <si>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</si>
  <si>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</si>
  <si>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</si>
  <si>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</si>
  <si>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</si>
  <si>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</si>
  <si>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</si>
  <si>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</si>
  <si>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</si>
  <si>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</si>
  <si>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</si>
  <si>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</si>
  <si>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</si>
  <si>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</si>
  <si>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</si>
  <si>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</si>
  <si>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</si>
  <si>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</si>
  <si>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</si>
  <si>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</si>
  <si>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</si>
  <si>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</si>
  <si>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</si>
  <si>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</si>
  <si>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</si>
  <si>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</si>
  <si>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</si>
  <si>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</si>
  <si>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</si>
  <si>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</si>
  <si>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</si>
  <si>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</si>
  <si>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</si>
  <si>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</si>
  <si>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</si>
  <si>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</si>
  <si>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</si>
  <si>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</si>
  <si>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</si>
  <si>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</si>
  <si>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</si>
  <si>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</si>
  <si>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</si>
  <si>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</si>
  <si>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</si>
  <si>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</si>
  <si>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</si>
  <si>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</si>
  <si>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</si>
  <si>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</si>
  <si>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</si>
  <si>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</si>
  <si>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</si>
  <si>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</si>
  <si>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</si>
  <si>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</si>
  <si>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</si>
  <si>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</si>
  <si>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</si>
  <si>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</si>
  <si>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</si>
  <si>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</si>
  <si>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</si>
  <si>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</si>
  <si>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</si>
  <si>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</si>
  <si>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</si>
  <si>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</si>
  <si>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</si>
  <si>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</si>
  <si>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</si>
  <si>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</si>
  <si>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</si>
  <si>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</si>
  <si>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</si>
  <si>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</si>
  <si>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</si>
  <si>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</si>
  <si>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</si>
  <si>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</si>
  <si>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</si>
  <si>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</si>
  <si>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</si>
  <si>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</si>
  <si>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</si>
  <si>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</si>
  <si>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</si>
  <si>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</si>
  <si>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</si>
  <si>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</si>
  <si>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</si>
  <si>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</si>
  <si>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</si>
  <si>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</si>
  <si>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</si>
  <si>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</si>
  <si>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</si>
  <si>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</si>
  <si>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</si>
  <si>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</si>
  <si>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</si>
  <si>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</si>
  <si>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</si>
  <si>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</si>
  <si>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</si>
  <si>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</si>
  <si>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</si>
  <si>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</si>
  <si>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</si>
  <si>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</si>
  <si>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</si>
  <si>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</si>
  <si>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</si>
  <si>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</si>
  <si>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</si>
  <si>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</si>
  <si>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</si>
  <si>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</si>
  <si>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</si>
  <si>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</si>
  <si>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</si>
  <si>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</si>
  <si>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</si>
  <si>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</si>
  <si>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</si>
  <si>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</si>
  <si>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</si>
  <si>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</si>
  <si>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</si>
  <si>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</si>
  <si>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</si>
  <si>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</si>
  <si>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</si>
  <si>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</si>
  <si>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</si>
  <si>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</si>
  <si>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</si>
  <si>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</si>
  <si>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</si>
  <si>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</si>
  <si>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</si>
  <si>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</si>
  <si>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</si>
  <si>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</si>
  <si>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</si>
  <si>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</si>
  <si>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</si>
  <si>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</si>
  <si>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</si>
  <si>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</si>
  <si>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</si>
  <si>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</si>
  <si>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</si>
  <si>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</si>
  <si>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</si>
  <si>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</si>
  <si>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</si>
  <si>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</si>
  <si>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</si>
  <si>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</si>
  <si>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</si>
  <si>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</si>
  <si>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</si>
  <si>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</si>
  <si>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</si>
  <si>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</si>
  <si>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</si>
  <si>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</si>
  <si>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</si>
  <si>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</si>
  <si>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</si>
  <si>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</si>
  <si>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</si>
  <si>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</si>
  <si>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</si>
  <si>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</si>
  <si>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</si>
  <si>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</si>
  <si>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</si>
  <si>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</si>
  <si>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</si>
  <si>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</si>
  <si>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</si>
  <si>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</si>
  <si>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</si>
  <si>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</si>
  <si>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</si>
  <si>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</si>
  <si>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</si>
  <si>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</si>
  <si>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</si>
  <si>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</si>
  <si>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</si>
  <si>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</si>
  <si>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</si>
  <si>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</si>
  <si>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</si>
  <si>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</si>
  <si>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</si>
  <si>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</si>
  <si>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</si>
  <si>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</si>
  <si>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</si>
  <si>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</si>
  <si>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</si>
  <si>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</si>
  <si>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</si>
  <si>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</si>
  <si>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</si>
  <si>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</si>
  <si>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</si>
  <si>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</si>
  <si>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</si>
  <si>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</si>
  <si>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</si>
  <si>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</si>
  <si>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</si>
  <si>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</si>
  <si>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</si>
  <si>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</si>
  <si>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</si>
  <si>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</si>
  <si>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</si>
  <si>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</si>
  <si>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</si>
  <si>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</si>
  <si>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</si>
  <si>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</si>
  <si>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</si>
  <si>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</si>
  <si>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</si>
  <si>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</si>
  <si>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</si>
  <si>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</si>
  <si>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</si>
  <si>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</si>
  <si>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</si>
  <si>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</si>
  <si>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</si>
  <si>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</si>
  <si>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</si>
  <si>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</si>
  <si>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</si>
  <si>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</si>
  <si>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</si>
  <si>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</si>
  <si>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</si>
  <si>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</si>
  <si>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</si>
  <si>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</si>
  <si>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</si>
  <si>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</si>
  <si>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</si>
  <si>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</si>
  <si>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</si>
  <si>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</si>
  <si>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</si>
  <si>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</si>
  <si>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</si>
  <si>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</si>
  <si>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</si>
  <si>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</si>
  <si>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</si>
  <si>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</si>
  <si>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</si>
  <si>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</si>
  <si>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</si>
  <si>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</si>
  <si>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</si>
  <si>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</si>
  <si>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</si>
  <si>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</si>
  <si>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</si>
  <si>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</si>
  <si>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</si>
  <si>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</si>
  <si>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</si>
  <si>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</si>
  <si>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</si>
  <si>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</si>
  <si>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</si>
  <si>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</si>
  <si>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</si>
  <si>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</si>
  <si>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</si>
  <si>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</si>
  <si>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</si>
  <si>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</si>
  <si>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</si>
  <si>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</si>
  <si>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</si>
  <si>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</si>
  <si>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</si>
  <si>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</si>
  <si>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</si>
  <si>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</si>
  <si>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</si>
  <si>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</si>
  <si>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</si>
  <si>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</si>
  <si>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</si>
  <si>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</si>
  <si>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</si>
  <si>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</si>
  <si>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</si>
  <si>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</si>
  <si>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</si>
  <si>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</si>
  <si>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</si>
  <si>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</si>
  <si>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</si>
  <si>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</si>
  <si>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</si>
  <si>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</si>
  <si>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</si>
  <si>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</si>
  <si>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</si>
  <si>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</si>
  <si>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</si>
  <si>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</si>
  <si>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</si>
  <si>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</si>
  <si>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</si>
  <si>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</si>
  <si>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</si>
  <si>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</si>
  <si>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</si>
  <si>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</si>
  <si>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</si>
  <si>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</si>
  <si>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</si>
  <si>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</si>
  <si>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</si>
  <si>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</si>
  <si>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</si>
  <si>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</si>
  <si>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</si>
  <si>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</si>
  <si>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</si>
  <si>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</si>
  <si>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</si>
  <si>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</si>
  <si>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</si>
  <si>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</si>
  <si>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</si>
  <si>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</si>
  <si>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</si>
  <si>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</si>
  <si>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</si>
  <si>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</si>
  <si>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</si>
  <si>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</si>
  <si>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</si>
  <si>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</si>
  <si>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</si>
  <si>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</si>
  <si>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</si>
  <si>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</si>
  <si>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US Safety Scheme, Canada Safety Scheme</t>
  </si>
  <si>
    <t>Test equipment, software and consumable had appropriate identifications, and associated tags.</t>
  </si>
  <si>
    <t xml:space="preserve">
Systems used are backed up by IT.
See test demonstrations below for additional details. 
Staff are accountable for keeping accurate and complete records of their activities</t>
  </si>
  <si>
    <t>Audit # 2023-99</t>
  </si>
  <si>
    <t>Auditor Name: Ken Berger</t>
  </si>
  <si>
    <t>00-QA-J0860 1.0</t>
  </si>
  <si>
    <t xml:space="preserve">Post Audit Risk Assessment for Audit Resource Arrangement  </t>
  </si>
  <si>
    <t>Date</t>
  </si>
  <si>
    <t>Conducted by:</t>
  </si>
  <si>
    <t>Ken Berger</t>
  </si>
  <si>
    <t>Audit Year</t>
  </si>
  <si>
    <t xml:space="preserve">Organization being audited </t>
  </si>
  <si>
    <t>Risk Level</t>
  </si>
  <si>
    <t>Volume of work</t>
  </si>
  <si>
    <t>Previous Internal Audit Results</t>
  </si>
  <si>
    <t>Staff Changes</t>
  </si>
  <si>
    <t>Additional Monitoring Mechanism</t>
  </si>
  <si>
    <t>Management Review</t>
  </si>
  <si>
    <t>External Audit Results</t>
  </si>
  <si>
    <t>Product Incident Report</t>
  </si>
  <si>
    <t>Risk Score</t>
  </si>
  <si>
    <t>Low</t>
  </si>
  <si>
    <t>High</t>
  </si>
  <si>
    <t>Medium</t>
  </si>
  <si>
    <t>Location:</t>
  </si>
  <si>
    <t>EPT NBK Lab</t>
  </si>
  <si>
    <t>Opening date:</t>
  </si>
  <si>
    <t>Closing date:</t>
  </si>
  <si>
    <t>Name</t>
  </si>
  <si>
    <t>Title/role</t>
  </si>
  <si>
    <t>Opening</t>
  </si>
  <si>
    <t xml:space="preserve">Closing </t>
  </si>
  <si>
    <t>x</t>
  </si>
  <si>
    <t>Auditor, Lead</t>
  </si>
  <si>
    <t>Jay Kogoma</t>
  </si>
  <si>
    <t>Auditor</t>
  </si>
  <si>
    <t>Chris Bednar</t>
  </si>
  <si>
    <t>Lab Quality Manager</t>
  </si>
  <si>
    <t>Lab Manager</t>
  </si>
  <si>
    <t>Lab Ldr</t>
  </si>
  <si>
    <t>To be audited in Global Audit Programs &amp; Corrective and Preventive Action audit, 2023-61-IQA</t>
  </si>
  <si>
    <t>CAR 223924630 (from the 2022 audit) verified effective Jul, 2022</t>
  </si>
  <si>
    <t>Tom Springer</t>
  </si>
  <si>
    <t>Pete Quintas</t>
  </si>
  <si>
    <t>n/a</t>
  </si>
  <si>
    <t>Stephen Bartelt</t>
  </si>
  <si>
    <t>Senior Engineering Technician</t>
  </si>
  <si>
    <t>see projects in method selection below</t>
  </si>
  <si>
    <t xml:space="preserve">To be fully audited under NBK lab support audit, 2023-97-IQA, only discussed during witness </t>
  </si>
  <si>
    <t>see records above &amp; below</t>
  </si>
  <si>
    <t>Peter Q - 42777</t>
  </si>
  <si>
    <t>Checked with various Techs for understanding of process.
Checked from a lab supervisory standpoint with Pete &amp; Tom.</t>
  </si>
  <si>
    <t xml:space="preserve">MS Teams - 909 - Lab Weekly management meetings. 
Saw Log of nonconforming work spreadsheet.  Corrosion &amp; weathering had none since Pete - saw 4/2022 entry by prior Lead (Jason Tito).
</t>
  </si>
  <si>
    <t xml:space="preserve">MS Teams - 909 - Lab Weekly management meetings. 
Saw Log of nonconforming work spreadsheet.  Corrosion &amp; weathering had none since Pete Q became lead.  saw 4/2022 entry by prior Lead (Jason Tito).
</t>
  </si>
  <si>
    <t>Chris B. explained previously the process related to laboratory complaints from a shared lab support standpoint.
Corrosion &amp; weathering had none since Pete Q became lead</t>
  </si>
  <si>
    <t xml:space="preserve">ECM, UL Standards, IHS, ULDC, etc. seen above/below
</t>
  </si>
  <si>
    <t xml:space="preserve">
CAR's 223924630 from 2022 audit verified 2022-07-07
</t>
  </si>
  <si>
    <t xml:space="preserve">See method selection below for additional details
Systems used are backed up by IT.
Datasheets come from Engineering or FUS admins through Epublisher or ECM and located in ECM.
Standards depository: UL Standards and IHS.
SOP's, Work Instruction and LPG's from ULDC.
Trello used for workflow management in the laboratory.
</t>
  </si>
  <si>
    <t>Facilities reviewed as part of ongoing test demonstration and lab tour.
Laboratory always captures environmental conditions, the environmental conditions are also captured in the datasheets as per requirements.  Access to labs controlled via badging.</t>
  </si>
  <si>
    <t>see staff in method selection below</t>
  </si>
  <si>
    <t>NBK Shared Lab Services 2023 Technical audit plan.
4/28/22 Peer Technical Audit for Marc S (Corrossion).  Saw Eric H &amp; Scott T.</t>
  </si>
  <si>
    <t>Joe Tito</t>
  </si>
  <si>
    <t>ULID-014435,  Issue: 2.0; Policy-ULID-009203, Issue 3.0; ULID-000907, issue 2.0; ULID-000866, issue 2.0</t>
  </si>
  <si>
    <t>ULID-014435,  Issue: 2.0; Policy-ULID-009203, Issue 3.0, ULID-000207, Issue #: 3.0
RECORD OF AGREEMENTS…</t>
  </si>
  <si>
    <t>not audited</t>
  </si>
  <si>
    <t>ULID-000687 (DCS:00-LO-S0855), Issue #: 19.0
LABORATORY PERSONNEL REQUIREMENTS, 
Form-ULID-000611 (DCS:00-LO-F0861)
Issue #:  3.0, Monitoring</t>
  </si>
  <si>
    <t>Tom's manager changing and BE lab staff moving to the integrated.  
 some staff and team realignment to the level out the number of reports in the lab.  the lab leads as well as accommodate the move of Jason Tito to report to Artie Mastromarino</t>
  </si>
  <si>
    <t>Peter Q, Tom S</t>
  </si>
  <si>
    <t>Policy-ULID-000487 (DCS:00-LC-P0025), Issue #: 15.0, LABORATORY FACILITIES &amp; ENVIRONMENTAL CONDITIONS POLICY</t>
  </si>
  <si>
    <t>Policy-ULID-000489 (DCS:00-LC-P0028), Issue #:17.1, LABORATORY CALIBRATION POLICY
Policy-ULID-000491 (DCS:00-LC-P0031), Issue #: 25.1 LABORATORY EQUIPMENT POLICY</t>
  </si>
  <si>
    <t xml:space="preserve">Policy-ULID-000488 (DCS:00-LC-P0026), Issue #: 10.2, POLICY FOR THE USE OF CALIBRATION VENDORS.  
</t>
  </si>
  <si>
    <t>ULID-009203, Issue #: 3.0
UL ENTERPRISE TESTING AND CALIBRATION LABORATORY COMPLIANCE POLICY (ISO/IEC 17025:2017) 'New'.  
See also ULID-014435, ULID-004119.</t>
  </si>
  <si>
    <t>ULID-000877 (DCS:00-OP-P0400), Issue #: 9.0
SAMPLE MANAGEMENT POLICY
ULID-001790 (DCS:01-LO-S0124), Issue #: 10.0
NORTHBROOK SAMPLE HANDLING PROCESS</t>
  </si>
  <si>
    <t>ULID-000680 (DCS:00-LO-S0405, Issue #: 14.0
TEST DATASHEET REQUIREMENTS
ULID-000686 (DCS:00-LO-S0829, Issue #:  11.0
TESTING RELATED TECHNICAL RECORDS</t>
  </si>
  <si>
    <t>ULID-000689(DCS: 00-LO-S0862), Issue #: 2.0
ENSURING THE VALIDITY OF RESULTS
ULID-007964 (DCS:80-LC-S0026), Issue #:  4.0
US LABORATORY INTERNAL TECHNICAL AUDITS
ULID-000490 (DCS:00-LC-P0029), Issue #: 14.0
PROFICIENCY TESTING POLICY</t>
  </si>
  <si>
    <t>Standard Operation Procedures-ULID-000093, Issue #:  1.0
LABORATORY CONTROL OF NONCONFORMING TESTING, 
ULID-000856 (DCS:00-OP-F0404), Issue #: 9.0
TRACEBACK PROCESS &amp; FORM</t>
  </si>
  <si>
    <t xml:space="preserve"> Testing Organization Complaint Policy
Document Number: Policy-ULID-000094, issue 1.0;  ULID-004161, Issue #: 47.0 Customer Complaints
</t>
  </si>
  <si>
    <t>ULID-001013 (DCS:00-QA-S0003), Issue #: 44.2
DOCUMENT MANAGEMENT SOP</t>
  </si>
  <si>
    <t>ULID-000435 (DCS:00-IT-P0829), Issue #: 10.0
HANDLING DATA BACKUP AND RETENTION POLICY
ULID-001010 (DCS:00-QA-P0026), Issue #: 5.0
GLOBAL RECORDS POLICY</t>
  </si>
  <si>
    <t>ULID-001015 (DCS:00-QA-S0006), Issue #: 29.2
CORRECTIVE ACTION REQUEST PROCESS</t>
  </si>
  <si>
    <t>all staff above &amp; below</t>
  </si>
  <si>
    <t>Peter Q &amp; Tom S</t>
  </si>
  <si>
    <t>see equipment in method selection below</t>
  </si>
  <si>
    <t>see consumables in method selection below</t>
  </si>
  <si>
    <r>
      <rPr>
        <b/>
        <sz val="11"/>
        <rFont val="Calibri"/>
        <family val="2"/>
        <scheme val="minor"/>
      </rPr>
      <t xml:space="preserve">Damaged Equipment: </t>
    </r>
    <r>
      <rPr>
        <sz val="11"/>
        <rFont val="Calibri"/>
        <family val="2"/>
        <scheme val="minor"/>
      </rPr>
      <t xml:space="preserve">Review the process and handling of damaged equipment.
</t>
    </r>
    <r>
      <rPr>
        <b/>
        <sz val="11"/>
        <rFont val="Calibri"/>
        <family val="2"/>
        <scheme val="minor"/>
      </rPr>
      <t>Test demo equipment:</t>
    </r>
    <r>
      <rPr>
        <sz val="11"/>
        <rFont val="Calibri"/>
        <family val="2"/>
        <scheme val="minor"/>
      </rPr>
      <t xml:space="preserve"> Test equipment,  and consumables had appropriate identifications, and associated calibration sticker with proper cal due dates.</t>
    </r>
  </si>
  <si>
    <t>Reviewed TCD, Qualification Records , and Competency monitoring.
Reviewed eight (5) Qualification records,  Competency monitoring and technical competency each for the staff indicated.  Saw lab in Sharepoint site</t>
  </si>
  <si>
    <t>discussed project assignments</t>
  </si>
  <si>
    <t>See test demonstrations below for samples.</t>
  </si>
  <si>
    <t xml:space="preserve">Competency monitoring forms 3/27/23 &amp; 1/27/22 for Steve B 15082, Marc S (14185), Joe K (08352).  Also L1 Training Plan/Record 00-LO-F0582.  Hydro/Hose - Eric H (xx) L1 form (1/19/23) &amp; monitoring, TEST, saw Jan, 2022 &amp; May, 2022 Peer Audit.  Scott T(52063) L1 form (1/23),  OJT 7/19/21), ongoing competency 1/19/23. </t>
  </si>
  <si>
    <t>Eric H (19528)</t>
  </si>
  <si>
    <t>FUS 1001873422</t>
  </si>
  <si>
    <t>2023-99-03</t>
  </si>
  <si>
    <t>Scott (52063)</t>
  </si>
  <si>
    <t>Hydro lab.  
Equip:  Togque, 84812 (due 2/24), TC, 135474 (4/24), Transducer 180072 (11/23), chambers (no exp), on-shelf ready 134560 (11/24), datalogger 25452 (4/23).
CC: Oxygen 1506773
Datasheet: ULS-00252-YKFT-Ds-2003
SDS for Oxygen
Sample : 57510114 (saw on labware)</t>
  </si>
  <si>
    <t>Fus 1001825813</t>
  </si>
  <si>
    <t>Hose &amp; pipe lab.  
Equip:  Die 82645 (due 9/23), Temp 209589 (4/23), Scale 82733 (3/23), hook 159998, Timer 199123 (7/26), Time SW 167052, rev 4.
CC: IRM903 (5823348 ~ ASTM Oil 3), distilled water 1176020, alohol 5454472,
Datasheet: ULS-0021-MWVR-DS-2001, rev 2021-1-27
Sample:  5750114</t>
  </si>
  <si>
    <t>See test demonstrations below for additional details.
Sample were found to be with appropriate presonnel and were also entered in labware.
Also saw sample area near hose &amp; pipe lab</t>
  </si>
  <si>
    <t>UL 21, 11th Ed, App Vol 1, C, 2018-05-26, ASTM D471-16a (Reapp 2021) - Volume change/ swelling test</t>
  </si>
  <si>
    <t>Appx A, Vol 2, 1978-08-15, hydrostatic pressure/pull test/accelerated aging</t>
  </si>
  <si>
    <t xml:space="preserve">Steve (15082, workflow coord), Pete Q (42777), </t>
  </si>
  <si>
    <t>4790748407, 4790729713</t>
  </si>
  <si>
    <t>Corrosion lab.  
Equip:  PH meter, 49110 (verify before use), Temp 36973, (9/30), Hydro 179590, Chamber 66935 (PM due 5/23), SW 157089 (5%).
CC: x5% daily log, Salt 5774213, 7.0 Buffer 5420429 (5/24),  LWD order 185120
Datasheet: ULID-010488 (rev 2022), ULiD-017938 (rev 2021)
Sample: 5805278, 5792847&amp;8</t>
  </si>
  <si>
    <t>Joe (08352)</t>
  </si>
  <si>
    <t>IEEE C57.12-28-2005, ASTM 4587-11 (reapproved 2019), AST G154-23, Scab test</t>
  </si>
  <si>
    <t>UL 50E, 3rd, 2020, Salt Spray test (200 hr, 5%)</t>
  </si>
  <si>
    <t>Marc (14185)</t>
  </si>
  <si>
    <t>UL 1316, 3rd, 11/18, Immersion</t>
  </si>
  <si>
    <t>FLEL Weathering.  Equip. - see email,  Temp 84119 (12/23 ) , Scale 50601 (4/23).  CC Solution (see email), Fuel Prep guide (032107), sent to Joe Allen to verify during audit - see email from Peter Q.
DS:  ULS-1316-EGHZ-DS-2002 (rev 2013)
Sample: 5114308..  Saw Environ Log</t>
  </si>
  <si>
    <t>Audit Date Range: 04/6-7/2023 (4/5-7/2023)</t>
  </si>
  <si>
    <t>Accreditation/ Regulation Status</t>
  </si>
  <si>
    <t>NBK Materials Lab</t>
  </si>
  <si>
    <t>UV lab.  
Equip:  Xenon Chamber 71034 (PM due 5/23 incl. calibration, check time &amp; Temp), Chamber 191333 (5/23), scribe 127801, 200743 (9/25), UV radiometer 112015 (3/24), xenon lamp 230941, 2023-02-13 (due 2023, saw cert 100 0028 269)
CC: deionized water recommended.   CC:  FS40 bulbs, water, UV13-313 high energy PN 12575900
Datasheet: ETBD-202300-SAB-DS
Sample: 5604280</t>
  </si>
  <si>
    <t>2023-99-4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</si>
</sst>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8"/>
      <color theme="1"/>
      <name val="Calibri"/>
      <family val="2"/>
      <scheme val="minor"/>
    </font>
    <font>
      <b/>
      <sz val="11"/>
      <color theme="0"/>
      <name val="Calibri"/>
      <family val="2"/>
      <scheme val="minor"/>
    </font>
  </fonts>
  <fills count="21">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bgColor theme="8"/>
      </patternFill>
    </fill>
    <fill>
      <patternFill patternType="solid">
        <fgColor theme="9"/>
        <bgColor indexed="64"/>
      </patternFill>
    </fill>
    <fill>
      <patternFill patternType="solid">
        <fgColor theme="7"/>
        <bgColor indexed="64"/>
      </patternFill>
    </fill>
    <fill>
      <patternFill patternType="solid">
        <fgColor theme="8" tint="0.79998168889431442"/>
        <bgColor theme="8" tint="0.79998168889431442"/>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s>
  <cellStyleXfs count="1">
    <xf numFmtId="0" fontId="0" fillId="0" borderId="0"/>
  </cellStyleXfs>
  <cellXfs count="78">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vertical="center" wrapText="1"/>
    </xf>
    <xf numFmtId="0" fontId="7" fillId="2" borderId="1" xfId="0" applyFont="1" applyFill="1" applyBorder="1" applyAlignment="1">
      <alignment vertical="center" wrapText="1"/>
    </xf>
    <xf numFmtId="0" fontId="0" fillId="2" borderId="1" xfId="0" applyFill="1" applyBorder="1" applyAlignment="1">
      <alignment horizontal="center" vertical="center" wrapText="1"/>
    </xf>
    <xf numFmtId="0" fontId="0" fillId="0" borderId="1" xfId="0" applyFill="1" applyBorder="1" applyAlignment="1">
      <alignment horizontal="center"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0" fillId="2" borderId="1" xfId="0" applyFill="1" applyBorder="1" applyAlignment="1">
      <alignment vertical="center"/>
    </xf>
    <xf numFmtId="0" fontId="0" fillId="2" borderId="1" xfId="0" applyFill="1" applyBorder="1" applyAlignment="1">
      <alignment horizontal="center" vertical="center"/>
    </xf>
    <xf numFmtId="0" fontId="6" fillId="0" borderId="0" xfId="0" applyFont="1"/>
    <xf numFmtId="0" fontId="11" fillId="0" borderId="0" xfId="0" applyFont="1"/>
    <xf numFmtId="14" fontId="0" fillId="0" borderId="0" xfId="0" applyNumberFormat="1"/>
    <xf numFmtId="0" fontId="0" fillId="0" borderId="0" xfId="0" applyAlignment="1">
      <alignment horizontal="center"/>
    </xf>
    <xf numFmtId="15" fontId="0" fillId="0" borderId="0" xfId="0" applyNumberFormat="1" applyAlignment="1">
      <alignment horizontal="center"/>
    </xf>
    <xf numFmtId="0" fontId="7" fillId="2" borderId="1" xfId="0" applyFont="1" applyFill="1" applyBorder="1" applyAlignment="1">
      <alignment wrapText="1"/>
    </xf>
    <xf numFmtId="0" fontId="7" fillId="2" borderId="1" xfId="0" applyFont="1" applyFill="1" applyBorder="1" applyAlignment="1">
      <alignment horizontal="center" wrapText="1"/>
    </xf>
    <xf numFmtId="0" fontId="13" fillId="17" borderId="2" xfId="0" applyFont="1" applyFill="1" applyBorder="1"/>
    <xf numFmtId="0" fontId="13" fillId="17" borderId="3" xfId="0" applyFont="1" applyFill="1" applyBorder="1"/>
    <xf numFmtId="0" fontId="1" fillId="17" borderId="3" xfId="0" applyFont="1" applyFill="1" applyBorder="1"/>
    <xf numFmtId="0" fontId="13" fillId="17" borderId="3" xfId="0" applyFont="1" applyFill="1" applyBorder="1" applyAlignment="1">
      <alignment wrapText="1"/>
    </xf>
    <xf numFmtId="0" fontId="13" fillId="14" borderId="3" xfId="0" applyFont="1" applyFill="1" applyBorder="1" applyAlignment="1">
      <alignment wrapText="1"/>
    </xf>
    <xf numFmtId="0" fontId="13" fillId="18" borderId="3" xfId="0" applyFont="1" applyFill="1" applyBorder="1" applyAlignment="1">
      <alignment wrapText="1"/>
    </xf>
    <xf numFmtId="0" fontId="13" fillId="19" borderId="3" xfId="0" applyFont="1" applyFill="1" applyBorder="1"/>
    <xf numFmtId="0" fontId="13" fillId="17" borderId="4" xfId="0" applyFont="1" applyFill="1" applyBorder="1"/>
    <xf numFmtId="0" fontId="0" fillId="20" borderId="2" xfId="0" applyFill="1" applyBorder="1"/>
    <xf numFmtId="0" fontId="0" fillId="20" borderId="3" xfId="0" applyFill="1" applyBorder="1"/>
    <xf numFmtId="0" fontId="6" fillId="20" borderId="3" xfId="0" applyFont="1" applyFill="1" applyBorder="1"/>
    <xf numFmtId="0" fontId="0" fillId="20" borderId="4" xfId="0" applyFill="1" applyBorder="1"/>
    <xf numFmtId="0" fontId="12" fillId="0" borderId="0" xfId="0" applyFont="1" applyAlignment="1">
      <alignment horizontal="left"/>
    </xf>
  </cellXfs>
  <cellStyles count="1">
    <cellStyle name="Normal" xfId="0" builtinId="0"/>
  </cellStyles>
  <dxfs count="145">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2</xdr:col>
      <xdr:colOff>685800</xdr:colOff>
      <xdr:row>14</xdr:row>
      <xdr:rowOff>124240</xdr:rowOff>
    </xdr:from>
    <xdr:to>
      <xdr:col>8</xdr:col>
      <xdr:colOff>5301</xdr:colOff>
      <xdr:row>33</xdr:row>
      <xdr:rowOff>91109</xdr:rowOff>
    </xdr:to>
    <xdr:sp macro="" textlink="">
      <xdr:nvSpPr>
        <xdr:cNvPr id="2" name="TextBox 1">
          <a:extLst>
            <a:ext uri="{FF2B5EF4-FFF2-40B4-BE49-F238E27FC236}">
              <a16:creationId xmlns:a16="http://schemas.microsoft.com/office/drawing/2014/main" id="{3FB7CEF6-1C54-4C10-92EF-56E713CD6734}"/>
            </a:ext>
          </a:extLst>
        </xdr:cNvPr>
        <xdr:cNvSpPr txBox="1"/>
      </xdr:nvSpPr>
      <xdr:spPr>
        <a:xfrm>
          <a:off x="3592996" y="2791240"/>
          <a:ext cx="3377979" cy="3586369"/>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Closing</a:t>
          </a:r>
          <a:r>
            <a:rPr lang="en-US" sz="110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OFI  5 - </a:t>
          </a:r>
          <a:r>
            <a:rPr lang="en-US" sz="1100" b="0">
              <a:solidFill>
                <a:schemeClr val="dk1"/>
              </a:solidFill>
              <a:effectLst/>
              <a:latin typeface="+mn-lt"/>
              <a:ea typeface="+mn-ea"/>
              <a:cs typeface="+mn-cs"/>
            </a:rPr>
            <a:t>consider</a:t>
          </a:r>
          <a:r>
            <a:rPr lang="en-US" sz="1100" b="0" baseline="0">
              <a:solidFill>
                <a:schemeClr val="dk1"/>
              </a:solidFill>
              <a:effectLst/>
              <a:latin typeface="+mn-lt"/>
              <a:ea typeface="+mn-ea"/>
              <a:cs typeface="+mn-cs"/>
            </a:rPr>
            <a:t> adding tech peer to peer audit results and other feedback (e.g., PH) to the Compentency Monitoring form.</a:t>
          </a:r>
        </a:p>
        <a:p>
          <a:pPr marL="0" marR="0" lvl="0" indent="0" defTabSz="914400" eaLnBrk="1" fontAlgn="auto" latinLnBrk="0" hangingPunct="1">
            <a:lnSpc>
              <a:spcPct val="100000"/>
            </a:lnSpc>
            <a:spcBef>
              <a:spcPts val="0"/>
            </a:spcBef>
            <a:spcAft>
              <a:spcPts val="0"/>
            </a:spcAft>
            <a:buClrTx/>
            <a:buSzTx/>
            <a:buFontTx/>
            <a:buNone/>
            <a:tabLst/>
            <a:defRPr/>
          </a:pPr>
          <a:endParaRPr lang="en-US" sz="1100"/>
        </a:p>
        <a:p>
          <a:r>
            <a:rPr lang="en-US" sz="1100" b="1"/>
            <a:t>OFI</a:t>
          </a:r>
          <a:r>
            <a:rPr lang="en-US" sz="1100" b="1" baseline="0"/>
            <a:t> 6 </a:t>
          </a:r>
          <a:r>
            <a:rPr lang="en-US" sz="1100" b="1"/>
            <a:t>- </a:t>
          </a:r>
          <a:r>
            <a:rPr lang="en-US" sz="1100" b="0"/>
            <a:t>consider</a:t>
          </a:r>
          <a:r>
            <a:rPr lang="en-US" sz="1100" b="1"/>
            <a:t> </a:t>
          </a:r>
          <a:r>
            <a:rPr lang="en-US" sz="1100" b="0" baseline="0">
              <a:solidFill>
                <a:schemeClr val="dk1"/>
              </a:solidFill>
              <a:effectLst/>
              <a:latin typeface="+mn-lt"/>
              <a:ea typeface="+mn-ea"/>
              <a:cs typeface="+mn-cs"/>
            </a:rPr>
            <a:t>validating the</a:t>
          </a:r>
          <a:r>
            <a:rPr lang="en-US" sz="1100" b="1"/>
            <a:t> </a:t>
          </a:r>
          <a:r>
            <a:rPr lang="en-US" sz="1100" b="0"/>
            <a:t>excel</a:t>
          </a:r>
          <a:r>
            <a:rPr lang="en-US" sz="1100" b="0" baseline="0"/>
            <a:t> spreadsheet used for calculating solutions for FLEL conditioning, even though it's a simple formula.</a:t>
          </a:r>
        </a:p>
        <a:p>
          <a:endParaRPr lang="en-US" sz="1100" b="0" baseline="0"/>
        </a:p>
        <a:p>
          <a:r>
            <a:rPr lang="en-US" sz="1100" b="1" baseline="0">
              <a:effectLst/>
            </a:rPr>
            <a:t>OFI 7 - </a:t>
          </a:r>
          <a:r>
            <a:rPr lang="en-US" sz="1100" b="0" baseline="0">
              <a:effectLst/>
            </a:rPr>
            <a:t>for the salt spay in UL 50E, the 304 SS passivated sample for comparrison </a:t>
          </a:r>
          <a:r>
            <a:rPr lang="en-US" sz="1100" b="0" baseline="0">
              <a:solidFill>
                <a:schemeClr val="dk1"/>
              </a:solidFill>
              <a:effectLst/>
              <a:latin typeface="+mn-lt"/>
              <a:ea typeface="+mn-ea"/>
              <a:cs typeface="+mn-cs"/>
            </a:rPr>
            <a:t>ordered back in 2018 could have a clearer</a:t>
          </a:r>
          <a:r>
            <a:rPr lang="en-US" sz="1100" b="0" baseline="0">
              <a:effectLst/>
            </a:rPr>
            <a:t> record of verification/receipt per the current SOP.</a:t>
          </a:r>
        </a:p>
        <a:p>
          <a:endParaRPr lang="en-US" sz="1100" b="0" baseline="0">
            <a:effectLst/>
          </a:endParaRPr>
        </a:p>
        <a:p>
          <a:r>
            <a:rPr lang="en-US" sz="1100" b="1" baseline="0">
              <a:effectLst/>
            </a:rPr>
            <a:t>OFI 8 </a:t>
          </a:r>
          <a:r>
            <a:rPr lang="en-US" sz="1100" b="0" baseline="0">
              <a:effectLst/>
            </a:rPr>
            <a:t>- </a:t>
          </a:r>
          <a:r>
            <a:rPr lang="en-US" sz="1100" b="0" baseline="0">
              <a:solidFill>
                <a:schemeClr val="dk1"/>
              </a:solidFill>
              <a:effectLst/>
              <a:latin typeface="+mn-lt"/>
              <a:ea typeface="+mn-ea"/>
              <a:cs typeface="+mn-cs"/>
            </a:rPr>
            <a:t>in our peer to peer audits, </a:t>
          </a:r>
          <a:r>
            <a:rPr lang="en-US" sz="1100" b="0" baseline="0">
              <a:effectLst/>
            </a:rPr>
            <a:t>consider getting another auditor not familiar with the test so that there's a fresh set of eyes.</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 9 </a:t>
          </a:r>
          <a:r>
            <a:rPr lang="en-US" sz="1100" b="0" baseline="0">
              <a:solidFill>
                <a:schemeClr val="dk1"/>
              </a:solidFill>
              <a:effectLst/>
              <a:latin typeface="+mn-lt"/>
              <a:ea typeface="+mn-ea"/>
              <a:cs typeface="+mn-cs"/>
            </a:rPr>
            <a:t>- consider giving a refresher on how to find SDS (safety datasheets).</a:t>
          </a:r>
          <a:endParaRPr lang="en-US">
            <a:effectLst/>
          </a:endParaRPr>
        </a:p>
        <a:p>
          <a:endParaRPr lang="en-US" b="0">
            <a:effectLst/>
          </a:endParaRPr>
        </a:p>
        <a:p>
          <a:endParaRPr lang="en-US" sz="1100" b="0" baseline="0"/>
        </a:p>
        <a:p>
          <a:endParaRPr lang="en-US" sz="1100"/>
        </a:p>
      </xdr:txBody>
    </xdr:sp>
    <xdr:clientData/>
  </xdr:twoCellAnchor>
  <xdr:twoCellAnchor>
    <xdr:from>
      <xdr:col>0</xdr:col>
      <xdr:colOff>41722</xdr:colOff>
      <xdr:row>18</xdr:row>
      <xdr:rowOff>128237</xdr:rowOff>
    </xdr:from>
    <xdr:to>
      <xdr:col>2</xdr:col>
      <xdr:colOff>514576</xdr:colOff>
      <xdr:row>29</xdr:row>
      <xdr:rowOff>8283</xdr:rowOff>
    </xdr:to>
    <xdr:sp macro="" textlink="">
      <xdr:nvSpPr>
        <xdr:cNvPr id="4" name="TextBox 3">
          <a:extLst>
            <a:ext uri="{FF2B5EF4-FFF2-40B4-BE49-F238E27FC236}">
              <a16:creationId xmlns:a16="http://schemas.microsoft.com/office/drawing/2014/main" id="{FD7707CA-B779-48E2-A1A5-BFCCB1863E09}"/>
            </a:ext>
          </a:extLst>
        </xdr:cNvPr>
        <xdr:cNvSpPr txBox="1"/>
      </xdr:nvSpPr>
      <xdr:spPr>
        <a:xfrm>
          <a:off x="41722" y="3557237"/>
          <a:ext cx="3380050" cy="1975546"/>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Draft</a:t>
          </a:r>
          <a:r>
            <a:rPr lang="en-US" sz="1100" b="1" baseline="0"/>
            <a:t> </a:t>
          </a:r>
          <a:r>
            <a:rPr lang="en-US" sz="1100" b="1"/>
            <a:t>CAR</a:t>
          </a:r>
          <a:r>
            <a:rPr lang="en-US" sz="1100" b="1" baseline="0"/>
            <a:t> 2023-99-03: </a:t>
          </a:r>
        </a:p>
        <a:p>
          <a:r>
            <a:rPr lang="en-US" sz="1100" b="0" baseline="0"/>
            <a:t>- Volume change "</a:t>
          </a:r>
          <a:r>
            <a:rPr lang="en-US" sz="1100" b="0" baseline="0">
              <a:solidFill>
                <a:schemeClr val="dk1"/>
              </a:solidFill>
              <a:effectLst/>
              <a:latin typeface="+mn-lt"/>
              <a:ea typeface="+mn-ea"/>
              <a:cs typeface="+mn-cs"/>
            </a:rPr>
            <a:t>Volumetric Swelling" - not following the method: immerssion , and thermometer well?</a:t>
          </a:r>
        </a:p>
        <a:p>
          <a:endParaRPr lang="en-US"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t>- the DS &amp; App C Procedure and UL 157 do not match - one calls for 1x1 inch sample, another 1x2 inch and the lab tech said he also does smaller sizes (</a:t>
          </a:r>
          <a:r>
            <a:rPr lang="en-US" sz="1100" b="0" baseline="0">
              <a:solidFill>
                <a:schemeClr val="dk1"/>
              </a:solidFill>
              <a:effectLst/>
              <a:latin typeface="+mn-lt"/>
              <a:ea typeface="+mn-ea"/>
              <a:cs typeface="+mn-cs"/>
            </a:rPr>
            <a:t>"</a:t>
          </a:r>
          <a:r>
            <a:rPr lang="en-US" sz="1100">
              <a:solidFill>
                <a:schemeClr val="dk1"/>
              </a:solidFill>
              <a:effectLst/>
              <a:latin typeface="+mn-lt"/>
              <a:ea typeface="+mn-ea"/>
              <a:cs typeface="+mn-cs"/>
            </a:rPr>
            <a:t>For some of the hoses provided that we have to obtain specimens from, the available material is smaller than a 1x1 inch die."</a:t>
          </a:r>
          <a:r>
            <a:rPr lang="en-US" sz="1100" b="0" baseline="0"/>
            <a:t>)  </a:t>
          </a:r>
        </a:p>
        <a:p>
          <a:r>
            <a:rPr lang="en-US" sz="1100" b="0" baseline="0"/>
            <a:t>- see Jay's CAR</a:t>
          </a:r>
          <a:endParaRPr lang="en-US" sz="1100" b="0"/>
        </a:p>
      </xdr:txBody>
    </xdr:sp>
    <xdr:clientData/>
  </xdr:twoCellAnchor>
</xdr:wsDr>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2178415-063A-4A91-A0F8-8F98BE472EB0}" name="Table2" displayName="Table2" ref="A4:D17" totalsRowShown="0">
  <autoFilter ref="A4:D17" xr:uid="{9AED5F9A-4A45-4603-95B2-D2D26EA875DA}"/>
  <tableColumns count="4">
    <tableColumn id="1" xr3:uid="{F35965FC-C97F-4ED8-8164-034882AF2841}" name="Name"/>
    <tableColumn id="2" xr3:uid="{B2643CB1-B0D2-4534-90B4-5973E81F41A8}" name="Title/role"/>
    <tableColumn id="3" xr3:uid="{317D5F5F-C949-4D9C-9556-060B99649710}" name="Opening" dataDxfId="125"/>
    <tableColumn id="4" xr3:uid="{BC94DC74-6547-4A3E-9F9B-590191047F66}" name="Closing " dataDxfId="124"/>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742227DC-AC5C-4B3D-8548-C73E5BD40635}">
    <text>When looking test method,  need further discussion for additional form or pathnote</text>
  </threadedComment>
  <threadedComment ref="Q29" dT="2020-09-22T15:02:37.15" personId="{AC51E8DC-BF1C-40B5-8E58-84AE25CE4664}" id="{DD18A5A6-7871-4B78-87E3-8FD6FB985854}">
    <text>When looking test method,  need further discussion for additional form or pathnote</text>
  </threadedComment>
  <threadedComment ref="Q30" dT="2020-09-22T15:02:37.15" personId="{AC51E8DC-BF1C-40B5-8E58-84AE25CE4664}" id="{2688ABCC-6267-479C-AA36-F80E1EABEA06}">
    <text>When looking test method,  need further discussion for additional form or pathnote</text>
  </threadedComment>
  <threadedComment ref="Q31" dT="2020-09-22T15:02:37.15" personId="{AC51E8DC-BF1C-40B5-8E58-84AE25CE4664}" id="{C486C491-4BF2-489E-AC66-9B7E67C47F33}">
    <text>When looking test method,  need further discussion for additional form or pathnote</text>
  </threadedComment>
  <threadedComment ref="Q32" dT="2020-09-22T15:02:37.15" personId="{AC51E8DC-BF1C-40B5-8E58-84AE25CE4664}" id="{FCC33BAD-AAD3-4F1C-B2A4-79D86FE80793}">
    <text>When looking test method,  need further discussion for additional form or pathnote</text>
  </threadedComment>
  <threadedComment ref="Q33" dT="2020-09-22T15:02:37.15" personId="{AC51E8DC-BF1C-40B5-8E58-84AE25CE4664}" id="{47D17868-2873-471C-BFAD-3835BB2C0C23}">
    <text>When looking test method,  need further discussion for additional form or pathnote</text>
  </threadedComment>
  <threadedComment ref="Q34" dT="2020-09-22T15:02:37.15" personId="{AC51E8DC-BF1C-40B5-8E58-84AE25CE4664}" id="{E0A74BE6-F0B6-4421-854F-A8BE7E162C39}">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27" activePane="bottomRight" state="frozen"/>
      <selection pane="topRight" activeCell="B1" sqref="B1"/>
      <selection pane="bottomLeft" activeCell="A2" sqref="A2"/>
      <selection pane="bottomRight" activeCell="L4" sqref="L4"/>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3" t="s">
        <v>822</v>
      </c>
      <c r="B1" s="43" t="s">
        <v>833</v>
      </c>
      <c r="D1" s="44" t="s">
        <v>834</v>
      </c>
      <c r="E1" s="44"/>
      <c r="F1" s="45"/>
      <c r="G1" s="45"/>
      <c r="H1" s="45"/>
      <c r="I1" s="45"/>
      <c r="J1" s="45"/>
      <c r="K1" s="45"/>
      <c r="L1" s="45"/>
      <c r="M1" s="45"/>
      <c r="N1" s="45"/>
      <c r="O1" s="45"/>
      <c r="P1" s="46"/>
      <c r="Q1" s="45"/>
      <c r="R1" s="47"/>
      <c r="S1" s="45"/>
      <c r="T1" s="45"/>
      <c r="U1" s="45"/>
    </row>
    <row r="2" spans="1:21" s="3" customFormat="1" ht="44.25" customHeight="1" x14ac:dyDescent="0.25">
      <c r="A2" s="4" t="s">
        <v>61</v>
      </c>
      <c r="B2" s="41" t="s">
        <v>832</v>
      </c>
      <c r="C2" s="5" t="s">
        <v>142</v>
      </c>
      <c r="D2" s="5" t="s">
        <v>143</v>
      </c>
      <c r="E2" s="5" t="s">
        <v>141</v>
      </c>
      <c r="F2" s="5" t="s">
        <v>823</v>
      </c>
      <c r="G2" s="5" t="s">
        <v>144</v>
      </c>
      <c r="H2" s="5" t="s">
        <v>23</v>
      </c>
      <c r="I2" s="5" t="s">
        <v>60</v>
      </c>
      <c r="J2" s="5" t="s">
        <v>145</v>
      </c>
      <c r="K2" s="5" t="s">
        <v>835</v>
      </c>
      <c r="L2" s="5" t="s">
        <v>146</v>
      </c>
      <c r="M2" s="6" t="s">
        <v>24</v>
      </c>
      <c r="N2" s="6" t="s">
        <v>25</v>
      </c>
      <c r="O2" s="6" t="s">
        <v>26</v>
      </c>
      <c r="P2" s="4" t="s">
        <v>91</v>
      </c>
      <c r="Q2" s="4" t="s">
        <v>69</v>
      </c>
      <c r="R2" s="14" t="s">
        <v>83</v>
      </c>
      <c r="S2" s="4" t="s">
        <v>27</v>
      </c>
      <c r="T2" s="4" t="s">
        <v>121</v>
      </c>
      <c r="U2" s="4" t="s">
        <v>122</v>
      </c>
    </row>
    <row r="3" spans="1:21" s="3" customFormat="1" ht="39" customHeight="1" x14ac:dyDescent="0.25">
      <c r="A3" s="2" t="s">
        <v>64</v>
      </c>
      <c r="B3" s="1"/>
      <c r="C3" s="1"/>
      <c r="D3" s="1"/>
      <c r="E3" s="1"/>
      <c r="F3" s="1"/>
      <c r="G3" s="1"/>
      <c r="H3" s="1"/>
      <c r="I3" s="13"/>
      <c r="J3" s="1"/>
      <c r="K3" s="29"/>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3"/>
      <c r="J4" s="1"/>
      <c r="K4" s="29"/>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3"/>
      <c r="J5" s="1"/>
      <c r="K5" s="29"/>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3"/>
      <c r="J6" s="1"/>
      <c r="K6" s="29"/>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29"/>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3"/>
      <c r="J8" s="1"/>
      <c r="K8" s="29"/>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3"/>
      <c r="J9" s="1"/>
      <c r="K9" s="29"/>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3"/>
      <c r="J10" s="1"/>
      <c r="K10" s="29"/>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29"/>
      <c r="L11" s="1"/>
      <c r="M11" s="9"/>
      <c r="N11" s="9"/>
      <c r="O11" s="9"/>
      <c r="P11" s="12" t="s">
        <v>101</v>
      </c>
      <c r="Q11" s="8" t="s">
        <v>93</v>
      </c>
      <c r="R11" s="8" t="s">
        <v>114</v>
      </c>
      <c r="S11" s="8"/>
      <c r="T11" s="11" t="s">
        <v>125</v>
      </c>
      <c r="U11" s="11"/>
    </row>
    <row r="12" spans="1:21" s="3" customFormat="1" ht="30" x14ac:dyDescent="0.25">
      <c r="A12" s="2" t="s">
        <v>836</v>
      </c>
      <c r="B12" s="1"/>
      <c r="C12" s="1"/>
      <c r="D12" s="1"/>
      <c r="E12" s="1"/>
      <c r="F12" s="1"/>
      <c r="G12" s="1"/>
      <c r="H12" s="1"/>
      <c r="I12" s="1"/>
      <c r="J12" s="1"/>
      <c r="K12" s="29"/>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3"/>
      <c r="J13" s="1"/>
      <c r="K13" s="29"/>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29"/>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29"/>
      <c r="L15" s="1"/>
      <c r="M15" s="9"/>
      <c r="N15" s="9"/>
      <c r="O15" s="9"/>
      <c r="P15" s="12" t="s">
        <v>101</v>
      </c>
      <c r="Q15" s="8" t="s">
        <v>99</v>
      </c>
      <c r="R15" s="8"/>
      <c r="S15" s="8"/>
      <c r="T15" s="19"/>
      <c r="U15" s="11"/>
    </row>
    <row r="16" spans="1:21" s="3" customFormat="1" ht="31.5" x14ac:dyDescent="0.25">
      <c r="A16" s="2" t="s">
        <v>67</v>
      </c>
      <c r="B16" s="1"/>
      <c r="C16" s="1"/>
      <c r="D16" s="1"/>
      <c r="E16" s="1"/>
      <c r="F16" s="1"/>
      <c r="G16" s="1"/>
      <c r="H16" s="1"/>
      <c r="I16" s="1"/>
      <c r="J16" s="1"/>
      <c r="K16" s="29"/>
      <c r="L16" s="1"/>
      <c r="M16" s="9"/>
      <c r="N16" s="9"/>
      <c r="O16" s="9"/>
      <c r="P16" s="12" t="s">
        <v>101</v>
      </c>
      <c r="Q16" s="8" t="s">
        <v>77</v>
      </c>
      <c r="R16" s="7"/>
      <c r="S16" s="7"/>
      <c r="T16" s="20" t="s">
        <v>129</v>
      </c>
      <c r="U16" s="11"/>
    </row>
    <row r="17" spans="1:21" s="3" customFormat="1" ht="45" x14ac:dyDescent="0.25">
      <c r="A17" s="2" t="s">
        <v>88</v>
      </c>
      <c r="B17" s="1"/>
      <c r="C17" s="1"/>
      <c r="D17" s="1"/>
      <c r="E17" s="1"/>
      <c r="F17" s="1"/>
      <c r="G17" s="1"/>
      <c r="H17" s="1"/>
      <c r="I17" s="1"/>
      <c r="J17" s="1"/>
      <c r="K17" s="29"/>
      <c r="L17" s="1"/>
      <c r="M17" s="9"/>
      <c r="N17" s="9"/>
      <c r="O17" s="9"/>
      <c r="P17" s="15" t="s">
        <v>62</v>
      </c>
      <c r="Q17" s="7" t="s">
        <v>78</v>
      </c>
      <c r="R17" s="7" t="s">
        <v>107</v>
      </c>
      <c r="S17" s="7"/>
      <c r="T17" s="11"/>
      <c r="U17" s="11"/>
    </row>
    <row r="18" spans="1:21" s="3" customFormat="1" ht="45" x14ac:dyDescent="0.25">
      <c r="A18" s="2" t="s">
        <v>89</v>
      </c>
      <c r="B18" s="1"/>
      <c r="C18" s="1"/>
      <c r="D18" s="1"/>
      <c r="E18" s="1"/>
      <c r="F18" s="1"/>
      <c r="G18" s="1"/>
      <c r="H18" s="1"/>
      <c r="I18" s="1"/>
      <c r="J18" s="1"/>
      <c r="K18" s="29"/>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3"/>
      <c r="J19" s="1"/>
      <c r="K19" s="29"/>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3"/>
      <c r="J20" s="1"/>
      <c r="K20" s="29"/>
      <c r="L20" s="1"/>
      <c r="M20" s="9"/>
      <c r="N20" s="9"/>
      <c r="O20" s="9"/>
      <c r="P20" s="15" t="s">
        <v>62</v>
      </c>
      <c r="Q20" s="8" t="s">
        <v>71</v>
      </c>
      <c r="R20" s="8"/>
      <c r="S20" s="8"/>
      <c r="T20" s="11"/>
      <c r="U20" s="11"/>
    </row>
    <row r="21" spans="1:21" s="3" customFormat="1" ht="19.5" customHeight="1" x14ac:dyDescent="0.25">
      <c r="A21" s="2" t="s">
        <v>8</v>
      </c>
      <c r="B21" s="1"/>
      <c r="C21" s="1"/>
      <c r="D21" s="1"/>
      <c r="E21" s="1"/>
      <c r="F21" s="1"/>
      <c r="G21" s="1"/>
      <c r="H21" s="1"/>
      <c r="I21" s="13"/>
      <c r="J21" s="1"/>
      <c r="K21" s="29"/>
      <c r="L21" s="1"/>
      <c r="M21" s="9"/>
      <c r="N21" s="9"/>
      <c r="O21" s="9"/>
      <c r="P21" s="15" t="s">
        <v>62</v>
      </c>
      <c r="Q21" s="8" t="s">
        <v>68</v>
      </c>
      <c r="R21" s="8"/>
      <c r="S21" s="8"/>
      <c r="T21" s="11"/>
      <c r="U21" s="11"/>
    </row>
    <row r="22" spans="1:21" s="3" customFormat="1" ht="30" x14ac:dyDescent="0.25">
      <c r="A22" s="2" t="s">
        <v>15</v>
      </c>
      <c r="B22" s="1"/>
      <c r="C22" s="1"/>
      <c r="D22" s="1"/>
      <c r="E22" s="1"/>
      <c r="F22" s="1"/>
      <c r="G22" s="1"/>
      <c r="H22" s="1"/>
      <c r="I22" s="13"/>
      <c r="J22" s="1"/>
      <c r="K22" s="29"/>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3"/>
      <c r="J23" s="1"/>
      <c r="K23" s="29"/>
      <c r="L23" s="1"/>
      <c r="M23" s="9"/>
      <c r="N23" s="9"/>
      <c r="O23" s="9"/>
      <c r="P23" s="15" t="s">
        <v>62</v>
      </c>
      <c r="Q23" s="8" t="s">
        <v>80</v>
      </c>
      <c r="R23" s="8" t="s">
        <v>106</v>
      </c>
      <c r="S23" s="8"/>
      <c r="T23" s="11"/>
      <c r="U23" s="11"/>
    </row>
    <row r="24" spans="1:21" s="3" customFormat="1" ht="31.5" customHeight="1" x14ac:dyDescent="0.25">
      <c r="A24" s="2" t="s">
        <v>14</v>
      </c>
      <c r="B24" s="1"/>
      <c r="C24" s="1"/>
      <c r="D24" s="1"/>
      <c r="E24" s="1"/>
      <c r="F24" s="1"/>
      <c r="G24" s="1"/>
      <c r="H24" s="1"/>
      <c r="I24" s="13"/>
      <c r="J24" s="1"/>
      <c r="K24" s="29"/>
      <c r="L24" s="1"/>
      <c r="M24" s="9"/>
      <c r="N24" s="9"/>
      <c r="O24" s="9"/>
      <c r="P24" s="15" t="s">
        <v>62</v>
      </c>
      <c r="Q24" s="8" t="s">
        <v>81</v>
      </c>
      <c r="R24" s="8"/>
      <c r="S24" s="8"/>
      <c r="T24" s="11"/>
      <c r="U24" s="11"/>
    </row>
    <row r="25" spans="1:21" s="3" customFormat="1" ht="30" x14ac:dyDescent="0.25">
      <c r="A25" s="2" t="s">
        <v>837</v>
      </c>
      <c r="B25" s="1"/>
      <c r="C25" s="1"/>
      <c r="D25" s="1"/>
      <c r="E25" s="1"/>
      <c r="F25" s="1"/>
      <c r="G25" s="1"/>
      <c r="H25" s="1"/>
      <c r="I25" s="13"/>
      <c r="J25" s="1"/>
      <c r="K25" s="29"/>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3"/>
      <c r="J26" s="1"/>
      <c r="K26" s="29"/>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29"/>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29"/>
      <c r="L28" s="1"/>
      <c r="M28" s="9"/>
      <c r="N28" s="9"/>
      <c r="O28" s="9"/>
      <c r="R28" s="7"/>
      <c r="S28" s="16" t="s">
        <v>115</v>
      </c>
      <c r="T28" s="11"/>
      <c r="U28" s="11"/>
    </row>
    <row r="29" spans="1:21" s="3" customFormat="1" ht="15.75" x14ac:dyDescent="0.25">
      <c r="A29" s="2" t="s">
        <v>117</v>
      </c>
      <c r="B29" s="1"/>
      <c r="C29" s="1"/>
      <c r="D29" s="1"/>
      <c r="E29" s="1"/>
      <c r="F29" s="1"/>
      <c r="G29" s="1"/>
      <c r="H29" s="1"/>
      <c r="I29" s="1"/>
      <c r="J29" s="1"/>
      <c r="K29" s="29"/>
      <c r="L29" s="1"/>
      <c r="M29" s="9"/>
      <c r="N29" s="9"/>
      <c r="O29" s="9"/>
      <c r="R29" s="7"/>
      <c r="S29" s="3" t="s">
        <v>118</v>
      </c>
      <c r="T29" s="11"/>
      <c r="U29" s="11"/>
    </row>
    <row r="30" spans="1:21" s="3" customFormat="1" ht="110.25" x14ac:dyDescent="0.25">
      <c r="A30" s="2" t="s">
        <v>116</v>
      </c>
      <c r="B30" s="1"/>
      <c r="C30" s="1"/>
      <c r="D30" s="1"/>
      <c r="E30" s="1"/>
      <c r="F30" s="1"/>
      <c r="G30" s="1"/>
      <c r="H30" s="1"/>
      <c r="I30" s="1"/>
      <c r="J30" s="1"/>
      <c r="K30" s="29"/>
      <c r="L30" s="1"/>
      <c r="M30" s="9"/>
      <c r="N30" s="9"/>
      <c r="O30" s="9"/>
      <c r="P30" s="12" t="s">
        <v>101</v>
      </c>
      <c r="Q30" s="8" t="s">
        <v>824</v>
      </c>
      <c r="R30" s="8" t="s">
        <v>110</v>
      </c>
      <c r="S30" s="7" t="s">
        <v>119</v>
      </c>
      <c r="T30" s="21" t="s">
        <v>136</v>
      </c>
      <c r="U30" s="22" t="s">
        <v>137</v>
      </c>
    </row>
    <row r="31" spans="1:21" s="3" customFormat="1" ht="15.75" x14ac:dyDescent="0.25">
      <c r="A31" s="2"/>
      <c r="B31" s="1"/>
      <c r="C31" s="1"/>
      <c r="D31" s="1"/>
      <c r="E31" s="1"/>
      <c r="F31" s="1"/>
      <c r="G31" s="1"/>
      <c r="H31" s="1"/>
      <c r="I31" s="1"/>
      <c r="J31" s="1"/>
      <c r="K31" s="29"/>
      <c r="L31" s="1"/>
      <c r="M31" s="9"/>
      <c r="N31" s="9"/>
      <c r="O31" s="9"/>
      <c r="R31" s="7"/>
      <c r="T31" s="11"/>
      <c r="U31" s="11"/>
    </row>
    <row r="32" spans="1:21" s="3" customFormat="1" ht="15.75" x14ac:dyDescent="0.25">
      <c r="A32" s="2"/>
      <c r="B32" s="1"/>
      <c r="C32" s="1"/>
      <c r="D32" s="1"/>
      <c r="E32" s="1"/>
      <c r="F32" s="1"/>
      <c r="G32" s="1"/>
      <c r="H32" s="1"/>
      <c r="I32" s="1"/>
      <c r="J32" s="1"/>
      <c r="K32" s="29"/>
      <c r="L32" s="1"/>
      <c r="M32" s="9"/>
      <c r="N32" s="9"/>
      <c r="O32" s="9"/>
      <c r="R32" s="7"/>
      <c r="S32" s="7"/>
      <c r="T32" s="11"/>
      <c r="U32" s="11"/>
    </row>
    <row r="33" spans="4:21" x14ac:dyDescent="0.25">
      <c r="D33" s="1"/>
      <c r="S33" s="10"/>
      <c r="T33" s="17"/>
      <c r="U33" s="17"/>
    </row>
    <row r="34" spans="4:21" x14ac:dyDescent="0.25">
      <c r="S34" s="10"/>
      <c r="T34" s="17"/>
      <c r="U34" s="17"/>
    </row>
    <row r="35" spans="4:21" x14ac:dyDescent="0.25">
      <c r="S35" s="10"/>
      <c r="T35" s="17"/>
      <c r="U35" s="17"/>
    </row>
    <row r="36" spans="4:21" x14ac:dyDescent="0.25">
      <c r="S36" s="10"/>
      <c r="T36" s="17"/>
      <c r="U36" s="17"/>
    </row>
    <row r="37" spans="4:21" x14ac:dyDescent="0.25">
      <c r="S37" s="10"/>
      <c r="T37" s="17"/>
      <c r="U37" s="17"/>
    </row>
    <row r="38" spans="4:21" x14ac:dyDescent="0.25">
      <c r="S38" s="10"/>
      <c r="T38" s="17"/>
      <c r="U38" s="17"/>
    </row>
    <row r="39" spans="4:21" x14ac:dyDescent="0.25">
      <c r="S39" s="10"/>
      <c r="T39" s="17"/>
      <c r="U39" s="17"/>
    </row>
    <row r="40" spans="4:21" x14ac:dyDescent="0.25">
      <c r="S40" s="10"/>
      <c r="T40" s="17"/>
      <c r="U40" s="17"/>
    </row>
    <row r="41" spans="4:21" x14ac:dyDescent="0.25">
      <c r="S41" s="10"/>
      <c r="T41" s="17"/>
      <c r="U41" s="17"/>
    </row>
    <row r="42" spans="4:21" x14ac:dyDescent="0.25">
      <c r="S42" s="10"/>
      <c r="T42" s="17"/>
      <c r="U42" s="17"/>
    </row>
    <row r="43" spans="4:21" x14ac:dyDescent="0.25">
      <c r="S43" s="10"/>
      <c r="T43" s="17"/>
      <c r="U43" s="17"/>
    </row>
    <row r="44" spans="4:21" ht="66.75" customHeight="1" x14ac:dyDescent="0.25">
      <c r="S44" s="10"/>
      <c r="T44" s="17"/>
      <c r="U44" s="17"/>
    </row>
    <row r="45" spans="4:21" x14ac:dyDescent="0.25">
      <c r="T45" s="17"/>
      <c r="U45" s="17"/>
    </row>
    <row r="46" spans="4:21" x14ac:dyDescent="0.25">
      <c r="T46" s="17"/>
      <c r="U46" s="17"/>
    </row>
    <row r="47" spans="4:21" x14ac:dyDescent="0.25">
      <c r="T47" s="17"/>
      <c r="U47" s="17"/>
    </row>
    <row r="48" spans="4:21" x14ac:dyDescent="0.25">
      <c r="T48" s="17"/>
      <c r="U48" s="17"/>
    </row>
    <row r="49" spans="20:21" x14ac:dyDescent="0.25">
      <c r="T49" s="17"/>
      <c r="U49" s="17"/>
    </row>
    <row r="50" spans="20:21" x14ac:dyDescent="0.25">
      <c r="T50" s="17"/>
      <c r="U50" s="17"/>
    </row>
    <row r="51" spans="20:21" hidden="1" x14ac:dyDescent="0.25">
      <c r="T51" s="17"/>
      <c r="U51" s="17"/>
    </row>
    <row r="52" spans="20:21" x14ac:dyDescent="0.25">
      <c r="T52" s="17"/>
      <c r="U52" s="17"/>
    </row>
    <row r="53" spans="20:21" x14ac:dyDescent="0.25">
      <c r="T53" s="17"/>
      <c r="U53" s="17"/>
    </row>
    <row r="54" spans="20:21" x14ac:dyDescent="0.25">
      <c r="T54" s="17"/>
      <c r="U54" s="17"/>
    </row>
    <row r="55" spans="20:21" x14ac:dyDescent="0.25">
      <c r="T55" s="17"/>
      <c r="U55" s="17"/>
    </row>
    <row r="56" spans="20:21" x14ac:dyDescent="0.25">
      <c r="T56" s="17"/>
      <c r="U56" s="17"/>
    </row>
    <row r="57" spans="20:21" x14ac:dyDescent="0.25">
      <c r="T57" s="17"/>
      <c r="U57" s="17"/>
    </row>
    <row r="58" spans="20:21" x14ac:dyDescent="0.25">
      <c r="T58" s="17"/>
      <c r="U58" s="17"/>
    </row>
    <row r="59" spans="20:21" x14ac:dyDescent="0.25">
      <c r="T59" s="17"/>
      <c r="U59" s="17"/>
    </row>
    <row r="60" spans="20:21" x14ac:dyDescent="0.25">
      <c r="T60" s="17"/>
      <c r="U60" s="17"/>
    </row>
    <row r="61" spans="20:21" x14ac:dyDescent="0.25">
      <c r="T61" s="17"/>
      <c r="U61" s="17"/>
    </row>
    <row r="62" spans="20:21" x14ac:dyDescent="0.25">
      <c r="T62" s="17"/>
      <c r="U62" s="17"/>
    </row>
    <row r="63" spans="20:21" x14ac:dyDescent="0.25">
      <c r="T63" s="17"/>
      <c r="U63" s="17"/>
    </row>
    <row r="64" spans="20:21" x14ac:dyDescent="0.25">
      <c r="T64" s="17"/>
      <c r="U64" s="17"/>
    </row>
    <row r="65" spans="20:21" x14ac:dyDescent="0.25">
      <c r="T65" s="17"/>
      <c r="U65" s="17"/>
    </row>
    <row r="66" spans="20:21" x14ac:dyDescent="0.25">
      <c r="T66" s="17"/>
      <c r="U66" s="17"/>
    </row>
    <row r="67" spans="20:21" x14ac:dyDescent="0.25">
      <c r="T67" s="17"/>
      <c r="U67" s="17"/>
    </row>
    <row r="68" spans="20:21" x14ac:dyDescent="0.25">
      <c r="T68" s="17"/>
      <c r="U68" s="17"/>
    </row>
    <row r="69" spans="20:21" x14ac:dyDescent="0.25">
      <c r="T69" s="17"/>
      <c r="U69" s="17"/>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44" priority="60">
      <formula>COUNTBLANK($F3)</formula>
    </cfRule>
  </conditionalFormatting>
  <conditionalFormatting sqref="I7 I27:I32">
    <cfRule type="expression" dxfId="143" priority="58">
      <formula>COUNTBLANK($I7)</formula>
    </cfRule>
  </conditionalFormatting>
  <conditionalFormatting sqref="G3:G32">
    <cfRule type="expression" dxfId="142" priority="50">
      <formula>COUNTBLANK($G3)</formula>
    </cfRule>
  </conditionalFormatting>
  <conditionalFormatting sqref="H3:H32">
    <cfRule type="expression" dxfId="141" priority="49">
      <formula>COUNTBLANK($H3)</formula>
    </cfRule>
  </conditionalFormatting>
  <conditionalFormatting sqref="A3">
    <cfRule type="expression" dxfId="140" priority="40">
      <formula>COUNTBLANK($F3:$H3)</formula>
    </cfRule>
  </conditionalFormatting>
  <conditionalFormatting sqref="I11:I12">
    <cfRule type="expression" dxfId="139" priority="36">
      <formula>COUNTBLANK($I11)</formula>
    </cfRule>
  </conditionalFormatting>
  <conditionalFormatting sqref="I14:I18">
    <cfRule type="expression" dxfId="138" priority="35">
      <formula>COUNTBLANK($I14)</formula>
    </cfRule>
  </conditionalFormatting>
  <conditionalFormatting sqref="K3:K32">
    <cfRule type="expression" dxfId="137" priority="11">
      <formula>COUNTBLANK($K3)</formula>
    </cfRule>
  </conditionalFormatting>
  <conditionalFormatting sqref="A3">
    <cfRule type="expression" dxfId="136" priority="12">
      <formula>$K3="Not Audited"</formula>
    </cfRule>
    <cfRule type="expression" dxfId="135" priority="13">
      <formula>$K3="Not Applicable"</formula>
    </cfRule>
  </conditionalFormatting>
  <conditionalFormatting sqref="A4:A32">
    <cfRule type="expression" dxfId="134" priority="3">
      <formula>COUNTBLANK($F4:$I4)</formula>
    </cfRule>
  </conditionalFormatting>
  <conditionalFormatting sqref="A4:A32">
    <cfRule type="expression" dxfId="133" priority="1">
      <formula>$K4="Not Audited"</formula>
    </cfRule>
    <cfRule type="expression" dxfId="132"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86C19-7EFC-43AD-98B5-CBB9F1C5BCE6}">
  <dimension ref="A1:D13"/>
  <sheetViews>
    <sheetView zoomScale="115" zoomScaleNormal="115" workbookViewId="0">
      <selection activeCell="L8" sqref="L8"/>
    </sheetView>
  </sheetViews>
  <sheetFormatPr defaultRowHeight="15" x14ac:dyDescent="0.25"/>
  <cols>
    <col min="1" max="1" width="17.28515625" customWidth="1"/>
    <col min="2" max="2" width="26.28515625" bestFit="1" customWidth="1"/>
    <col min="3" max="3" width="11.7109375" style="61" bestFit="1" customWidth="1"/>
    <col min="4" max="4" width="12.42578125" style="61" bestFit="1" customWidth="1"/>
  </cols>
  <sheetData>
    <row r="1" spans="1:4" x14ac:dyDescent="0.25">
      <c r="A1" t="s">
        <v>867</v>
      </c>
      <c r="B1" t="s">
        <v>868</v>
      </c>
      <c r="C1" s="61" t="s">
        <v>869</v>
      </c>
      <c r="D1" s="62">
        <v>45012</v>
      </c>
    </row>
    <row r="2" spans="1:4" x14ac:dyDescent="0.25">
      <c r="C2" s="61" t="s">
        <v>870</v>
      </c>
      <c r="D2" s="62">
        <v>45013</v>
      </c>
    </row>
    <row r="4" spans="1:4" x14ac:dyDescent="0.25">
      <c r="A4" t="s">
        <v>871</v>
      </c>
      <c r="B4" t="s">
        <v>872</v>
      </c>
      <c r="C4" s="61" t="s">
        <v>873</v>
      </c>
      <c r="D4" s="61" t="s">
        <v>874</v>
      </c>
    </row>
    <row r="5" spans="1:4" x14ac:dyDescent="0.25">
      <c r="A5" t="s">
        <v>885</v>
      </c>
      <c r="B5" t="s">
        <v>881</v>
      </c>
      <c r="C5" s="61" t="s">
        <v>875</v>
      </c>
      <c r="D5" s="61" t="s">
        <v>875</v>
      </c>
    </row>
    <row r="6" spans="1:4" x14ac:dyDescent="0.25">
      <c r="A6" t="s">
        <v>852</v>
      </c>
      <c r="B6" t="s">
        <v>876</v>
      </c>
      <c r="C6" s="61" t="s">
        <v>875</v>
      </c>
      <c r="D6" s="61" t="s">
        <v>875</v>
      </c>
    </row>
    <row r="7" spans="1:4" x14ac:dyDescent="0.25">
      <c r="A7" t="s">
        <v>877</v>
      </c>
      <c r="B7" t="s">
        <v>878</v>
      </c>
      <c r="C7" s="61" t="s">
        <v>875</v>
      </c>
      <c r="D7" s="61" t="s">
        <v>887</v>
      </c>
    </row>
    <row r="8" spans="1:4" x14ac:dyDescent="0.25">
      <c r="A8" t="s">
        <v>879</v>
      </c>
      <c r="B8" t="s">
        <v>880</v>
      </c>
      <c r="C8" s="61" t="s">
        <v>875</v>
      </c>
      <c r="D8" s="61" t="s">
        <v>875</v>
      </c>
    </row>
    <row r="9" spans="1:4" x14ac:dyDescent="0.25">
      <c r="A9" t="s">
        <v>886</v>
      </c>
      <c r="B9" t="s">
        <v>882</v>
      </c>
      <c r="C9" s="61" t="s">
        <v>875</v>
      </c>
    </row>
    <row r="12" spans="1:4" x14ac:dyDescent="0.25">
      <c r="A12" t="s">
        <v>888</v>
      </c>
      <c r="B12" t="s">
        <v>889</v>
      </c>
      <c r="C12" s="61" t="s">
        <v>875</v>
      </c>
    </row>
    <row r="13" spans="1:4" x14ac:dyDescent="0.25">
      <c r="A13" t="s">
        <v>904</v>
      </c>
      <c r="B13" t="s">
        <v>881</v>
      </c>
      <c r="D13" s="61" t="s">
        <v>875</v>
      </c>
    </row>
  </sheetData>
  <pageMargins left="0.7" right="0.7" top="0.75" bottom="0.75" header="0.3" footer="0.3"/>
  <pageSetup orientation="portrait"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62AD5-E27C-45B1-8E90-B815A981DB60}">
  <dimension ref="A1:L4"/>
  <sheetViews>
    <sheetView workbookViewId="0">
      <selection activeCell="A3" sqref="A3:L4"/>
    </sheetView>
  </sheetViews>
  <sheetFormatPr defaultRowHeight="15" x14ac:dyDescent="0.25"/>
  <cols>
    <col min="1" max="1" width="15" bestFit="1" customWidth="1"/>
    <col min="2" max="2" width="26" bestFit="1" customWidth="1"/>
    <col min="3" max="12" width="18" customWidth="1"/>
  </cols>
  <sheetData>
    <row r="1" spans="1:12" ht="23.25" x14ac:dyDescent="0.35">
      <c r="A1" t="s">
        <v>848</v>
      </c>
      <c r="C1" s="58"/>
      <c r="D1" s="77" t="s">
        <v>849</v>
      </c>
      <c r="E1" s="77"/>
      <c r="F1" s="77"/>
      <c r="G1" s="77"/>
    </row>
    <row r="2" spans="1:12" x14ac:dyDescent="0.25">
      <c r="A2" s="59" t="s">
        <v>850</v>
      </c>
      <c r="B2" s="60">
        <v>45030</v>
      </c>
      <c r="C2" s="58"/>
      <c r="H2" s="59" t="s">
        <v>851</v>
      </c>
      <c r="I2" t="s">
        <v>852</v>
      </c>
    </row>
    <row r="3" spans="1:12" ht="45" x14ac:dyDescent="0.25">
      <c r="A3" s="65" t="s">
        <v>853</v>
      </c>
      <c r="B3" s="66" t="s">
        <v>854</v>
      </c>
      <c r="C3" s="67" t="s">
        <v>855</v>
      </c>
      <c r="D3" s="68" t="s">
        <v>856</v>
      </c>
      <c r="E3" s="69" t="s">
        <v>952</v>
      </c>
      <c r="F3" s="70" t="s">
        <v>857</v>
      </c>
      <c r="G3" s="71" t="s">
        <v>858</v>
      </c>
      <c r="H3" s="68" t="s">
        <v>859</v>
      </c>
      <c r="I3" s="69" t="s">
        <v>860</v>
      </c>
      <c r="J3" s="70" t="s">
        <v>861</v>
      </c>
      <c r="K3" s="71" t="s">
        <v>862</v>
      </c>
      <c r="L3" s="72" t="s">
        <v>863</v>
      </c>
    </row>
    <row r="4" spans="1:12" x14ac:dyDescent="0.25">
      <c r="A4" s="73">
        <v>2023</v>
      </c>
      <c r="B4" s="74" t="s">
        <v>953</v>
      </c>
      <c r="C4" s="75" t="str">
        <f t="shared" ref="C4" si="0" xml:space="preserve"> IF( L4&lt; 86, "Low", IF( L4&gt;180, "High", "Medium"))</f>
        <v>Medium</v>
      </c>
      <c r="D4" s="74" t="s">
        <v>866</v>
      </c>
      <c r="E4" s="74" t="s">
        <v>865</v>
      </c>
      <c r="F4" s="74" t="s">
        <v>864</v>
      </c>
      <c r="G4" s="74" t="s">
        <v>865</v>
      </c>
      <c r="H4" s="74" t="s">
        <v>865</v>
      </c>
      <c r="I4" s="74" t="s">
        <v>866</v>
      </c>
      <c r="J4" s="74" t="s">
        <v>864</v>
      </c>
      <c r="K4" s="74" t="s">
        <v>864</v>
      </c>
      <c r="L4" s="76">
        <f t="shared" ref="L4" si="1">_xlfn.SWITCH(D4,"High", 5, "Medium", 2, "Low",1)*7.5 +_xlfn.SWITCH(E4,"High", 5, "Medium", 2, "Low",1)*5 + _xlfn.SWITCH(F4,"High", 5, "Medium", 2, "Low",1)*10+ _xlfn.SWITCH(G4,"High", 5, "Medium", 2, "Low",1)*6.5+_xlfn.SWITCH(H4,"High", 5, "Medium", 2, "Low",1)*5 + _xlfn.SWITCH(I4,"High", 5, "Medium", 2, "Low",1)*10 +_xlfn.SWITCH(J4,"High", 5, "Medium", 2, "Low",1)*10+_xlfn.SWITCH(K4,"High", 5, "Medium", 2, "Low",1)*6.5</f>
        <v>144</v>
      </c>
    </row>
  </sheetData>
  <mergeCells count="1">
    <mergeCell ref="D1:G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72871-BF8B-4037-9CCD-EC0FDD830C64}">
  <sheetPr codeName="Sheet6"/>
  <dimension ref="A1:R51"/>
  <sheetViews>
    <sheetView tabSelected="1" zoomScale="80" zoomScaleNormal="80" workbookViewId="0">
      <pane xSplit="1" ySplit="2" topLeftCell="F30" activePane="bottomRight" state="frozen"/>
      <selection pane="topRight" activeCell="B1" sqref="B1"/>
      <selection pane="bottomLeft" activeCell="A2" sqref="A2"/>
      <selection pane="bottomRight" activeCell="L32" sqref="L32"/>
    </sheetView>
  </sheetViews>
  <sheetFormatPr defaultColWidth="9.140625" defaultRowHeight="15" x14ac:dyDescent="0.25"/>
  <cols>
    <col min="1" max="1" width="60.28515625" customWidth="1"/>
    <col min="2" max="4" width="9.85546875" customWidth="1"/>
    <col min="5" max="5" width="11.42578125" customWidth="1"/>
    <col min="6" max="6" width="30.7109375" customWidth="1"/>
    <col min="7" max="7" width="42.7109375" customWidth="1"/>
    <col min="8" max="8" width="35.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846</v>
      </c>
      <c r="B1" s="43" t="s">
        <v>847</v>
      </c>
      <c r="D1" s="44" t="s">
        <v>951</v>
      </c>
      <c r="E1" s="43"/>
      <c r="F1" s="45"/>
      <c r="G1" s="45"/>
      <c r="H1" s="45"/>
      <c r="I1" s="45"/>
      <c r="J1" s="45"/>
      <c r="K1" s="45"/>
      <c r="L1" s="45"/>
      <c r="M1" s="45"/>
      <c r="N1" s="45"/>
      <c r="O1" s="45"/>
      <c r="P1" s="46"/>
      <c r="Q1" s="45"/>
      <c r="R1" s="47"/>
    </row>
    <row r="2" spans="1:18" s="3" customFormat="1" ht="85.5" customHeight="1" x14ac:dyDescent="0.25">
      <c r="A2" s="4" t="s">
        <v>61</v>
      </c>
      <c r="B2" s="42" t="s">
        <v>832</v>
      </c>
      <c r="C2" s="5" t="s">
        <v>142</v>
      </c>
      <c r="D2" s="5" t="s">
        <v>143</v>
      </c>
      <c r="E2" s="5" t="s">
        <v>141</v>
      </c>
      <c r="F2" s="5" t="s">
        <v>823</v>
      </c>
      <c r="G2" s="5" t="s">
        <v>144</v>
      </c>
      <c r="H2" s="5" t="s">
        <v>23</v>
      </c>
      <c r="I2" s="5" t="s">
        <v>60</v>
      </c>
      <c r="J2" s="5" t="s">
        <v>145</v>
      </c>
      <c r="K2" s="5" t="s">
        <v>835</v>
      </c>
      <c r="L2" s="5" t="s">
        <v>838</v>
      </c>
      <c r="M2" s="6" t="s">
        <v>24</v>
      </c>
      <c r="N2" s="6" t="s">
        <v>25</v>
      </c>
      <c r="O2" s="6" t="s">
        <v>26</v>
      </c>
      <c r="P2" s="4" t="s">
        <v>90</v>
      </c>
      <c r="Q2" s="4" t="s">
        <v>58</v>
      </c>
      <c r="R2" s="18" t="s">
        <v>120</v>
      </c>
    </row>
    <row r="3" spans="1:18" s="3" customFormat="1" ht="45" x14ac:dyDescent="0.25">
      <c r="A3" s="2" t="s">
        <v>29</v>
      </c>
      <c r="B3" s="50" t="s">
        <v>827</v>
      </c>
      <c r="C3" s="56" t="s">
        <v>465</v>
      </c>
      <c r="D3" s="56" t="s">
        <v>843</v>
      </c>
      <c r="E3" s="56" t="s">
        <v>800</v>
      </c>
      <c r="F3" s="55" t="s">
        <v>887</v>
      </c>
      <c r="G3" s="1" t="s">
        <v>905</v>
      </c>
      <c r="H3" s="55" t="s">
        <v>887</v>
      </c>
      <c r="I3" s="55" t="s">
        <v>887</v>
      </c>
      <c r="J3" s="50" t="s">
        <v>891</v>
      </c>
      <c r="K3" s="53" t="s">
        <v>840</v>
      </c>
      <c r="L3" s="52"/>
      <c r="M3" s="9"/>
      <c r="N3" s="9"/>
      <c r="O3" s="9"/>
      <c r="P3" s="8" t="s">
        <v>101</v>
      </c>
      <c r="Q3" s="11" t="s">
        <v>35</v>
      </c>
      <c r="R3" s="11" t="s">
        <v>132</v>
      </c>
    </row>
    <row r="4" spans="1:18" s="3" customFormat="1" ht="45" x14ac:dyDescent="0.25">
      <c r="A4" s="2" t="s">
        <v>30</v>
      </c>
      <c r="B4" s="50" t="s">
        <v>827</v>
      </c>
      <c r="C4" s="56" t="s">
        <v>465</v>
      </c>
      <c r="D4" s="56" t="s">
        <v>843</v>
      </c>
      <c r="E4" s="56" t="s">
        <v>800</v>
      </c>
      <c r="F4" s="55" t="s">
        <v>887</v>
      </c>
      <c r="G4" s="1" t="s">
        <v>906</v>
      </c>
      <c r="H4" s="55" t="s">
        <v>887</v>
      </c>
      <c r="I4" s="55" t="s">
        <v>887</v>
      </c>
      <c r="J4" s="50" t="s">
        <v>891</v>
      </c>
      <c r="K4" s="53" t="s">
        <v>840</v>
      </c>
      <c r="L4" s="52"/>
      <c r="M4" s="9"/>
      <c r="N4" s="9"/>
      <c r="O4" s="9"/>
      <c r="P4" s="8" t="s">
        <v>62</v>
      </c>
      <c r="Q4" s="11" t="s">
        <v>36</v>
      </c>
      <c r="R4" s="11"/>
    </row>
    <row r="5" spans="1:18" s="3" customFormat="1" ht="90" x14ac:dyDescent="0.25">
      <c r="A5" s="2" t="s">
        <v>28</v>
      </c>
      <c r="B5" s="50" t="s">
        <v>827</v>
      </c>
      <c r="C5" s="56" t="s">
        <v>465</v>
      </c>
      <c r="D5" s="56" t="s">
        <v>843</v>
      </c>
      <c r="E5" s="56" t="s">
        <v>800</v>
      </c>
      <c r="F5" s="55" t="s">
        <v>910</v>
      </c>
      <c r="G5" s="1" t="s">
        <v>909</v>
      </c>
      <c r="H5" s="55" t="s">
        <v>887</v>
      </c>
      <c r="I5" s="55" t="s">
        <v>887</v>
      </c>
      <c r="J5" s="50" t="s">
        <v>891</v>
      </c>
      <c r="K5" s="53" t="s">
        <v>840</v>
      </c>
      <c r="L5" s="52"/>
      <c r="M5" s="9"/>
      <c r="N5" s="9"/>
      <c r="O5" s="9"/>
      <c r="P5" s="8" t="s">
        <v>101</v>
      </c>
      <c r="Q5" s="8" t="s">
        <v>37</v>
      </c>
      <c r="R5" s="11"/>
    </row>
    <row r="6" spans="1:18" s="3" customFormat="1" ht="162.75" customHeight="1" x14ac:dyDescent="0.25">
      <c r="A6" s="2" t="s">
        <v>2</v>
      </c>
      <c r="B6" s="50" t="s">
        <v>827</v>
      </c>
      <c r="C6" s="56" t="s">
        <v>465</v>
      </c>
      <c r="D6" s="56" t="s">
        <v>843</v>
      </c>
      <c r="E6" s="56" t="s">
        <v>800</v>
      </c>
      <c r="F6" s="55" t="s">
        <v>910</v>
      </c>
      <c r="G6" s="51" t="s">
        <v>908</v>
      </c>
      <c r="H6" s="55" t="s">
        <v>931</v>
      </c>
      <c r="I6" s="55">
        <v>5</v>
      </c>
      <c r="J6" s="55" t="s">
        <v>928</v>
      </c>
      <c r="K6" s="53" t="s">
        <v>148</v>
      </c>
      <c r="L6" s="52"/>
      <c r="M6" s="9"/>
      <c r="N6" s="9"/>
      <c r="O6" s="9"/>
      <c r="P6" s="8" t="s">
        <v>101</v>
      </c>
      <c r="Q6" s="8" t="s">
        <v>32</v>
      </c>
      <c r="R6" s="11" t="s">
        <v>131</v>
      </c>
    </row>
    <row r="7" spans="1:18" s="3" customFormat="1" ht="90" x14ac:dyDescent="0.25">
      <c r="A7" s="2" t="s">
        <v>1</v>
      </c>
      <c r="B7" s="50" t="s">
        <v>827</v>
      </c>
      <c r="C7" s="56" t="s">
        <v>465</v>
      </c>
      <c r="D7" s="56" t="s">
        <v>843</v>
      </c>
      <c r="E7" s="56" t="s">
        <v>800</v>
      </c>
      <c r="F7" s="55" t="s">
        <v>902</v>
      </c>
      <c r="G7" s="51" t="s">
        <v>911</v>
      </c>
      <c r="H7" s="55" t="s">
        <v>890</v>
      </c>
      <c r="I7" s="55">
        <v>7</v>
      </c>
      <c r="J7" s="55" t="s">
        <v>901</v>
      </c>
      <c r="K7" s="53" t="s">
        <v>148</v>
      </c>
      <c r="L7" s="52"/>
      <c r="M7" s="9"/>
      <c r="N7" s="9"/>
      <c r="O7" s="9"/>
      <c r="P7" s="8" t="s">
        <v>101</v>
      </c>
      <c r="Q7" s="11" t="s">
        <v>33</v>
      </c>
      <c r="R7" s="11"/>
    </row>
    <row r="8" spans="1:18" s="3" customFormat="1" ht="118.15" customHeight="1" x14ac:dyDescent="0.25">
      <c r="A8" s="2" t="s">
        <v>5</v>
      </c>
      <c r="B8" s="50" t="s">
        <v>827</v>
      </c>
      <c r="C8" s="56" t="s">
        <v>465</v>
      </c>
      <c r="D8" s="56" t="s">
        <v>843</v>
      </c>
      <c r="E8" s="56" t="s">
        <v>800</v>
      </c>
      <c r="F8" s="55" t="s">
        <v>902</v>
      </c>
      <c r="G8" s="51" t="s">
        <v>912</v>
      </c>
      <c r="H8" s="55" t="s">
        <v>925</v>
      </c>
      <c r="I8" s="55">
        <v>7</v>
      </c>
      <c r="J8" s="55" t="s">
        <v>927</v>
      </c>
      <c r="K8" s="53" t="s">
        <v>148</v>
      </c>
      <c r="L8" s="52"/>
      <c r="M8" s="9"/>
      <c r="N8" s="9"/>
      <c r="O8" s="9"/>
      <c r="P8" s="8" t="s">
        <v>101</v>
      </c>
      <c r="Q8" s="8" t="s">
        <v>43</v>
      </c>
      <c r="R8" s="11" t="s">
        <v>140</v>
      </c>
    </row>
    <row r="9" spans="1:18" s="3" customFormat="1" ht="59.25" customHeight="1" x14ac:dyDescent="0.25">
      <c r="A9" s="2" t="s">
        <v>17</v>
      </c>
      <c r="B9" s="50" t="s">
        <v>827</v>
      </c>
      <c r="C9" s="56" t="s">
        <v>465</v>
      </c>
      <c r="D9" s="56" t="s">
        <v>843</v>
      </c>
      <c r="E9" s="56" t="s">
        <v>800</v>
      </c>
      <c r="F9" s="55" t="s">
        <v>902</v>
      </c>
      <c r="G9" s="51" t="s">
        <v>913</v>
      </c>
      <c r="H9" s="55" t="s">
        <v>926</v>
      </c>
      <c r="I9" s="55">
        <v>10</v>
      </c>
      <c r="J9" s="55" t="s">
        <v>844</v>
      </c>
      <c r="K9" s="53" t="s">
        <v>148</v>
      </c>
      <c r="L9" s="52"/>
      <c r="M9" s="9"/>
      <c r="N9" s="9"/>
      <c r="O9" s="9"/>
      <c r="P9" s="8" t="s">
        <v>101</v>
      </c>
      <c r="Q9" s="8" t="s">
        <v>34</v>
      </c>
      <c r="R9" s="11"/>
    </row>
    <row r="10" spans="1:18" s="3" customFormat="1" ht="30" x14ac:dyDescent="0.25">
      <c r="A10" s="2" t="s">
        <v>16</v>
      </c>
      <c r="B10" s="50" t="s">
        <v>827</v>
      </c>
      <c r="C10" s="56" t="s">
        <v>465</v>
      </c>
      <c r="D10" s="56" t="s">
        <v>843</v>
      </c>
      <c r="E10" s="56" t="s">
        <v>800</v>
      </c>
      <c r="F10" s="55" t="s">
        <v>887</v>
      </c>
      <c r="G10" s="51" t="s">
        <v>887</v>
      </c>
      <c r="H10" s="55" t="s">
        <v>887</v>
      </c>
      <c r="I10" s="55" t="s">
        <v>887</v>
      </c>
      <c r="J10" s="55" t="s">
        <v>887</v>
      </c>
      <c r="K10" s="53" t="s">
        <v>841</v>
      </c>
      <c r="L10" s="52"/>
      <c r="M10" s="9"/>
      <c r="N10" s="9"/>
      <c r="O10" s="9"/>
      <c r="P10" s="8" t="s">
        <v>101</v>
      </c>
      <c r="Q10" s="8" t="s">
        <v>38</v>
      </c>
      <c r="R10" s="11">
        <v>4.5</v>
      </c>
    </row>
    <row r="11" spans="1:18" s="3" customFormat="1" ht="75" x14ac:dyDescent="0.25">
      <c r="A11" s="2" t="s">
        <v>4</v>
      </c>
      <c r="B11" s="50" t="s">
        <v>827</v>
      </c>
      <c r="C11" s="56" t="s">
        <v>465</v>
      </c>
      <c r="D11" s="56" t="s">
        <v>843</v>
      </c>
      <c r="E11" s="56" t="s">
        <v>800</v>
      </c>
      <c r="F11" s="55" t="s">
        <v>902</v>
      </c>
      <c r="G11" s="51" t="s">
        <v>914</v>
      </c>
      <c r="H11" s="55" t="s">
        <v>890</v>
      </c>
      <c r="I11" s="55">
        <v>5</v>
      </c>
      <c r="J11" s="55" t="s">
        <v>929</v>
      </c>
      <c r="K11" s="53" t="s">
        <v>148</v>
      </c>
      <c r="L11" s="52"/>
      <c r="M11" s="9"/>
      <c r="N11" s="9"/>
      <c r="O11" s="9"/>
      <c r="P11" s="7" t="s">
        <v>62</v>
      </c>
      <c r="Q11" s="7" t="s">
        <v>39</v>
      </c>
      <c r="R11" s="11"/>
    </row>
    <row r="12" spans="1:18" s="3" customFormat="1" ht="85.5" customHeight="1" x14ac:dyDescent="0.25">
      <c r="A12" s="2" t="s">
        <v>7</v>
      </c>
      <c r="B12" s="50" t="s">
        <v>827</v>
      </c>
      <c r="C12" s="56" t="s">
        <v>465</v>
      </c>
      <c r="D12" s="56" t="s">
        <v>843</v>
      </c>
      <c r="E12" s="56" t="s">
        <v>800</v>
      </c>
      <c r="F12" s="55" t="s">
        <v>902</v>
      </c>
      <c r="G12" s="51" t="s">
        <v>915</v>
      </c>
      <c r="H12" s="55" t="s">
        <v>890</v>
      </c>
      <c r="I12" s="55">
        <v>7</v>
      </c>
      <c r="J12" s="55" t="s">
        <v>939</v>
      </c>
      <c r="K12" s="53" t="s">
        <v>148</v>
      </c>
      <c r="L12" s="52"/>
      <c r="M12" s="9"/>
      <c r="N12" s="9"/>
      <c r="O12" s="9"/>
      <c r="P12" s="8" t="s">
        <v>101</v>
      </c>
      <c r="Q12" s="12" t="s">
        <v>40</v>
      </c>
      <c r="R12" s="11"/>
    </row>
    <row r="13" spans="1:18" s="3" customFormat="1" ht="60" x14ac:dyDescent="0.25">
      <c r="A13" s="2" t="s">
        <v>19</v>
      </c>
      <c r="B13" s="50" t="s">
        <v>827</v>
      </c>
      <c r="C13" s="56" t="s">
        <v>465</v>
      </c>
      <c r="D13" s="56" t="s">
        <v>843</v>
      </c>
      <c r="E13" s="56" t="s">
        <v>800</v>
      </c>
      <c r="F13" s="55" t="s">
        <v>902</v>
      </c>
      <c r="G13" s="51" t="s">
        <v>916</v>
      </c>
      <c r="H13" s="55" t="s">
        <v>890</v>
      </c>
      <c r="I13" s="55">
        <v>7</v>
      </c>
      <c r="J13" s="55" t="s">
        <v>930</v>
      </c>
      <c r="K13" s="53" t="s">
        <v>148</v>
      </c>
      <c r="L13" s="52"/>
      <c r="M13" s="9"/>
      <c r="N13" s="9"/>
      <c r="O13" s="9"/>
      <c r="P13" s="8" t="s">
        <v>101</v>
      </c>
      <c r="Q13" s="8" t="s">
        <v>50</v>
      </c>
      <c r="R13" s="11" t="s">
        <v>135</v>
      </c>
    </row>
    <row r="14" spans="1:18" s="3" customFormat="1" ht="30" x14ac:dyDescent="0.25">
      <c r="A14" s="2" t="s">
        <v>9</v>
      </c>
      <c r="B14" s="50" t="s">
        <v>827</v>
      </c>
      <c r="C14" s="56" t="s">
        <v>465</v>
      </c>
      <c r="D14" s="56" t="s">
        <v>843</v>
      </c>
      <c r="E14" s="56" t="s">
        <v>800</v>
      </c>
      <c r="F14" s="55" t="s">
        <v>887</v>
      </c>
      <c r="G14" s="63" t="s">
        <v>907</v>
      </c>
      <c r="H14" s="55" t="s">
        <v>887</v>
      </c>
      <c r="I14" s="55" t="s">
        <v>887</v>
      </c>
      <c r="J14" s="50" t="s">
        <v>891</v>
      </c>
      <c r="K14" s="53" t="s">
        <v>840</v>
      </c>
      <c r="L14" s="52"/>
      <c r="M14" s="9"/>
      <c r="N14" s="9"/>
      <c r="O14" s="9"/>
      <c r="P14" s="8" t="s">
        <v>101</v>
      </c>
      <c r="Q14" s="8" t="s">
        <v>42</v>
      </c>
      <c r="R14" s="11"/>
    </row>
    <row r="15" spans="1:18" s="3" customFormat="1" ht="135.75" customHeight="1" x14ac:dyDescent="0.25">
      <c r="A15" s="2" t="s">
        <v>10</v>
      </c>
      <c r="B15" s="50" t="s">
        <v>827</v>
      </c>
      <c r="C15" s="56" t="s">
        <v>465</v>
      </c>
      <c r="D15" s="56" t="s">
        <v>843</v>
      </c>
      <c r="E15" s="56" t="s">
        <v>800</v>
      </c>
      <c r="F15" s="55" t="s">
        <v>893</v>
      </c>
      <c r="G15" s="63" t="s">
        <v>917</v>
      </c>
      <c r="H15" s="55" t="s">
        <v>903</v>
      </c>
      <c r="I15" s="55">
        <v>2</v>
      </c>
      <c r="J15" s="54"/>
      <c r="K15" s="53" t="s">
        <v>148</v>
      </c>
      <c r="L15" s="52"/>
      <c r="M15" s="9"/>
      <c r="N15" s="9"/>
      <c r="O15" s="9"/>
      <c r="P15" s="8" t="s">
        <v>101</v>
      </c>
      <c r="Q15" s="8" t="s">
        <v>41</v>
      </c>
      <c r="R15" s="11"/>
    </row>
    <row r="16" spans="1:18" s="3" customFormat="1" ht="30" x14ac:dyDescent="0.25">
      <c r="A16" s="2" t="s">
        <v>11</v>
      </c>
      <c r="B16" s="50" t="s">
        <v>827</v>
      </c>
      <c r="C16" s="56" t="s">
        <v>465</v>
      </c>
      <c r="D16" s="56" t="s">
        <v>843</v>
      </c>
      <c r="E16" s="56" t="s">
        <v>800</v>
      </c>
      <c r="F16" s="55" t="s">
        <v>887</v>
      </c>
      <c r="G16" s="63" t="s">
        <v>907</v>
      </c>
      <c r="H16" s="55" t="s">
        <v>887</v>
      </c>
      <c r="I16" s="55" t="s">
        <v>887</v>
      </c>
      <c r="J16" s="50" t="s">
        <v>891</v>
      </c>
      <c r="K16" s="53" t="s">
        <v>840</v>
      </c>
      <c r="L16" s="52"/>
      <c r="M16" s="9"/>
      <c r="N16" s="9"/>
      <c r="O16" s="9"/>
      <c r="P16" s="8" t="s">
        <v>101</v>
      </c>
      <c r="Q16" s="8" t="s">
        <v>44</v>
      </c>
      <c r="R16" s="11"/>
    </row>
    <row r="17" spans="1:18" s="3" customFormat="1" ht="127.5" customHeight="1" x14ac:dyDescent="0.25">
      <c r="A17" s="2" t="s">
        <v>12</v>
      </c>
      <c r="B17" s="50" t="s">
        <v>827</v>
      </c>
      <c r="C17" s="56" t="s">
        <v>465</v>
      </c>
      <c r="D17" s="56" t="s">
        <v>843</v>
      </c>
      <c r="E17" s="56" t="s">
        <v>800</v>
      </c>
      <c r="F17" s="55" t="s">
        <v>910</v>
      </c>
      <c r="G17" s="51" t="s">
        <v>918</v>
      </c>
      <c r="H17" s="55" t="s">
        <v>895</v>
      </c>
      <c r="I17" s="55">
        <v>1</v>
      </c>
      <c r="J17" s="55" t="s">
        <v>894</v>
      </c>
      <c r="K17" s="53" t="s">
        <v>148</v>
      </c>
      <c r="L17" s="52"/>
      <c r="M17" s="9"/>
      <c r="N17" s="9"/>
      <c r="O17" s="9"/>
      <c r="P17" s="8" t="s">
        <v>101</v>
      </c>
      <c r="Q17" s="8" t="s">
        <v>45</v>
      </c>
      <c r="R17" s="11" t="s">
        <v>138</v>
      </c>
    </row>
    <row r="18" spans="1:18" s="3" customFormat="1" ht="45" x14ac:dyDescent="0.25">
      <c r="A18" s="2" t="s">
        <v>13</v>
      </c>
      <c r="B18" s="50" t="s">
        <v>827</v>
      </c>
      <c r="C18" s="56" t="s">
        <v>465</v>
      </c>
      <c r="D18" s="56" t="s">
        <v>843</v>
      </c>
      <c r="E18" s="56" t="s">
        <v>800</v>
      </c>
      <c r="F18" s="55" t="s">
        <v>887</v>
      </c>
      <c r="G18" s="55" t="s">
        <v>887</v>
      </c>
      <c r="H18" s="55" t="s">
        <v>887</v>
      </c>
      <c r="I18" s="55" t="s">
        <v>887</v>
      </c>
      <c r="J18" s="50" t="s">
        <v>891</v>
      </c>
      <c r="K18" s="53" t="s">
        <v>840</v>
      </c>
      <c r="L18" s="52"/>
      <c r="M18" s="9"/>
      <c r="N18" s="9"/>
      <c r="O18" s="9"/>
      <c r="P18" s="8" t="s">
        <v>101</v>
      </c>
      <c r="Q18" s="8" t="s">
        <v>51</v>
      </c>
      <c r="R18" s="11"/>
    </row>
    <row r="19" spans="1:18" s="3" customFormat="1" ht="117" customHeight="1" x14ac:dyDescent="0.25">
      <c r="A19" s="2" t="s">
        <v>21</v>
      </c>
      <c r="B19" s="50" t="s">
        <v>827</v>
      </c>
      <c r="C19" s="56" t="s">
        <v>465</v>
      </c>
      <c r="D19" s="56" t="s">
        <v>843</v>
      </c>
      <c r="E19" s="56" t="s">
        <v>800</v>
      </c>
      <c r="F19" s="55" t="s">
        <v>910</v>
      </c>
      <c r="G19" s="51" t="s">
        <v>919</v>
      </c>
      <c r="H19" s="55" t="s">
        <v>896</v>
      </c>
      <c r="I19" s="55">
        <v>1</v>
      </c>
      <c r="J19" s="55" t="s">
        <v>897</v>
      </c>
      <c r="K19" s="53" t="s">
        <v>148</v>
      </c>
      <c r="L19" s="52"/>
      <c r="M19" s="9"/>
      <c r="N19" s="9"/>
      <c r="O19" s="9"/>
      <c r="P19" s="7" t="s">
        <v>62</v>
      </c>
      <c r="Q19" s="7" t="s">
        <v>52</v>
      </c>
      <c r="R19" s="11"/>
    </row>
    <row r="20" spans="1:18" s="3" customFormat="1" ht="30" x14ac:dyDescent="0.25">
      <c r="A20" s="2" t="s">
        <v>6</v>
      </c>
      <c r="B20" s="50" t="s">
        <v>827</v>
      </c>
      <c r="C20" s="56" t="s">
        <v>465</v>
      </c>
      <c r="D20" s="56" t="s">
        <v>843</v>
      </c>
      <c r="E20" s="56" t="s">
        <v>800</v>
      </c>
      <c r="F20" s="55" t="s">
        <v>887</v>
      </c>
      <c r="G20" s="64" t="s">
        <v>887</v>
      </c>
      <c r="H20" s="55" t="s">
        <v>887</v>
      </c>
      <c r="I20" s="55" t="s">
        <v>887</v>
      </c>
      <c r="J20" s="55" t="s">
        <v>887</v>
      </c>
      <c r="K20" s="53" t="s">
        <v>841</v>
      </c>
      <c r="L20" s="52"/>
      <c r="M20" s="9"/>
      <c r="N20" s="9"/>
      <c r="O20" s="9"/>
      <c r="P20" s="8" t="s">
        <v>101</v>
      </c>
      <c r="Q20" s="8" t="s">
        <v>46</v>
      </c>
      <c r="R20" s="11"/>
    </row>
    <row r="21" spans="1:18" s="3" customFormat="1" ht="45" x14ac:dyDescent="0.25">
      <c r="A21" s="2" t="s">
        <v>3</v>
      </c>
      <c r="B21" s="50" t="s">
        <v>827</v>
      </c>
      <c r="C21" s="56" t="s">
        <v>465</v>
      </c>
      <c r="D21" s="56" t="s">
        <v>843</v>
      </c>
      <c r="E21" s="56" t="s">
        <v>800</v>
      </c>
      <c r="F21" s="55" t="s">
        <v>887</v>
      </c>
      <c r="G21" s="64" t="s">
        <v>907</v>
      </c>
      <c r="H21" s="55" t="s">
        <v>887</v>
      </c>
      <c r="I21" s="55" t="s">
        <v>887</v>
      </c>
      <c r="J21" s="50" t="s">
        <v>891</v>
      </c>
      <c r="K21" s="53" t="s">
        <v>840</v>
      </c>
      <c r="L21" s="52"/>
      <c r="M21" s="9"/>
      <c r="N21" s="9"/>
      <c r="O21" s="9"/>
      <c r="P21" s="8" t="s">
        <v>101</v>
      </c>
      <c r="Q21" s="8" t="s">
        <v>53</v>
      </c>
      <c r="R21" s="11" t="s">
        <v>133</v>
      </c>
    </row>
    <row r="22" spans="1:18" s="3" customFormat="1" ht="197.25" customHeight="1" x14ac:dyDescent="0.25">
      <c r="A22" s="2" t="s">
        <v>18</v>
      </c>
      <c r="B22" s="50" t="s">
        <v>827</v>
      </c>
      <c r="C22" s="56" t="s">
        <v>465</v>
      </c>
      <c r="D22" s="56" t="s">
        <v>843</v>
      </c>
      <c r="E22" s="56" t="s">
        <v>800</v>
      </c>
      <c r="F22" s="55" t="s">
        <v>923</v>
      </c>
      <c r="G22" s="51" t="s">
        <v>920</v>
      </c>
      <c r="H22" s="55" t="s">
        <v>898</v>
      </c>
      <c r="I22" s="55">
        <v>9</v>
      </c>
      <c r="J22" s="55" t="s">
        <v>900</v>
      </c>
      <c r="K22" s="53" t="s">
        <v>148</v>
      </c>
      <c r="L22" s="52"/>
      <c r="M22" s="9"/>
      <c r="N22" s="9"/>
      <c r="O22" s="9"/>
      <c r="P22" s="8" t="s">
        <v>62</v>
      </c>
      <c r="Q22" s="8" t="s">
        <v>47</v>
      </c>
      <c r="R22" s="11" t="s">
        <v>139</v>
      </c>
    </row>
    <row r="23" spans="1:18" s="3" customFormat="1" ht="101.25" customHeight="1" x14ac:dyDescent="0.25">
      <c r="A23" s="2" t="s">
        <v>8</v>
      </c>
      <c r="B23" s="50" t="s">
        <v>827</v>
      </c>
      <c r="C23" s="56" t="s">
        <v>465</v>
      </c>
      <c r="D23" s="56" t="s">
        <v>843</v>
      </c>
      <c r="E23" s="56" t="s">
        <v>800</v>
      </c>
      <c r="F23" s="55" t="s">
        <v>923</v>
      </c>
      <c r="G23" s="51" t="s">
        <v>921</v>
      </c>
      <c r="H23" s="55" t="s">
        <v>892</v>
      </c>
      <c r="I23" s="55">
        <v>20</v>
      </c>
      <c r="J23" s="55" t="s">
        <v>845</v>
      </c>
      <c r="K23" s="53" t="s">
        <v>148</v>
      </c>
      <c r="L23" s="52"/>
      <c r="M23" s="9"/>
      <c r="N23" s="9"/>
      <c r="O23" s="9"/>
      <c r="P23" s="8" t="s">
        <v>62</v>
      </c>
      <c r="Q23" s="8" t="s">
        <v>31</v>
      </c>
      <c r="R23" s="11"/>
    </row>
    <row r="24" spans="1:18" s="3" customFormat="1" ht="60" x14ac:dyDescent="0.25">
      <c r="A24" s="2" t="s">
        <v>14</v>
      </c>
      <c r="B24" s="50" t="s">
        <v>827</v>
      </c>
      <c r="C24" s="56" t="s">
        <v>465</v>
      </c>
      <c r="D24" s="56" t="s">
        <v>843</v>
      </c>
      <c r="E24" s="56" t="s">
        <v>800</v>
      </c>
      <c r="F24" s="55" t="s">
        <v>924</v>
      </c>
      <c r="G24" s="51" t="s">
        <v>922</v>
      </c>
      <c r="H24" s="55" t="s">
        <v>899</v>
      </c>
      <c r="I24" s="55">
        <v>1</v>
      </c>
      <c r="J24" s="55" t="s">
        <v>884</v>
      </c>
      <c r="K24" s="53" t="s">
        <v>148</v>
      </c>
      <c r="L24" s="52"/>
      <c r="M24" s="9"/>
      <c r="N24" s="9"/>
      <c r="O24" s="9"/>
      <c r="P24" s="8" t="s">
        <v>62</v>
      </c>
      <c r="Q24" s="8" t="s">
        <v>48</v>
      </c>
      <c r="R24" s="11"/>
    </row>
    <row r="25" spans="1:18" s="3" customFormat="1" ht="30" x14ac:dyDescent="0.25">
      <c r="A25" s="2" t="s">
        <v>0</v>
      </c>
      <c r="B25" s="50" t="s">
        <v>827</v>
      </c>
      <c r="C25" s="56" t="s">
        <v>465</v>
      </c>
      <c r="D25" s="57" t="s">
        <v>843</v>
      </c>
      <c r="E25" s="57" t="s">
        <v>800</v>
      </c>
      <c r="F25" s="55" t="s">
        <v>887</v>
      </c>
      <c r="G25" s="55" t="s">
        <v>887</v>
      </c>
      <c r="H25" s="55" t="s">
        <v>887</v>
      </c>
      <c r="I25" s="55" t="s">
        <v>887</v>
      </c>
      <c r="J25" s="63" t="s">
        <v>883</v>
      </c>
      <c r="K25" s="53" t="s">
        <v>840</v>
      </c>
      <c r="L25" s="54"/>
      <c r="M25" s="9"/>
      <c r="N25" s="9"/>
      <c r="O25" s="9"/>
      <c r="P25" s="8" t="s">
        <v>62</v>
      </c>
      <c r="Q25" s="8" t="s">
        <v>49</v>
      </c>
      <c r="R25" s="11"/>
    </row>
    <row r="26" spans="1:18" s="3" customFormat="1" ht="30" x14ac:dyDescent="0.25">
      <c r="A26" s="2" t="s">
        <v>54</v>
      </c>
      <c r="B26" s="50" t="s">
        <v>827</v>
      </c>
      <c r="C26" s="56" t="s">
        <v>465</v>
      </c>
      <c r="D26" s="57" t="s">
        <v>843</v>
      </c>
      <c r="E26" s="57" t="s">
        <v>800</v>
      </c>
      <c r="F26" s="55" t="s">
        <v>887</v>
      </c>
      <c r="G26" s="55" t="s">
        <v>887</v>
      </c>
      <c r="H26" s="55" t="s">
        <v>887</v>
      </c>
      <c r="I26" s="55" t="s">
        <v>887</v>
      </c>
      <c r="J26" s="50" t="s">
        <v>891</v>
      </c>
      <c r="K26" s="53" t="s">
        <v>840</v>
      </c>
      <c r="L26" s="52"/>
      <c r="M26" s="9"/>
      <c r="N26" s="9"/>
      <c r="O26" s="9"/>
      <c r="P26" s="8" t="s">
        <v>101</v>
      </c>
      <c r="Q26" s="8" t="s">
        <v>55</v>
      </c>
      <c r="R26" s="11"/>
    </row>
    <row r="27" spans="1:18" s="3" customFormat="1" ht="30" x14ac:dyDescent="0.25">
      <c r="A27" s="2" t="s">
        <v>15</v>
      </c>
      <c r="B27" s="50" t="s">
        <v>827</v>
      </c>
      <c r="C27" s="56" t="s">
        <v>465</v>
      </c>
      <c r="D27" s="57" t="s">
        <v>843</v>
      </c>
      <c r="E27" s="57" t="s">
        <v>800</v>
      </c>
      <c r="F27" s="55" t="s">
        <v>887</v>
      </c>
      <c r="G27" s="55" t="s">
        <v>887</v>
      </c>
      <c r="H27" s="55" t="s">
        <v>887</v>
      </c>
      <c r="I27" s="55" t="s">
        <v>887</v>
      </c>
      <c r="J27" s="50" t="s">
        <v>891</v>
      </c>
      <c r="K27" s="53" t="s">
        <v>840</v>
      </c>
      <c r="L27" s="52"/>
      <c r="M27" s="9"/>
      <c r="N27" s="9"/>
      <c r="O27" s="9"/>
      <c r="P27" s="8" t="s">
        <v>101</v>
      </c>
      <c r="Q27" s="8" t="s">
        <v>56</v>
      </c>
      <c r="R27" s="11"/>
    </row>
    <row r="28" spans="1:18" s="3" customFormat="1" ht="120" x14ac:dyDescent="0.25">
      <c r="A28" s="2" t="s">
        <v>20</v>
      </c>
      <c r="B28" s="50" t="s">
        <v>827</v>
      </c>
      <c r="C28" s="56" t="s">
        <v>465</v>
      </c>
      <c r="D28" s="57" t="s">
        <v>843</v>
      </c>
      <c r="E28" s="57" t="s">
        <v>800</v>
      </c>
      <c r="F28" s="55" t="s">
        <v>932</v>
      </c>
      <c r="G28" s="55" t="s">
        <v>941</v>
      </c>
      <c r="H28" s="55" t="s">
        <v>933</v>
      </c>
      <c r="I28" s="55">
        <v>1</v>
      </c>
      <c r="J28" s="55" t="s">
        <v>936</v>
      </c>
      <c r="K28" s="53" t="s">
        <v>149</v>
      </c>
      <c r="L28" s="52" t="s">
        <v>934</v>
      </c>
      <c r="M28" s="9"/>
      <c r="N28" s="9"/>
      <c r="O28" s="9"/>
      <c r="P28" s="8" t="s">
        <v>101</v>
      </c>
      <c r="Q28" s="8" t="s">
        <v>57</v>
      </c>
      <c r="R28" s="11" t="s">
        <v>134</v>
      </c>
    </row>
    <row r="29" spans="1:18" s="3" customFormat="1" ht="120" x14ac:dyDescent="0.25">
      <c r="A29" s="2" t="s">
        <v>20</v>
      </c>
      <c r="B29" s="50" t="s">
        <v>827</v>
      </c>
      <c r="C29" s="56" t="s">
        <v>465</v>
      </c>
      <c r="D29" s="57" t="s">
        <v>843</v>
      </c>
      <c r="E29" s="57" t="s">
        <v>800</v>
      </c>
      <c r="F29" s="55" t="s">
        <v>935</v>
      </c>
      <c r="G29" s="55" t="s">
        <v>940</v>
      </c>
      <c r="H29" s="55" t="s">
        <v>937</v>
      </c>
      <c r="I29" s="55">
        <v>1</v>
      </c>
      <c r="J29" s="55" t="s">
        <v>938</v>
      </c>
      <c r="K29" s="53" t="s">
        <v>149</v>
      </c>
      <c r="L29" s="52" t="s">
        <v>934</v>
      </c>
      <c r="M29" s="9"/>
      <c r="N29" s="9"/>
      <c r="O29" s="9"/>
      <c r="P29" s="8" t="s">
        <v>101</v>
      </c>
      <c r="Q29" s="8" t="s">
        <v>57</v>
      </c>
      <c r="R29" s="11" t="s">
        <v>134</v>
      </c>
    </row>
    <row r="30" spans="1:18" s="3" customFormat="1" ht="141" customHeight="1" x14ac:dyDescent="0.25">
      <c r="A30" s="2" t="s">
        <v>20</v>
      </c>
      <c r="B30" s="50" t="s">
        <v>827</v>
      </c>
      <c r="C30" s="56" t="s">
        <v>465</v>
      </c>
      <c r="D30" s="57" t="s">
        <v>843</v>
      </c>
      <c r="E30" s="57" t="s">
        <v>800</v>
      </c>
      <c r="F30" s="55" t="s">
        <v>942</v>
      </c>
      <c r="G30" s="55" t="s">
        <v>947</v>
      </c>
      <c r="H30" s="55" t="s">
        <v>943</v>
      </c>
      <c r="I30" s="55">
        <v>2</v>
      </c>
      <c r="J30" s="55" t="s">
        <v>944</v>
      </c>
      <c r="K30" s="53" t="s">
        <v>148</v>
      </c>
      <c r="L30" s="52"/>
      <c r="M30" s="9"/>
      <c r="N30" s="9"/>
      <c r="O30" s="9"/>
      <c r="P30" s="8" t="s">
        <v>101</v>
      </c>
      <c r="Q30" s="8" t="s">
        <v>57</v>
      </c>
      <c r="R30" s="11" t="s">
        <v>134</v>
      </c>
    </row>
    <row r="31" spans="1:18" s="3" customFormat="1" ht="147.75" customHeight="1" x14ac:dyDescent="0.25">
      <c r="A31" s="2" t="s">
        <v>20</v>
      </c>
      <c r="B31" s="50" t="s">
        <v>827</v>
      </c>
      <c r="C31" s="56" t="s">
        <v>465</v>
      </c>
      <c r="D31" s="57" t="s">
        <v>843</v>
      </c>
      <c r="E31" s="57" t="s">
        <v>800</v>
      </c>
      <c r="F31" s="55" t="s">
        <v>945</v>
      </c>
      <c r="G31" s="55" t="s">
        <v>946</v>
      </c>
      <c r="H31" s="55">
        <v>4790444166</v>
      </c>
      <c r="I31" s="55">
        <v>2</v>
      </c>
      <c r="J31" s="55" t="s">
        <v>954</v>
      </c>
      <c r="K31" s="53" t="s">
        <v>149</v>
      </c>
      <c r="L31" s="52" t="s">
        <v>955</v>
      </c>
      <c r="M31" s="9"/>
      <c r="N31" s="9"/>
      <c r="O31" s="9"/>
      <c r="P31" s="8" t="s">
        <v>101</v>
      </c>
      <c r="Q31" s="8" t="s">
        <v>57</v>
      </c>
      <c r="R31" s="11" t="s">
        <v>134</v>
      </c>
    </row>
    <row r="32" spans="1:18" s="3" customFormat="1" ht="134.25" customHeight="1" x14ac:dyDescent="0.25">
      <c r="A32" s="2" t="s">
        <v>20</v>
      </c>
      <c r="B32" s="50" t="s">
        <v>827</v>
      </c>
      <c r="C32" s="56" t="s">
        <v>465</v>
      </c>
      <c r="D32" s="57" t="s">
        <v>843</v>
      </c>
      <c r="E32" s="57" t="s">
        <v>800</v>
      </c>
      <c r="F32" s="55" t="s">
        <v>948</v>
      </c>
      <c r="G32" s="55" t="s">
        <v>949</v>
      </c>
      <c r="H32" s="55">
        <v>4790470925</v>
      </c>
      <c r="I32" s="55">
        <v>1</v>
      </c>
      <c r="J32" s="55" t="s">
        <v>950</v>
      </c>
      <c r="K32" s="53" t="s">
        <v>148</v>
      </c>
      <c r="L32" s="52"/>
      <c r="M32" s="9"/>
      <c r="N32" s="9"/>
      <c r="O32" s="9"/>
      <c r="P32" s="8" t="s">
        <v>101</v>
      </c>
      <c r="Q32" s="8" t="s">
        <v>57</v>
      </c>
      <c r="R32" s="11" t="s">
        <v>134</v>
      </c>
    </row>
    <row r="33" spans="1:18" s="3" customFormat="1" ht="144" customHeight="1" x14ac:dyDescent="0.25">
      <c r="A33" s="2" t="s">
        <v>20</v>
      </c>
      <c r="B33" s="50" t="s">
        <v>827</v>
      </c>
      <c r="C33" s="56" t="s">
        <v>465</v>
      </c>
      <c r="D33" s="56" t="s">
        <v>843</v>
      </c>
      <c r="E33" s="56" t="s">
        <v>800</v>
      </c>
      <c r="F33" s="55"/>
      <c r="G33" s="55"/>
      <c r="H33" s="55"/>
      <c r="I33" s="55"/>
      <c r="J33" s="55"/>
      <c r="K33" s="53"/>
      <c r="L33" s="52"/>
      <c r="M33" s="9"/>
      <c r="N33" s="9"/>
      <c r="O33" s="9"/>
      <c r="P33" s="8" t="s">
        <v>101</v>
      </c>
      <c r="Q33" s="8" t="s">
        <v>57</v>
      </c>
      <c r="R33" s="11" t="s">
        <v>134</v>
      </c>
    </row>
    <row r="34" spans="1:18" s="3" customFormat="1" ht="105" x14ac:dyDescent="0.25">
      <c r="A34" s="2" t="s">
        <v>20</v>
      </c>
      <c r="B34" s="50" t="s">
        <v>827</v>
      </c>
      <c r="C34" s="56" t="s">
        <v>465</v>
      </c>
      <c r="D34" s="56" t="s">
        <v>843</v>
      </c>
      <c r="E34" s="56" t="s">
        <v>800</v>
      </c>
      <c r="F34" s="55"/>
      <c r="G34" s="55"/>
      <c r="H34" s="55"/>
      <c r="I34" s="55"/>
      <c r="J34" s="54"/>
      <c r="K34" s="53"/>
      <c r="L34" s="52"/>
      <c r="M34" s="9"/>
      <c r="N34" s="9"/>
      <c r="O34" s="9"/>
      <c r="P34" s="8" t="s">
        <v>101</v>
      </c>
      <c r="Q34" s="8" t="s">
        <v>57</v>
      </c>
      <c r="R34" s="11" t="s">
        <v>134</v>
      </c>
    </row>
    <row r="35" spans="1:18" s="3" customFormat="1" ht="15.75" x14ac:dyDescent="0.25">
      <c r="A35" s="2"/>
      <c r="B35" s="1"/>
      <c r="C35" s="1"/>
      <c r="D35" s="1"/>
      <c r="E35" s="1"/>
      <c r="F35" s="1"/>
      <c r="G35" s="1"/>
      <c r="H35" s="1"/>
      <c r="I35" s="1"/>
      <c r="J35" s="1"/>
      <c r="K35" s="29"/>
      <c r="L35" s="1"/>
      <c r="M35" s="9"/>
      <c r="N35" s="9"/>
      <c r="O35" s="9"/>
      <c r="R35" s="11"/>
    </row>
    <row r="36" spans="1:18" s="3" customFormat="1" ht="15.75" x14ac:dyDescent="0.25">
      <c r="A36" s="2"/>
      <c r="B36" s="1"/>
      <c r="C36" s="1"/>
      <c r="D36" s="1"/>
      <c r="E36" s="1"/>
      <c r="F36" s="1"/>
      <c r="G36" s="1"/>
      <c r="H36" s="1"/>
      <c r="I36" s="1"/>
      <c r="J36" s="1"/>
      <c r="K36" s="29"/>
      <c r="L36" s="1"/>
      <c r="M36" s="9"/>
      <c r="N36" s="9"/>
      <c r="O36" s="9"/>
      <c r="R36" s="11"/>
    </row>
    <row r="37" spans="1:18" s="3" customFormat="1" ht="15.75" x14ac:dyDescent="0.25">
      <c r="A37" s="2"/>
      <c r="B37" s="1"/>
      <c r="C37" s="1"/>
      <c r="D37" s="1"/>
      <c r="E37" s="1"/>
      <c r="F37" s="1"/>
      <c r="G37" s="1"/>
      <c r="H37" s="1"/>
      <c r="I37" s="1"/>
      <c r="J37" s="1"/>
      <c r="K37" s="29"/>
      <c r="L37" s="1"/>
      <c r="M37" s="9"/>
      <c r="N37" s="9"/>
      <c r="O37" s="9"/>
      <c r="R37" s="11"/>
    </row>
    <row r="38" spans="1:18" s="3" customFormat="1" ht="15.75" x14ac:dyDescent="0.25">
      <c r="A38" s="2"/>
      <c r="B38" s="1"/>
      <c r="C38" s="1"/>
      <c r="D38" s="1"/>
      <c r="E38" s="1"/>
      <c r="F38" s="1"/>
      <c r="G38" s="1"/>
      <c r="H38" s="1"/>
      <c r="I38" s="1"/>
      <c r="J38" s="1"/>
      <c r="K38" s="29"/>
      <c r="L38" s="1"/>
      <c r="M38" s="9"/>
      <c r="N38" s="9"/>
      <c r="O38" s="9"/>
      <c r="R38" s="11"/>
    </row>
    <row r="39" spans="1:18" s="3" customFormat="1" ht="15.75" x14ac:dyDescent="0.25">
      <c r="A39" s="2"/>
      <c r="B39" s="1"/>
      <c r="C39" s="1"/>
      <c r="D39" s="1"/>
      <c r="E39" s="1"/>
      <c r="F39" s="1"/>
      <c r="G39" s="1"/>
      <c r="H39" s="1"/>
      <c r="I39" s="1"/>
      <c r="J39" s="1"/>
      <c r="K39" s="29"/>
      <c r="L39" s="29"/>
      <c r="M39" s="9"/>
      <c r="N39" s="9"/>
      <c r="O39" s="9"/>
      <c r="Q39" s="7"/>
      <c r="R39" s="11"/>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row r="51" spans="17:17" x14ac:dyDescent="0.25">
      <c r="Q51" s="10"/>
    </row>
  </sheetData>
  <conditionalFormatting sqref="K3:K28 K30:K34">
    <cfRule type="expression" dxfId="123" priority="123">
      <formula>COUNTBLANK($K3)</formula>
    </cfRule>
  </conditionalFormatting>
  <conditionalFormatting sqref="A6:A9 A11:A13 A28:A34">
    <cfRule type="expression" dxfId="122" priority="122">
      <formula>COUNTBLANK($F6:$I6)</formula>
    </cfRule>
  </conditionalFormatting>
  <conditionalFormatting sqref="A6:A9 A11:A13 A28:A34">
    <cfRule type="expression" dxfId="121" priority="120">
      <formula>$K6="Not Audited"</formula>
    </cfRule>
    <cfRule type="expression" dxfId="120" priority="121">
      <formula>$K6="Not Applicable"</formula>
    </cfRule>
  </conditionalFormatting>
  <conditionalFormatting sqref="A10">
    <cfRule type="expression" dxfId="119" priority="119">
      <formula>COUNTBLANK($F10:$H10)</formula>
    </cfRule>
  </conditionalFormatting>
  <conditionalFormatting sqref="A10">
    <cfRule type="expression" dxfId="118" priority="117">
      <formula>$K10="Not Audited"</formula>
    </cfRule>
    <cfRule type="expression" dxfId="117" priority="118">
      <formula>$K10="Not Applicable"</formula>
    </cfRule>
  </conditionalFormatting>
  <conditionalFormatting sqref="A15">
    <cfRule type="expression" dxfId="116" priority="116">
      <formula>COUNTBLANK($F15:$H15)</formula>
    </cfRule>
  </conditionalFormatting>
  <conditionalFormatting sqref="A15">
    <cfRule type="expression" dxfId="115" priority="114">
      <formula>$K15="Not Audited"</formula>
    </cfRule>
    <cfRule type="expression" dxfId="114" priority="115">
      <formula>$K15="Not Applicable"</formula>
    </cfRule>
  </conditionalFormatting>
  <conditionalFormatting sqref="A14">
    <cfRule type="expression" dxfId="113" priority="113">
      <formula>COUNTBLANK($F14:$H14)</formula>
    </cfRule>
  </conditionalFormatting>
  <conditionalFormatting sqref="A14">
    <cfRule type="expression" dxfId="112" priority="111">
      <formula>$K14="Not Audited"</formula>
    </cfRule>
    <cfRule type="expression" dxfId="111" priority="112">
      <formula>$K14="Not Applicable"</formula>
    </cfRule>
  </conditionalFormatting>
  <conditionalFormatting sqref="A16:A17">
    <cfRule type="expression" dxfId="110" priority="110">
      <formula>COUNTBLANK($F16:$H16)</formula>
    </cfRule>
  </conditionalFormatting>
  <conditionalFormatting sqref="A16:A17">
    <cfRule type="expression" dxfId="109" priority="108">
      <formula>$K16="Not Audited"</formula>
    </cfRule>
    <cfRule type="expression" dxfId="108" priority="109">
      <formula>$K16="Not Applicable"</formula>
    </cfRule>
  </conditionalFormatting>
  <conditionalFormatting sqref="A18">
    <cfRule type="expression" dxfId="107" priority="107">
      <formula>COUNTBLANK($F18:$H18)</formula>
    </cfRule>
  </conditionalFormatting>
  <conditionalFormatting sqref="A18">
    <cfRule type="expression" dxfId="106" priority="105">
      <formula>$K18="Not Audited"</formula>
    </cfRule>
    <cfRule type="expression" dxfId="105" priority="106">
      <formula>$K18="Not Applicable"</formula>
    </cfRule>
  </conditionalFormatting>
  <conditionalFormatting sqref="A19:A21">
    <cfRule type="expression" dxfId="104" priority="104">
      <formula>COUNTBLANK($F19:$H19)</formula>
    </cfRule>
  </conditionalFormatting>
  <conditionalFormatting sqref="A19:A21">
    <cfRule type="expression" dxfId="103" priority="102">
      <formula>$K19="Not Audited"</formula>
    </cfRule>
    <cfRule type="expression" dxfId="102" priority="103">
      <formula>$K19="Not Applicable"</formula>
    </cfRule>
  </conditionalFormatting>
  <conditionalFormatting sqref="A22:A24">
    <cfRule type="expression" dxfId="101" priority="101">
      <formula>COUNTBLANK($F22:$H22)</formula>
    </cfRule>
  </conditionalFormatting>
  <conditionalFormatting sqref="A22:A24">
    <cfRule type="expression" dxfId="100" priority="99">
      <formula>$K22="Not Audited"</formula>
    </cfRule>
    <cfRule type="expression" dxfId="99" priority="100">
      <formula>$K22="Not Applicable"</formula>
    </cfRule>
  </conditionalFormatting>
  <conditionalFormatting sqref="A25:A27">
    <cfRule type="expression" dxfId="98" priority="98">
      <formula>COUNTBLANK($F25:$H25)</formula>
    </cfRule>
  </conditionalFormatting>
  <conditionalFormatting sqref="A25:A27">
    <cfRule type="expression" dxfId="97" priority="96">
      <formula>$K25="Not Audited"</formula>
    </cfRule>
    <cfRule type="expression" dxfId="96" priority="97">
      <formula>$K25="Not Applicable"</formula>
    </cfRule>
  </conditionalFormatting>
  <conditionalFormatting sqref="A3:A5">
    <cfRule type="expression" dxfId="95" priority="95">
      <formula>COUNTBLANK($F3:$H3)</formula>
    </cfRule>
  </conditionalFormatting>
  <conditionalFormatting sqref="A3:A5">
    <cfRule type="expression" dxfId="94" priority="93">
      <formula>$K3="Not Audited"</formula>
    </cfRule>
    <cfRule type="expression" dxfId="93" priority="94">
      <formula>$K3="Not Applicable"</formula>
    </cfRule>
  </conditionalFormatting>
  <conditionalFormatting sqref="H6:H9">
    <cfRule type="expression" dxfId="92" priority="88">
      <formula>COUNTBLANK($H6)</formula>
    </cfRule>
  </conditionalFormatting>
  <conditionalFormatting sqref="I6">
    <cfRule type="expression" dxfId="91" priority="87">
      <formula>COUNTBLANK($I6)</formula>
    </cfRule>
  </conditionalFormatting>
  <conditionalFormatting sqref="I7:I9">
    <cfRule type="expression" dxfId="90" priority="86">
      <formula>COUNTBLANK($I7)</formula>
    </cfRule>
  </conditionalFormatting>
  <conditionalFormatting sqref="F15 F17 F19">
    <cfRule type="expression" dxfId="89" priority="80">
      <formula>COUNTBLANK($F15)</formula>
    </cfRule>
  </conditionalFormatting>
  <conditionalFormatting sqref="H15 H17 H19">
    <cfRule type="expression" dxfId="88" priority="79">
      <formula>COUNTBLANK($H15)</formula>
    </cfRule>
  </conditionalFormatting>
  <conditionalFormatting sqref="F28">
    <cfRule type="expression" dxfId="87" priority="77">
      <formula>COUNTBLANK($F28)</formula>
    </cfRule>
  </conditionalFormatting>
  <conditionalFormatting sqref="G28">
    <cfRule type="expression" dxfId="86" priority="76">
      <formula>COUNTBLANK($G28)</formula>
    </cfRule>
  </conditionalFormatting>
  <conditionalFormatting sqref="H22:H24 H28:H32">
    <cfRule type="expression" dxfId="85" priority="75">
      <formula>COUNTBLANK($H22)</formula>
    </cfRule>
  </conditionalFormatting>
  <conditionalFormatting sqref="I28:I33">
    <cfRule type="expression" dxfId="84" priority="74">
      <formula>COUNTBLANK($I28)</formula>
    </cfRule>
  </conditionalFormatting>
  <conditionalFormatting sqref="F29:F32">
    <cfRule type="expression" dxfId="83" priority="73">
      <formula>COUNTBLANK($F29)</formula>
    </cfRule>
  </conditionalFormatting>
  <conditionalFormatting sqref="G29:G32">
    <cfRule type="expression" dxfId="82" priority="72">
      <formula>COUNTBLANK($G29)</formula>
    </cfRule>
  </conditionalFormatting>
  <conditionalFormatting sqref="H34">
    <cfRule type="expression" dxfId="81" priority="70">
      <formula>COUNTBLANK($H34)</formula>
    </cfRule>
  </conditionalFormatting>
  <conditionalFormatting sqref="F34">
    <cfRule type="expression" dxfId="80" priority="69">
      <formula>COUNTBLANK($F34)</formula>
    </cfRule>
  </conditionalFormatting>
  <conditionalFormatting sqref="G34">
    <cfRule type="expression" dxfId="79" priority="68">
      <formula>COUNTBLANK($G34)</formula>
    </cfRule>
  </conditionalFormatting>
  <conditionalFormatting sqref="I34">
    <cfRule type="expression" dxfId="78" priority="67">
      <formula>COUNTBLANK($I34)</formula>
    </cfRule>
  </conditionalFormatting>
  <conditionalFormatting sqref="H33">
    <cfRule type="expression" dxfId="77" priority="66">
      <formula>COUNTBLANK($H33)</formula>
    </cfRule>
  </conditionalFormatting>
  <conditionalFormatting sqref="F33">
    <cfRule type="expression" dxfId="76" priority="65">
      <formula>COUNTBLANK($F33)</formula>
    </cfRule>
  </conditionalFormatting>
  <conditionalFormatting sqref="G33">
    <cfRule type="expression" dxfId="75" priority="64">
      <formula>COUNTBLANK($G33)</formula>
    </cfRule>
  </conditionalFormatting>
  <conditionalFormatting sqref="I24">
    <cfRule type="expression" dxfId="74" priority="63">
      <formula>COUNTBLANK($I24)</formula>
    </cfRule>
  </conditionalFormatting>
  <conditionalFormatting sqref="H11">
    <cfRule type="expression" dxfId="73" priority="62">
      <formula>COUNTBLANK($H11)</formula>
    </cfRule>
  </conditionalFormatting>
  <conditionalFormatting sqref="H12">
    <cfRule type="expression" dxfId="72" priority="61">
      <formula>COUNTBLANK($H12)</formula>
    </cfRule>
  </conditionalFormatting>
  <conditionalFormatting sqref="H16">
    <cfRule type="expression" dxfId="71" priority="60">
      <formula>COUNTBLANK($G16)</formula>
    </cfRule>
  </conditionalFormatting>
  <conditionalFormatting sqref="F16">
    <cfRule type="expression" dxfId="70" priority="59">
      <formula>COUNTBLANK($G16)</formula>
    </cfRule>
  </conditionalFormatting>
  <conditionalFormatting sqref="G18">
    <cfRule type="expression" dxfId="69" priority="58">
      <formula>COUNTBLANK($G18)</formula>
    </cfRule>
  </conditionalFormatting>
  <conditionalFormatting sqref="H18">
    <cfRule type="expression" dxfId="68" priority="57">
      <formula>COUNTBLANK($G18)</formula>
    </cfRule>
  </conditionalFormatting>
  <conditionalFormatting sqref="F18">
    <cfRule type="expression" dxfId="67" priority="56">
      <formula>COUNTBLANK($G18)</formula>
    </cfRule>
  </conditionalFormatting>
  <conditionalFormatting sqref="I16">
    <cfRule type="expression" dxfId="66" priority="55">
      <formula>COUNTBLANK($G16)</formula>
    </cfRule>
  </conditionalFormatting>
  <conditionalFormatting sqref="I18">
    <cfRule type="expression" dxfId="65" priority="54">
      <formula>COUNTBLANK($G18)</formula>
    </cfRule>
  </conditionalFormatting>
  <conditionalFormatting sqref="F10">
    <cfRule type="expression" dxfId="64" priority="52">
      <formula>COUNTBLANK($G10)</formula>
    </cfRule>
  </conditionalFormatting>
  <conditionalFormatting sqref="F3:F5 H3:I5">
    <cfRule type="expression" dxfId="63" priority="51">
      <formula>COUNTBLANK($G3)</formula>
    </cfRule>
  </conditionalFormatting>
  <conditionalFormatting sqref="F14 H14:I14">
    <cfRule type="expression" dxfId="62" priority="50">
      <formula>COUNTBLANK($G14)</formula>
    </cfRule>
  </conditionalFormatting>
  <conditionalFormatting sqref="F20:F21 H20:I21">
    <cfRule type="expression" dxfId="61" priority="49">
      <formula>COUNTBLANK($G20)</formula>
    </cfRule>
  </conditionalFormatting>
  <conditionalFormatting sqref="J20">
    <cfRule type="expression" dxfId="60" priority="48">
      <formula>COUNTBLANK($G20)</formula>
    </cfRule>
  </conditionalFormatting>
  <conditionalFormatting sqref="F25:I27">
    <cfRule type="expression" dxfId="59" priority="47">
      <formula>COUNTBLANK($G25)</formula>
    </cfRule>
  </conditionalFormatting>
  <conditionalFormatting sqref="H13">
    <cfRule type="expression" dxfId="58" priority="44">
      <formula>COUNTBLANK($H13)</formula>
    </cfRule>
  </conditionalFormatting>
  <conditionalFormatting sqref="I22:I23">
    <cfRule type="expression" dxfId="57" priority="43">
      <formula>COUNTBLANK($I22)</formula>
    </cfRule>
  </conditionalFormatting>
  <conditionalFormatting sqref="I15">
    <cfRule type="expression" dxfId="56" priority="42">
      <formula>COUNTBLANK($I15)</formula>
    </cfRule>
  </conditionalFormatting>
  <conditionalFormatting sqref="I19 I17">
    <cfRule type="expression" dxfId="55" priority="41">
      <formula>COUNTBLANK($I17)</formula>
    </cfRule>
  </conditionalFormatting>
  <conditionalFormatting sqref="F9">
    <cfRule type="expression" dxfId="54" priority="40">
      <formula>COUNTBLANK($H9)</formula>
    </cfRule>
  </conditionalFormatting>
  <conditionalFormatting sqref="F24">
    <cfRule type="expression" dxfId="53" priority="39">
      <formula>COUNTBLANK($F24)</formula>
    </cfRule>
  </conditionalFormatting>
  <conditionalFormatting sqref="G5">
    <cfRule type="expression" dxfId="52" priority="38">
      <formula>COUNTBLANK($G5)</formula>
    </cfRule>
  </conditionalFormatting>
  <conditionalFormatting sqref="G3">
    <cfRule type="expression" dxfId="51" priority="37">
      <formula>COUNTBLANK($G3)</formula>
    </cfRule>
  </conditionalFormatting>
  <conditionalFormatting sqref="G4">
    <cfRule type="expression" dxfId="50" priority="36">
      <formula>COUNTBLANK($G4)</formula>
    </cfRule>
  </conditionalFormatting>
  <conditionalFormatting sqref="G6">
    <cfRule type="expression" dxfId="49" priority="35">
      <formula>COUNTBLANK($G6)</formula>
    </cfRule>
  </conditionalFormatting>
  <conditionalFormatting sqref="G7:G8">
    <cfRule type="expression" dxfId="48" priority="33">
      <formula>COUNTBLANK($G7)</formula>
    </cfRule>
  </conditionalFormatting>
  <conditionalFormatting sqref="G9:G11">
    <cfRule type="expression" dxfId="47" priority="32">
      <formula>COUNTBLANK($G9)</formula>
    </cfRule>
  </conditionalFormatting>
  <conditionalFormatting sqref="H10">
    <cfRule type="expression" dxfId="46" priority="31">
      <formula>COUNTBLANK($G10)</formula>
    </cfRule>
  </conditionalFormatting>
  <conditionalFormatting sqref="I10:J10">
    <cfRule type="expression" dxfId="45" priority="30">
      <formula>COUNTBLANK($G10)</formula>
    </cfRule>
  </conditionalFormatting>
  <conditionalFormatting sqref="F11">
    <cfRule type="expression" dxfId="44" priority="29">
      <formula>COUNTBLANK($H11)</formula>
    </cfRule>
  </conditionalFormatting>
  <conditionalFormatting sqref="F12">
    <cfRule type="expression" dxfId="43" priority="28">
      <formula>COUNTBLANK($H12)</formula>
    </cfRule>
  </conditionalFormatting>
  <conditionalFormatting sqref="F13">
    <cfRule type="expression" dxfId="42" priority="27">
      <formula>COUNTBLANK($H13)</formula>
    </cfRule>
  </conditionalFormatting>
  <conditionalFormatting sqref="G14">
    <cfRule type="expression" dxfId="41" priority="26">
      <formula>COUNTBLANK($F14)</formula>
    </cfRule>
  </conditionalFormatting>
  <conditionalFormatting sqref="G15">
    <cfRule type="expression" dxfId="40" priority="25">
      <formula>COUNTBLANK($G15)</formula>
    </cfRule>
  </conditionalFormatting>
  <conditionalFormatting sqref="G16">
    <cfRule type="expression" dxfId="39" priority="24">
      <formula>COUNTBLANK($F16)</formula>
    </cfRule>
  </conditionalFormatting>
  <conditionalFormatting sqref="G12:G13">
    <cfRule type="expression" dxfId="38" priority="23">
      <formula>COUNTBLANK($G12)</formula>
    </cfRule>
  </conditionalFormatting>
  <conditionalFormatting sqref="G17">
    <cfRule type="expression" dxfId="37" priority="22">
      <formula>COUNTBLANK($G17)</formula>
    </cfRule>
  </conditionalFormatting>
  <conditionalFormatting sqref="G20:G21">
    <cfRule type="expression" dxfId="36" priority="21">
      <formula>COUNTBLANK($F20)</formula>
    </cfRule>
  </conditionalFormatting>
  <conditionalFormatting sqref="G19">
    <cfRule type="expression" dxfId="35" priority="20">
      <formula>COUNTBLANK($G19)</formula>
    </cfRule>
  </conditionalFormatting>
  <conditionalFormatting sqref="G22:G24">
    <cfRule type="expression" dxfId="34" priority="19">
      <formula>COUNTBLANK($G22)</formula>
    </cfRule>
  </conditionalFormatting>
  <conditionalFormatting sqref="F22:F23">
    <cfRule type="expression" dxfId="33" priority="18">
      <formula>COUNTBLANK($G22)</formula>
    </cfRule>
  </conditionalFormatting>
  <conditionalFormatting sqref="F7:F8">
    <cfRule type="expression" dxfId="32" priority="17">
      <formula>COUNTBLANK($H7)</formula>
    </cfRule>
  </conditionalFormatting>
  <conditionalFormatting sqref="F6">
    <cfRule type="expression" dxfId="31" priority="16">
      <formula>COUNTBLANK($G6)</formula>
    </cfRule>
  </conditionalFormatting>
  <conditionalFormatting sqref="I11:I12">
    <cfRule type="expression" dxfId="30" priority="15">
      <formula>COUNTBLANK($I11)</formula>
    </cfRule>
  </conditionalFormatting>
  <conditionalFormatting sqref="I13">
    <cfRule type="expression" dxfId="29" priority="14">
      <formula>COUNTBLANK($I13)</formula>
    </cfRule>
  </conditionalFormatting>
  <conditionalFormatting sqref="K29">
    <cfRule type="expression" dxfId="28" priority="1">
      <formula>COUNTBLANK($K29)</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34" operator="equal" id="{215AD2BE-1F45-4197-92C0-3E41EE984C39}">
            <xm:f>Sheet1!$A$5</xm:f>
            <x14:dxf>
              <fill>
                <patternFill>
                  <bgColor rgb="FFFF0000"/>
                </patternFill>
              </fill>
            </x14:dxf>
          </x14:cfRule>
          <x14:cfRule type="cellIs" priority="135" operator="equal" id="{D3713090-5C1D-4957-BA0E-7FB5619A8174}">
            <xm:f>Sheet1!$A$4</xm:f>
            <x14:dxf>
              <fill>
                <patternFill>
                  <bgColor rgb="FFFFFF00"/>
                </patternFill>
              </fill>
            </x14:dxf>
          </x14:cfRule>
          <x14:cfRule type="cellIs" priority="136" operator="equal" id="{C1B13A27-17C0-4518-9678-922973E44902}">
            <xm:f>Sheet1!$A$3</xm:f>
            <x14:dxf>
              <fill>
                <patternFill>
                  <bgColor theme="9" tint="0.59996337778862885"/>
                </patternFill>
              </fill>
            </x14:dxf>
          </x14:cfRule>
          <x14:cfRule type="cellIs" priority="137" operator="equal" id="{DA5B28B2-E384-4327-A417-965F33210FC4}">
            <xm:f>Sheet1!$A$2</xm:f>
            <x14:dxf>
              <fill>
                <patternFill>
                  <bgColor theme="9" tint="0.39994506668294322"/>
                </patternFill>
              </fill>
            </x14:dxf>
          </x14:cfRule>
          <xm:sqref>L39</xm:sqref>
        </x14:conditionalFormatting>
        <x14:conditionalFormatting xmlns:xm="http://schemas.microsoft.com/office/excel/2006/main">
          <x14:cfRule type="cellIs" priority="138" operator="equal" id="{193741EE-D37A-4F5B-AC5D-65E3C530FAE8}">
            <xm:f>Sheet1!$A$7</xm:f>
            <x14:dxf>
              <fill>
                <patternFill>
                  <bgColor theme="5"/>
                </patternFill>
              </fill>
            </x14:dxf>
          </x14:cfRule>
          <x14:cfRule type="cellIs" priority="139" operator="equal" id="{1E044632-BA8A-4F8F-BF43-05B72FC92BA5}">
            <xm:f>Sheet1!$A$6</xm:f>
            <x14:dxf>
              <fill>
                <patternFill>
                  <bgColor rgb="FF00B0F0"/>
                </patternFill>
              </fill>
            </x14:dxf>
          </x14:cfRule>
          <x14:cfRule type="cellIs" priority="140" operator="equal" id="{983128E0-462B-43BE-9032-6D8FBBBCCB1B}">
            <xm:f>Sheet1!$A$5</xm:f>
            <x14:dxf>
              <fill>
                <patternFill>
                  <bgColor rgb="FFFF0000"/>
                </patternFill>
              </fill>
            </x14:dxf>
          </x14:cfRule>
          <x14:cfRule type="cellIs" priority="141" operator="equal" id="{489D858D-256C-4180-B450-39FF58FA2314}">
            <xm:f>Sheet1!$A$4</xm:f>
            <x14:dxf>
              <fill>
                <patternFill>
                  <bgColor rgb="FFFFFF00"/>
                </patternFill>
              </fill>
            </x14:dxf>
          </x14:cfRule>
          <x14:cfRule type="cellIs" priority="142" operator="equal" id="{5C17596C-6E9A-4498-BB51-7BCC00CB6F95}">
            <xm:f>Sheet1!$A$3</xm:f>
            <x14:dxf>
              <fill>
                <patternFill>
                  <bgColor theme="9" tint="0.59996337778862885"/>
                </patternFill>
              </fill>
            </x14:dxf>
          </x14:cfRule>
          <x14:cfRule type="cellIs" priority="143" operator="equal" id="{11ACC464-92E8-47F7-B616-AAB70E8B5DD6}">
            <xm:f>Sheet1!$A$2</xm:f>
            <x14:dxf>
              <fill>
                <patternFill>
                  <bgColor theme="9" tint="0.39994506668294322"/>
                </patternFill>
              </fill>
            </x14:dxf>
          </x14:cfRule>
          <xm:sqref>K4:K28 K30:K39</xm:sqref>
        </x14:conditionalFormatting>
        <x14:conditionalFormatting xmlns:xm="http://schemas.microsoft.com/office/excel/2006/main">
          <x14:cfRule type="cellIs" priority="124" operator="equal" id="{A783B94E-E384-4EC9-8659-50BF4496E8ED}">
            <xm:f>Sheet1!$A$7</xm:f>
            <x14:dxf>
              <fill>
                <patternFill>
                  <bgColor theme="5"/>
                </patternFill>
              </fill>
            </x14:dxf>
          </x14:cfRule>
          <x14:cfRule type="cellIs" priority="125" operator="equal" id="{B49598CF-DBFD-4F1D-96F9-BDE085FBC684}">
            <xm:f>Sheet1!$A$6</xm:f>
            <x14:dxf>
              <fill>
                <patternFill>
                  <bgColor rgb="FF00B0F0"/>
                </patternFill>
              </fill>
            </x14:dxf>
          </x14:cfRule>
          <x14:cfRule type="cellIs" priority="126" operator="equal" id="{18EA5B8F-D789-4E97-9F6C-F33BA42DEB61}">
            <xm:f>Sheet1!$A$5</xm:f>
            <x14:dxf>
              <fill>
                <patternFill>
                  <bgColor rgb="FFFF0000"/>
                </patternFill>
              </fill>
            </x14:dxf>
          </x14:cfRule>
          <x14:cfRule type="cellIs" priority="127" operator="equal" id="{899FF127-035F-450E-BDC5-27A499848CF5}">
            <xm:f>Sheet1!$A$4</xm:f>
            <x14:dxf>
              <fill>
                <patternFill>
                  <bgColor rgb="FFFFFF00"/>
                </patternFill>
              </fill>
            </x14:dxf>
          </x14:cfRule>
          <x14:cfRule type="cellIs" priority="128" operator="equal" id="{6B116C71-DCCF-4005-91E9-D7CA6022E861}">
            <xm:f>Sheet1!$A$3</xm:f>
            <x14:dxf>
              <fill>
                <patternFill>
                  <bgColor theme="9" tint="0.59996337778862885"/>
                </patternFill>
              </fill>
            </x14:dxf>
          </x14:cfRule>
          <x14:cfRule type="cellIs" priority="129" operator="equal" id="{603CAB36-A29E-4D4F-8894-44218A7E9039}">
            <xm:f>Sheet1!$A$2</xm:f>
            <x14:dxf>
              <fill>
                <patternFill>
                  <bgColor theme="9" tint="0.39994506668294322"/>
                </patternFill>
              </fill>
            </x14:dxf>
          </x14:cfRule>
          <xm:sqref>K3:K28 K30:K34</xm:sqref>
        </x14:conditionalFormatting>
        <x14:conditionalFormatting xmlns:xm="http://schemas.microsoft.com/office/excel/2006/main">
          <x14:cfRule type="cellIs" priority="8" operator="equal" id="{184FA227-CE50-4111-9BCF-7237114E74A5}">
            <xm:f>Sheet1!$A$7</xm:f>
            <x14:dxf>
              <fill>
                <patternFill>
                  <bgColor theme="5"/>
                </patternFill>
              </fill>
            </x14:dxf>
          </x14:cfRule>
          <x14:cfRule type="cellIs" priority="9" operator="equal" id="{B90089FC-8311-4566-AC8E-5B66EABBCD11}">
            <xm:f>Sheet1!$A$6</xm:f>
            <x14:dxf>
              <fill>
                <patternFill>
                  <bgColor rgb="FF00B0F0"/>
                </patternFill>
              </fill>
            </x14:dxf>
          </x14:cfRule>
          <x14:cfRule type="cellIs" priority="10" operator="equal" id="{9C2681D3-E517-4ADD-A6F1-DE5AC42E2CA7}">
            <xm:f>Sheet1!$A$5</xm:f>
            <x14:dxf>
              <fill>
                <patternFill>
                  <bgColor rgb="FFFF0000"/>
                </patternFill>
              </fill>
            </x14:dxf>
          </x14:cfRule>
          <x14:cfRule type="cellIs" priority="11" operator="equal" id="{D04DAE0F-CC95-4DB9-9B2A-824D7DE44AE8}">
            <xm:f>Sheet1!$A$4</xm:f>
            <x14:dxf>
              <fill>
                <patternFill>
                  <bgColor rgb="FFFFFF00"/>
                </patternFill>
              </fill>
            </x14:dxf>
          </x14:cfRule>
          <x14:cfRule type="cellIs" priority="12" operator="equal" id="{440962B5-98E6-4A76-9450-C5E8ABDF60D1}">
            <xm:f>Sheet1!$A$3</xm:f>
            <x14:dxf>
              <fill>
                <patternFill>
                  <bgColor theme="9" tint="0.59996337778862885"/>
                </patternFill>
              </fill>
            </x14:dxf>
          </x14:cfRule>
          <x14:cfRule type="cellIs" priority="13" operator="equal" id="{C66D5253-CE20-4A30-A5C2-FE62889DED8D}">
            <xm:f>Sheet1!$A$2</xm:f>
            <x14:dxf>
              <fill>
                <patternFill>
                  <bgColor theme="9" tint="0.39994506668294322"/>
                </patternFill>
              </fill>
            </x14:dxf>
          </x14:cfRule>
          <xm:sqref>K29</xm:sqref>
        </x14:conditionalFormatting>
        <x14:conditionalFormatting xmlns:xm="http://schemas.microsoft.com/office/excel/2006/main">
          <x14:cfRule type="cellIs" priority="2" operator="equal" id="{9F6C9DE9-82FE-49EA-9294-C77305E15492}">
            <xm:f>Sheet1!$A$7</xm:f>
            <x14:dxf>
              <fill>
                <patternFill>
                  <bgColor theme="5"/>
                </patternFill>
              </fill>
            </x14:dxf>
          </x14:cfRule>
          <x14:cfRule type="cellIs" priority="3" operator="equal" id="{57066F8B-4949-4FE9-98AB-5E910DB1495E}">
            <xm:f>Sheet1!$A$6</xm:f>
            <x14:dxf>
              <fill>
                <patternFill>
                  <bgColor rgb="FF00B0F0"/>
                </patternFill>
              </fill>
            </x14:dxf>
          </x14:cfRule>
          <x14:cfRule type="cellIs" priority="4" operator="equal" id="{96454885-536E-4A83-B521-21213CEE6E00}">
            <xm:f>Sheet1!$A$5</xm:f>
            <x14:dxf>
              <fill>
                <patternFill>
                  <bgColor rgb="FFFF0000"/>
                </patternFill>
              </fill>
            </x14:dxf>
          </x14:cfRule>
          <x14:cfRule type="cellIs" priority="5" operator="equal" id="{006F294A-B366-4B3E-89DA-F8B0155B8311}">
            <xm:f>Sheet1!$A$4</xm:f>
            <x14:dxf>
              <fill>
                <patternFill>
                  <bgColor rgb="FFFFFF00"/>
                </patternFill>
              </fill>
            </x14:dxf>
          </x14:cfRule>
          <x14:cfRule type="cellIs" priority="6" operator="equal" id="{AFA0489D-9A41-48C8-8487-E911B80AFC98}">
            <xm:f>Sheet1!$A$3</xm:f>
            <x14:dxf>
              <fill>
                <patternFill>
                  <bgColor theme="9" tint="0.59996337778862885"/>
                </patternFill>
              </fill>
            </x14:dxf>
          </x14:cfRule>
          <x14:cfRule type="cellIs" priority="7" operator="equal" id="{F8517F35-A2BB-4886-B2F8-40AC323F600D}">
            <xm:f>Sheet1!$A$2</xm:f>
            <x14:dxf>
              <fill>
                <patternFill>
                  <bgColor theme="9" tint="0.39994506668294322"/>
                </patternFill>
              </fill>
            </x14:dxf>
          </x14:cfRule>
          <xm:sqref>K29</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CF13684B-AE1F-462B-BE18-5FBC21F1517B}">
          <x14:formula1>
            <xm:f>Sheet1!$D$2:$D$281</xm:f>
          </x14:formula1>
          <xm:sqref>D3:D34</xm:sqref>
        </x14:dataValidation>
        <x14:dataValidation type="list" allowBlank="1" showInputMessage="1" showErrorMessage="1" xr:uid="{1241EC43-89FC-4CB7-B600-35CB072465AC}">
          <x14:formula1>
            <xm:f>Sheet1!$E$2:$E$48</xm:f>
          </x14:formula1>
          <xm:sqref>E35:E39</xm:sqref>
        </x14:dataValidation>
        <x14:dataValidation type="list" allowBlank="1" showInputMessage="1" showErrorMessage="1" xr:uid="{5F160A19-70F6-411F-8618-3035F00FBECA}">
          <x14:formula1>
            <xm:f>Sheet1!$B$2:$B$6</xm:f>
          </x14:formula1>
          <xm:sqref>B3:B34</xm:sqref>
        </x14:dataValidation>
        <x14:dataValidation type="list" allowBlank="1" showInputMessage="1" showErrorMessage="1" xr:uid="{0F6FC944-C769-49D9-8A32-A5F822C84083}">
          <x14:formula1>
            <xm:f>_xlfn.IFS(B3=Sheet1!$B$2,Sheet1!$C$2:$C$114,B3=Sheet1!$B$3,Sheet1!$C$115:$C$239, B3=Sheet1!$B$4,Sheet1!$C$240:$C$297,B3=Sheet1!$B$5,Sheet1!$C$298:$C$347,B3=Sheet1!$B$6,Sheet1!$C$2:$C$347)</xm:f>
          </x14:formula1>
          <xm:sqref>C3:C34</xm:sqref>
        </x14:dataValidation>
        <x14:dataValidation type="list" allowBlank="1" showInputMessage="1" showErrorMessage="1" xr:uid="{05310FCA-78E5-4BCF-820C-E28FCE7C6E55}">
          <x14:formula1>
            <xm:f>Sheet1!$A$2:$A$5</xm:f>
          </x14:formula1>
          <xm:sqref>L39</xm:sqref>
        </x14:dataValidation>
        <x14:dataValidation type="list" allowBlank="1" showInputMessage="1" showErrorMessage="1" xr:uid="{8F2EE2AF-1EC0-4F5A-8D6D-7737CC1B2641}">
          <x14:formula1>
            <xm:f>Sheet1!$A$2:$A$7</xm:f>
          </x14:formula1>
          <xm:sqref>K3:K39</xm:sqref>
        </x14:dataValidation>
        <x14:dataValidation type="list" allowBlank="1" showInputMessage="1" showErrorMessage="1" xr:uid="{CF884577-88C7-4D8F-8E64-E22CC35E81DF}">
          <x14:formula1>
            <xm:f>Sheet1!$E$2:$E$49</xm:f>
          </x14:formula1>
          <xm:sqref>E3:E34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839</v>
      </c>
    </row>
    <row r="6" spans="1:1" ht="60" x14ac:dyDescent="0.25">
      <c r="A6" s="3" t="s">
        <v>825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52" sqref="E52"/>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3" t="s">
        <v>147</v>
      </c>
      <c r="B1" s="23" t="s">
        <v>826</v>
      </c>
      <c r="C1" s="23" t="s">
        <v>494</v>
      </c>
      <c r="D1" s="23" t="s">
        <v>22</v>
      </c>
      <c r="E1" s="23" t="s">
        <v>775</v>
      </c>
      <c r="F1" s="23"/>
    </row>
    <row r="2" spans="1:6" x14ac:dyDescent="0.25">
      <c r="A2" s="27" t="s">
        <v>148</v>
      </c>
      <c r="B2" t="s">
        <v>827</v>
      </c>
      <c r="C2" s="36" t="s">
        <v>175</v>
      </c>
      <c r="D2" t="s">
        <v>495</v>
      </c>
      <c r="E2" t="s">
        <v>776</v>
      </c>
    </row>
    <row r="3" spans="1:6" x14ac:dyDescent="0.25">
      <c r="A3" s="24" t="s">
        <v>149</v>
      </c>
      <c r="B3" t="s">
        <v>828</v>
      </c>
      <c r="C3" s="36" t="s">
        <v>176</v>
      </c>
      <c r="D3" t="s">
        <v>496</v>
      </c>
      <c r="E3" t="s">
        <v>777</v>
      </c>
    </row>
    <row r="4" spans="1:6" x14ac:dyDescent="0.25">
      <c r="A4" s="25" t="s">
        <v>150</v>
      </c>
      <c r="B4" t="s">
        <v>829</v>
      </c>
      <c r="C4" s="36" t="s">
        <v>177</v>
      </c>
      <c r="D4" t="s">
        <v>497</v>
      </c>
      <c r="E4" t="s">
        <v>778</v>
      </c>
    </row>
    <row r="5" spans="1:6" x14ac:dyDescent="0.25">
      <c r="A5" s="26" t="s">
        <v>151</v>
      </c>
      <c r="B5" t="s">
        <v>830</v>
      </c>
      <c r="C5" s="36" t="s">
        <v>178</v>
      </c>
      <c r="D5" t="s">
        <v>498</v>
      </c>
      <c r="E5" t="s">
        <v>779</v>
      </c>
    </row>
    <row r="6" spans="1:6" x14ac:dyDescent="0.25">
      <c r="A6" s="49" t="s">
        <v>841</v>
      </c>
      <c r="B6" t="s">
        <v>831</v>
      </c>
      <c r="C6" s="36" t="s">
        <v>179</v>
      </c>
      <c r="D6" t="s">
        <v>499</v>
      </c>
      <c r="E6" t="s">
        <v>780</v>
      </c>
    </row>
    <row r="7" spans="1:6" x14ac:dyDescent="0.25">
      <c r="A7" s="48" t="s">
        <v>840</v>
      </c>
      <c r="C7" s="36" t="s">
        <v>180</v>
      </c>
      <c r="D7" t="s">
        <v>500</v>
      </c>
      <c r="E7" t="s">
        <v>781</v>
      </c>
    </row>
    <row r="8" spans="1:6" x14ac:dyDescent="0.25">
      <c r="C8" s="36" t="s">
        <v>181</v>
      </c>
      <c r="D8" t="s">
        <v>501</v>
      </c>
      <c r="E8" t="s">
        <v>782</v>
      </c>
    </row>
    <row r="9" spans="1:6" x14ac:dyDescent="0.25">
      <c r="C9" s="36" t="s">
        <v>182</v>
      </c>
      <c r="D9" t="s">
        <v>502</v>
      </c>
      <c r="E9" t="s">
        <v>783</v>
      </c>
    </row>
    <row r="10" spans="1:6" x14ac:dyDescent="0.25">
      <c r="C10" s="36" t="s">
        <v>183</v>
      </c>
      <c r="D10" t="s">
        <v>503</v>
      </c>
      <c r="E10" t="s">
        <v>784</v>
      </c>
    </row>
    <row r="11" spans="1:6" x14ac:dyDescent="0.25">
      <c r="C11" s="36" t="s">
        <v>184</v>
      </c>
      <c r="D11" t="s">
        <v>504</v>
      </c>
      <c r="E11" t="s">
        <v>785</v>
      </c>
    </row>
    <row r="12" spans="1:6" x14ac:dyDescent="0.25">
      <c r="C12" s="36" t="s">
        <v>185</v>
      </c>
      <c r="D12" t="s">
        <v>505</v>
      </c>
      <c r="E12" t="s">
        <v>786</v>
      </c>
    </row>
    <row r="13" spans="1:6" x14ac:dyDescent="0.25">
      <c r="C13" s="36" t="s">
        <v>186</v>
      </c>
      <c r="D13" t="s">
        <v>506</v>
      </c>
      <c r="E13" t="s">
        <v>787</v>
      </c>
    </row>
    <row r="14" spans="1:6" x14ac:dyDescent="0.25">
      <c r="C14" s="36" t="s">
        <v>187</v>
      </c>
      <c r="D14" t="s">
        <v>507</v>
      </c>
      <c r="E14" t="s">
        <v>788</v>
      </c>
    </row>
    <row r="15" spans="1:6" x14ac:dyDescent="0.25">
      <c r="C15" s="36" t="s">
        <v>188</v>
      </c>
      <c r="D15" t="s">
        <v>508</v>
      </c>
      <c r="E15" t="s">
        <v>789</v>
      </c>
    </row>
    <row r="16" spans="1:6" x14ac:dyDescent="0.25">
      <c r="C16" s="36" t="s">
        <v>313</v>
      </c>
      <c r="D16" t="s">
        <v>509</v>
      </c>
      <c r="E16" t="s">
        <v>790</v>
      </c>
    </row>
    <row r="17" spans="3:5" x14ac:dyDescent="0.25">
      <c r="C17" s="36" t="s">
        <v>375</v>
      </c>
      <c r="D17" t="s">
        <v>510</v>
      </c>
      <c r="E17" t="s">
        <v>791</v>
      </c>
    </row>
    <row r="18" spans="3:5" x14ac:dyDescent="0.25">
      <c r="C18" s="36" t="s">
        <v>376</v>
      </c>
      <c r="D18" t="s">
        <v>511</v>
      </c>
      <c r="E18" t="s">
        <v>792</v>
      </c>
    </row>
    <row r="19" spans="3:5" x14ac:dyDescent="0.25">
      <c r="C19" s="36" t="s">
        <v>370</v>
      </c>
      <c r="D19" t="s">
        <v>512</v>
      </c>
      <c r="E19" t="s">
        <v>793</v>
      </c>
    </row>
    <row r="20" spans="3:5" x14ac:dyDescent="0.25">
      <c r="C20" s="36" t="s">
        <v>396</v>
      </c>
      <c r="D20" t="s">
        <v>513</v>
      </c>
      <c r="E20" t="s">
        <v>794</v>
      </c>
    </row>
    <row r="21" spans="3:5" x14ac:dyDescent="0.25">
      <c r="C21" s="36" t="s">
        <v>397</v>
      </c>
      <c r="D21" t="s">
        <v>514</v>
      </c>
      <c r="E21" t="s">
        <v>795</v>
      </c>
    </row>
    <row r="22" spans="3:5" x14ac:dyDescent="0.25">
      <c r="C22" s="36" t="s">
        <v>398</v>
      </c>
      <c r="D22" t="s">
        <v>515</v>
      </c>
      <c r="E22" t="s">
        <v>796</v>
      </c>
    </row>
    <row r="23" spans="3:5" x14ac:dyDescent="0.25">
      <c r="C23" s="36" t="s">
        <v>399</v>
      </c>
      <c r="D23" t="s">
        <v>516</v>
      </c>
      <c r="E23" t="s">
        <v>797</v>
      </c>
    </row>
    <row r="24" spans="3:5" x14ac:dyDescent="0.25">
      <c r="C24" s="36" t="s">
        <v>400</v>
      </c>
      <c r="D24" t="s">
        <v>517</v>
      </c>
      <c r="E24" t="s">
        <v>798</v>
      </c>
    </row>
    <row r="25" spans="3:5" x14ac:dyDescent="0.25">
      <c r="C25" s="36" t="s">
        <v>401</v>
      </c>
      <c r="D25" t="s">
        <v>518</v>
      </c>
      <c r="E25" t="s">
        <v>799</v>
      </c>
    </row>
    <row r="26" spans="3:5" x14ac:dyDescent="0.25">
      <c r="C26" s="36" t="s">
        <v>402</v>
      </c>
      <c r="D26" t="s">
        <v>519</v>
      </c>
      <c r="E26" t="s">
        <v>797</v>
      </c>
    </row>
    <row r="27" spans="3:5" x14ac:dyDescent="0.25">
      <c r="C27" s="36" t="s">
        <v>403</v>
      </c>
      <c r="D27" t="s">
        <v>520</v>
      </c>
      <c r="E27" t="s">
        <v>800</v>
      </c>
    </row>
    <row r="28" spans="3:5" x14ac:dyDescent="0.25">
      <c r="C28" s="36" t="s">
        <v>404</v>
      </c>
      <c r="D28" t="s">
        <v>521</v>
      </c>
      <c r="E28" t="s">
        <v>801</v>
      </c>
    </row>
    <row r="29" spans="3:5" x14ac:dyDescent="0.25">
      <c r="C29" s="36" t="s">
        <v>405</v>
      </c>
      <c r="D29" t="s">
        <v>522</v>
      </c>
      <c r="E29" t="s">
        <v>802</v>
      </c>
    </row>
    <row r="30" spans="3:5" x14ac:dyDescent="0.25">
      <c r="C30" s="36" t="s">
        <v>406</v>
      </c>
      <c r="D30" t="s">
        <v>523</v>
      </c>
      <c r="E30" t="s">
        <v>803</v>
      </c>
    </row>
    <row r="31" spans="3:5" x14ac:dyDescent="0.25">
      <c r="C31" s="36" t="s">
        <v>407</v>
      </c>
      <c r="D31" t="s">
        <v>524</v>
      </c>
      <c r="E31" s="30" t="s">
        <v>804</v>
      </c>
    </row>
    <row r="32" spans="3:5" x14ac:dyDescent="0.25">
      <c r="C32" s="36" t="s">
        <v>408</v>
      </c>
      <c r="D32" t="s">
        <v>525</v>
      </c>
      <c r="E32" s="30" t="s">
        <v>805</v>
      </c>
    </row>
    <row r="33" spans="3:5" x14ac:dyDescent="0.25">
      <c r="C33" s="36" t="s">
        <v>409</v>
      </c>
      <c r="D33" t="s">
        <v>526</v>
      </c>
      <c r="E33" s="30" t="s">
        <v>806</v>
      </c>
    </row>
    <row r="34" spans="3:5" x14ac:dyDescent="0.25">
      <c r="C34" s="36" t="s">
        <v>410</v>
      </c>
      <c r="D34" t="s">
        <v>527</v>
      </c>
      <c r="E34" s="31" t="s">
        <v>807</v>
      </c>
    </row>
    <row r="35" spans="3:5" x14ac:dyDescent="0.25">
      <c r="C35" s="36" t="s">
        <v>411</v>
      </c>
      <c r="D35" t="s">
        <v>528</v>
      </c>
      <c r="E35" s="32" t="s">
        <v>808</v>
      </c>
    </row>
    <row r="36" spans="3:5" x14ac:dyDescent="0.25">
      <c r="C36" s="36" t="s">
        <v>412</v>
      </c>
      <c r="D36" t="s">
        <v>529</v>
      </c>
      <c r="E36" s="31" t="s">
        <v>809</v>
      </c>
    </row>
    <row r="37" spans="3:5" x14ac:dyDescent="0.25">
      <c r="C37" s="36" t="s">
        <v>413</v>
      </c>
      <c r="D37" t="s">
        <v>530</v>
      </c>
      <c r="E37" s="31" t="s">
        <v>810</v>
      </c>
    </row>
    <row r="38" spans="3:5" x14ac:dyDescent="0.25">
      <c r="C38" s="36" t="s">
        <v>414</v>
      </c>
      <c r="D38" t="s">
        <v>531</v>
      </c>
      <c r="E38" s="31" t="s">
        <v>811</v>
      </c>
    </row>
    <row r="39" spans="3:5" x14ac:dyDescent="0.25">
      <c r="C39" s="36" t="s">
        <v>415</v>
      </c>
      <c r="D39" t="s">
        <v>532</v>
      </c>
      <c r="E39" s="33" t="s">
        <v>812</v>
      </c>
    </row>
    <row r="40" spans="3:5" x14ac:dyDescent="0.25">
      <c r="C40" s="36" t="s">
        <v>416</v>
      </c>
      <c r="D40" t="s">
        <v>533</v>
      </c>
      <c r="E40" s="33" t="s">
        <v>813</v>
      </c>
    </row>
    <row r="41" spans="3:5" x14ac:dyDescent="0.25">
      <c r="C41" s="36" t="s">
        <v>417</v>
      </c>
      <c r="D41" t="s">
        <v>534</v>
      </c>
      <c r="E41" s="33" t="s">
        <v>816</v>
      </c>
    </row>
    <row r="42" spans="3:5" x14ac:dyDescent="0.25">
      <c r="C42" s="36" t="s">
        <v>418</v>
      </c>
      <c r="D42" t="s">
        <v>535</v>
      </c>
      <c r="E42" s="34" t="s">
        <v>814</v>
      </c>
    </row>
    <row r="43" spans="3:5" x14ac:dyDescent="0.25">
      <c r="C43" s="36" t="s">
        <v>419</v>
      </c>
      <c r="D43" t="s">
        <v>536</v>
      </c>
      <c r="E43" s="35" t="s">
        <v>815</v>
      </c>
    </row>
    <row r="44" spans="3:5" x14ac:dyDescent="0.25">
      <c r="C44" s="36" t="s">
        <v>420</v>
      </c>
      <c r="D44" t="s">
        <v>537</v>
      </c>
      <c r="E44" t="s">
        <v>817</v>
      </c>
    </row>
    <row r="45" spans="3:5" x14ac:dyDescent="0.25">
      <c r="C45" s="36" t="s">
        <v>421</v>
      </c>
      <c r="D45" t="s">
        <v>538</v>
      </c>
      <c r="E45" t="s">
        <v>818</v>
      </c>
    </row>
    <row r="46" spans="3:5" x14ac:dyDescent="0.25">
      <c r="C46" s="36" t="s">
        <v>422</v>
      </c>
      <c r="D46" t="s">
        <v>539</v>
      </c>
      <c r="E46" t="s">
        <v>819</v>
      </c>
    </row>
    <row r="47" spans="3:5" x14ac:dyDescent="0.25">
      <c r="C47" s="36" t="s">
        <v>423</v>
      </c>
      <c r="D47" t="s">
        <v>540</v>
      </c>
      <c r="E47" t="s">
        <v>820</v>
      </c>
    </row>
    <row r="48" spans="3:5" x14ac:dyDescent="0.25">
      <c r="C48" s="36" t="s">
        <v>424</v>
      </c>
      <c r="D48" t="s">
        <v>541</v>
      </c>
      <c r="E48" t="s">
        <v>821</v>
      </c>
    </row>
    <row r="49" spans="3:5" x14ac:dyDescent="0.25">
      <c r="C49" s="36" t="s">
        <v>425</v>
      </c>
      <c r="D49" t="s">
        <v>542</v>
      </c>
      <c r="E49" t="s">
        <v>842</v>
      </c>
    </row>
    <row r="50" spans="3:5" x14ac:dyDescent="0.25">
      <c r="C50" s="36" t="s">
        <v>426</v>
      </c>
      <c r="D50" t="s">
        <v>543</v>
      </c>
    </row>
    <row r="51" spans="3:5" x14ac:dyDescent="0.25">
      <c r="C51" s="36" t="s">
        <v>427</v>
      </c>
      <c r="D51" t="s">
        <v>544</v>
      </c>
    </row>
    <row r="52" spans="3:5" x14ac:dyDescent="0.25">
      <c r="C52" s="36" t="s">
        <v>428</v>
      </c>
      <c r="D52" t="s">
        <v>545</v>
      </c>
    </row>
    <row r="53" spans="3:5" x14ac:dyDescent="0.25">
      <c r="C53" s="36" t="s">
        <v>429</v>
      </c>
      <c r="D53" t="s">
        <v>546</v>
      </c>
    </row>
    <row r="54" spans="3:5" x14ac:dyDescent="0.25">
      <c r="C54" s="36" t="s">
        <v>430</v>
      </c>
      <c r="D54" t="s">
        <v>547</v>
      </c>
    </row>
    <row r="55" spans="3:5" x14ac:dyDescent="0.25">
      <c r="C55" s="36" t="s">
        <v>431</v>
      </c>
      <c r="D55" t="s">
        <v>548</v>
      </c>
    </row>
    <row r="56" spans="3:5" x14ac:dyDescent="0.25">
      <c r="C56" s="36" t="s">
        <v>432</v>
      </c>
      <c r="D56" t="s">
        <v>549</v>
      </c>
    </row>
    <row r="57" spans="3:5" x14ac:dyDescent="0.25">
      <c r="C57" s="36" t="s">
        <v>433</v>
      </c>
      <c r="D57" t="s">
        <v>550</v>
      </c>
    </row>
    <row r="58" spans="3:5" x14ac:dyDescent="0.25">
      <c r="C58" s="36" t="s">
        <v>434</v>
      </c>
      <c r="D58" t="s">
        <v>551</v>
      </c>
    </row>
    <row r="59" spans="3:5" x14ac:dyDescent="0.25">
      <c r="C59" s="36" t="s">
        <v>435</v>
      </c>
      <c r="D59" t="s">
        <v>552</v>
      </c>
    </row>
    <row r="60" spans="3:5" x14ac:dyDescent="0.25">
      <c r="C60" s="36" t="s">
        <v>436</v>
      </c>
      <c r="D60" t="s">
        <v>553</v>
      </c>
    </row>
    <row r="61" spans="3:5" x14ac:dyDescent="0.25">
      <c r="C61" s="36" t="s">
        <v>437</v>
      </c>
      <c r="D61" t="s">
        <v>554</v>
      </c>
    </row>
    <row r="62" spans="3:5" x14ac:dyDescent="0.25">
      <c r="C62" s="36" t="s">
        <v>438</v>
      </c>
      <c r="D62" t="s">
        <v>555</v>
      </c>
    </row>
    <row r="63" spans="3:5" x14ac:dyDescent="0.25">
      <c r="C63" s="36" t="s">
        <v>439</v>
      </c>
      <c r="D63" t="s">
        <v>556</v>
      </c>
    </row>
    <row r="64" spans="3:5" x14ac:dyDescent="0.25">
      <c r="C64" s="36" t="s">
        <v>440</v>
      </c>
      <c r="D64" t="s">
        <v>557</v>
      </c>
    </row>
    <row r="65" spans="3:4" x14ac:dyDescent="0.25">
      <c r="C65" s="36" t="s">
        <v>441</v>
      </c>
      <c r="D65" t="s">
        <v>558</v>
      </c>
    </row>
    <row r="66" spans="3:4" x14ac:dyDescent="0.25">
      <c r="C66" s="36" t="s">
        <v>442</v>
      </c>
      <c r="D66" t="s">
        <v>559</v>
      </c>
    </row>
    <row r="67" spans="3:4" x14ac:dyDescent="0.25">
      <c r="C67" s="36" t="s">
        <v>443</v>
      </c>
      <c r="D67" t="s">
        <v>560</v>
      </c>
    </row>
    <row r="68" spans="3:4" x14ac:dyDescent="0.25">
      <c r="C68" s="36" t="s">
        <v>444</v>
      </c>
      <c r="D68" t="s">
        <v>561</v>
      </c>
    </row>
    <row r="69" spans="3:4" x14ac:dyDescent="0.25">
      <c r="C69" s="36" t="s">
        <v>445</v>
      </c>
      <c r="D69" t="s">
        <v>562</v>
      </c>
    </row>
    <row r="70" spans="3:4" x14ac:dyDescent="0.25">
      <c r="C70" s="36" t="s">
        <v>446</v>
      </c>
      <c r="D70" t="s">
        <v>563</v>
      </c>
    </row>
    <row r="71" spans="3:4" x14ac:dyDescent="0.25">
      <c r="C71" s="36" t="s">
        <v>447</v>
      </c>
      <c r="D71" t="s">
        <v>564</v>
      </c>
    </row>
    <row r="72" spans="3:4" x14ac:dyDescent="0.25">
      <c r="C72" s="36" t="s">
        <v>448</v>
      </c>
      <c r="D72" t="s">
        <v>565</v>
      </c>
    </row>
    <row r="73" spans="3:4" x14ac:dyDescent="0.25">
      <c r="C73" s="36" t="s">
        <v>449</v>
      </c>
      <c r="D73" t="s">
        <v>566</v>
      </c>
    </row>
    <row r="74" spans="3:4" x14ac:dyDescent="0.25">
      <c r="C74" s="36" t="s">
        <v>450</v>
      </c>
      <c r="D74" t="s">
        <v>567</v>
      </c>
    </row>
    <row r="75" spans="3:4" x14ac:dyDescent="0.25">
      <c r="C75" s="36" t="s">
        <v>451</v>
      </c>
      <c r="D75" t="s">
        <v>568</v>
      </c>
    </row>
    <row r="76" spans="3:4" x14ac:dyDescent="0.25">
      <c r="C76" s="36" t="s">
        <v>452</v>
      </c>
      <c r="D76" t="s">
        <v>569</v>
      </c>
    </row>
    <row r="77" spans="3:4" x14ac:dyDescent="0.25">
      <c r="C77" s="36" t="s">
        <v>453</v>
      </c>
      <c r="D77" t="s">
        <v>570</v>
      </c>
    </row>
    <row r="78" spans="3:4" x14ac:dyDescent="0.25">
      <c r="C78" s="36" t="s">
        <v>454</v>
      </c>
      <c r="D78" t="s">
        <v>571</v>
      </c>
    </row>
    <row r="79" spans="3:4" x14ac:dyDescent="0.25">
      <c r="C79" s="36" t="s">
        <v>455</v>
      </c>
      <c r="D79" t="s">
        <v>572</v>
      </c>
    </row>
    <row r="80" spans="3:4" x14ac:dyDescent="0.25">
      <c r="C80" s="36" t="s">
        <v>456</v>
      </c>
      <c r="D80" t="s">
        <v>573</v>
      </c>
    </row>
    <row r="81" spans="3:4" x14ac:dyDescent="0.25">
      <c r="C81" s="36" t="s">
        <v>457</v>
      </c>
      <c r="D81" t="s">
        <v>574</v>
      </c>
    </row>
    <row r="82" spans="3:4" x14ac:dyDescent="0.25">
      <c r="C82" s="36" t="s">
        <v>458</v>
      </c>
      <c r="D82" t="s">
        <v>575</v>
      </c>
    </row>
    <row r="83" spans="3:4" x14ac:dyDescent="0.25">
      <c r="C83" s="36" t="s">
        <v>459</v>
      </c>
      <c r="D83" t="s">
        <v>576</v>
      </c>
    </row>
    <row r="84" spans="3:4" x14ac:dyDescent="0.25">
      <c r="C84" s="36" t="s">
        <v>460</v>
      </c>
      <c r="D84" t="s">
        <v>577</v>
      </c>
    </row>
    <row r="85" spans="3:4" x14ac:dyDescent="0.25">
      <c r="C85" s="36" t="s">
        <v>461</v>
      </c>
      <c r="D85" t="s">
        <v>578</v>
      </c>
    </row>
    <row r="86" spans="3:4" x14ac:dyDescent="0.25">
      <c r="C86" s="36" t="s">
        <v>462</v>
      </c>
      <c r="D86" t="s">
        <v>579</v>
      </c>
    </row>
    <row r="87" spans="3:4" x14ac:dyDescent="0.25">
      <c r="C87" s="36" t="s">
        <v>463</v>
      </c>
      <c r="D87" t="s">
        <v>580</v>
      </c>
    </row>
    <row r="88" spans="3:4" x14ac:dyDescent="0.25">
      <c r="C88" s="36" t="s">
        <v>464</v>
      </c>
      <c r="D88" t="s">
        <v>581</v>
      </c>
    </row>
    <row r="89" spans="3:4" x14ac:dyDescent="0.25">
      <c r="C89" s="36" t="s">
        <v>465</v>
      </c>
      <c r="D89" t="s">
        <v>582</v>
      </c>
    </row>
    <row r="90" spans="3:4" x14ac:dyDescent="0.25">
      <c r="C90" s="36" t="s">
        <v>466</v>
      </c>
      <c r="D90" t="s">
        <v>583</v>
      </c>
    </row>
    <row r="91" spans="3:4" x14ac:dyDescent="0.25">
      <c r="C91" s="36" t="s">
        <v>467</v>
      </c>
      <c r="D91" t="s">
        <v>584</v>
      </c>
    </row>
    <row r="92" spans="3:4" x14ac:dyDescent="0.25">
      <c r="C92" s="36" t="s">
        <v>468</v>
      </c>
      <c r="D92" t="s">
        <v>585</v>
      </c>
    </row>
    <row r="93" spans="3:4" x14ac:dyDescent="0.25">
      <c r="C93" s="36" t="s">
        <v>469</v>
      </c>
      <c r="D93" t="s">
        <v>586</v>
      </c>
    </row>
    <row r="94" spans="3:4" x14ac:dyDescent="0.25">
      <c r="C94" s="36" t="s">
        <v>470</v>
      </c>
      <c r="D94" t="s">
        <v>587</v>
      </c>
    </row>
    <row r="95" spans="3:4" x14ac:dyDescent="0.25">
      <c r="C95" s="36" t="s">
        <v>471</v>
      </c>
      <c r="D95" t="s">
        <v>588</v>
      </c>
    </row>
    <row r="96" spans="3:4" x14ac:dyDescent="0.25">
      <c r="C96" s="36" t="s">
        <v>472</v>
      </c>
      <c r="D96" t="s">
        <v>589</v>
      </c>
    </row>
    <row r="97" spans="3:4" x14ac:dyDescent="0.25">
      <c r="C97" s="36" t="s">
        <v>473</v>
      </c>
      <c r="D97" t="s">
        <v>590</v>
      </c>
    </row>
    <row r="98" spans="3:4" x14ac:dyDescent="0.25">
      <c r="C98" s="36" t="s">
        <v>474</v>
      </c>
      <c r="D98" t="s">
        <v>591</v>
      </c>
    </row>
    <row r="99" spans="3:4" x14ac:dyDescent="0.25">
      <c r="C99" s="36" t="s">
        <v>475</v>
      </c>
      <c r="D99" t="s">
        <v>592</v>
      </c>
    </row>
    <row r="100" spans="3:4" x14ac:dyDescent="0.25">
      <c r="C100" s="36" t="s">
        <v>476</v>
      </c>
      <c r="D100" t="s">
        <v>593</v>
      </c>
    </row>
    <row r="101" spans="3:4" x14ac:dyDescent="0.25">
      <c r="C101" s="36" t="s">
        <v>477</v>
      </c>
      <c r="D101" t="s">
        <v>594</v>
      </c>
    </row>
    <row r="102" spans="3:4" x14ac:dyDescent="0.25">
      <c r="C102" s="36" t="s">
        <v>478</v>
      </c>
      <c r="D102" t="s">
        <v>595</v>
      </c>
    </row>
    <row r="103" spans="3:4" x14ac:dyDescent="0.25">
      <c r="C103" s="36" t="s">
        <v>479</v>
      </c>
      <c r="D103" t="s">
        <v>596</v>
      </c>
    </row>
    <row r="104" spans="3:4" x14ac:dyDescent="0.25">
      <c r="C104" s="36" t="s">
        <v>480</v>
      </c>
      <c r="D104" t="s">
        <v>597</v>
      </c>
    </row>
    <row r="105" spans="3:4" x14ac:dyDescent="0.25">
      <c r="C105" s="36" t="s">
        <v>481</v>
      </c>
      <c r="D105" t="s">
        <v>598</v>
      </c>
    </row>
    <row r="106" spans="3:4" x14ac:dyDescent="0.25">
      <c r="C106" s="36" t="s">
        <v>482</v>
      </c>
      <c r="D106" t="s">
        <v>599</v>
      </c>
    </row>
    <row r="107" spans="3:4" x14ac:dyDescent="0.25">
      <c r="C107" s="36" t="s">
        <v>483</v>
      </c>
      <c r="D107" t="s">
        <v>600</v>
      </c>
    </row>
    <row r="108" spans="3:4" x14ac:dyDescent="0.25">
      <c r="C108" s="36" t="s">
        <v>484</v>
      </c>
      <c r="D108" t="s">
        <v>601</v>
      </c>
    </row>
    <row r="109" spans="3:4" x14ac:dyDescent="0.25">
      <c r="C109" s="36" t="s">
        <v>485</v>
      </c>
      <c r="D109" t="s">
        <v>602</v>
      </c>
    </row>
    <row r="110" spans="3:4" x14ac:dyDescent="0.25">
      <c r="C110" s="36" t="s">
        <v>486</v>
      </c>
      <c r="D110" t="s">
        <v>603</v>
      </c>
    </row>
    <row r="111" spans="3:4" x14ac:dyDescent="0.25">
      <c r="C111" s="36" t="s">
        <v>487</v>
      </c>
      <c r="D111" t="s">
        <v>604</v>
      </c>
    </row>
    <row r="112" spans="3:4" x14ac:dyDescent="0.25">
      <c r="C112" s="36" t="s">
        <v>488</v>
      </c>
      <c r="D112" t="s">
        <v>605</v>
      </c>
    </row>
    <row r="113" spans="3:4" x14ac:dyDescent="0.25">
      <c r="C113" s="36" t="s">
        <v>489</v>
      </c>
      <c r="D113" t="s">
        <v>606</v>
      </c>
    </row>
    <row r="114" spans="3:4" x14ac:dyDescent="0.25">
      <c r="C114" s="36" t="s">
        <v>490</v>
      </c>
      <c r="D114" t="s">
        <v>607</v>
      </c>
    </row>
    <row r="115" spans="3:4" x14ac:dyDescent="0.25">
      <c r="C115" s="37" t="s">
        <v>152</v>
      </c>
      <c r="D115" t="s">
        <v>608</v>
      </c>
    </row>
    <row r="116" spans="3:4" x14ac:dyDescent="0.25">
      <c r="C116" s="37" t="s">
        <v>153</v>
      </c>
      <c r="D116" t="s">
        <v>609</v>
      </c>
    </row>
    <row r="117" spans="3:4" x14ac:dyDescent="0.25">
      <c r="C117" s="37" t="s">
        <v>161</v>
      </c>
      <c r="D117" t="s">
        <v>610</v>
      </c>
    </row>
    <row r="118" spans="3:4" x14ac:dyDescent="0.25">
      <c r="C118" s="37" t="s">
        <v>162</v>
      </c>
      <c r="D118" t="s">
        <v>611</v>
      </c>
    </row>
    <row r="119" spans="3:4" x14ac:dyDescent="0.25">
      <c r="C119" s="37" t="s">
        <v>163</v>
      </c>
      <c r="D119" t="s">
        <v>612</v>
      </c>
    </row>
    <row r="120" spans="3:4" x14ac:dyDescent="0.25">
      <c r="C120" s="37" t="s">
        <v>164</v>
      </c>
      <c r="D120" t="s">
        <v>613</v>
      </c>
    </row>
    <row r="121" spans="3:4" x14ac:dyDescent="0.25">
      <c r="C121" s="37" t="s">
        <v>165</v>
      </c>
      <c r="D121" t="s">
        <v>614</v>
      </c>
    </row>
    <row r="122" spans="3:4" x14ac:dyDescent="0.25">
      <c r="C122" s="37" t="s">
        <v>166</v>
      </c>
      <c r="D122" t="s">
        <v>615</v>
      </c>
    </row>
    <row r="123" spans="3:4" x14ac:dyDescent="0.25">
      <c r="C123" s="37" t="s">
        <v>167</v>
      </c>
      <c r="D123" t="s">
        <v>616</v>
      </c>
    </row>
    <row r="124" spans="3:4" x14ac:dyDescent="0.25">
      <c r="C124" s="37" t="s">
        <v>168</v>
      </c>
      <c r="D124" t="s">
        <v>617</v>
      </c>
    </row>
    <row r="125" spans="3:4" x14ac:dyDescent="0.25">
      <c r="C125" s="37" t="s">
        <v>169</v>
      </c>
      <c r="D125" t="s">
        <v>618</v>
      </c>
    </row>
    <row r="126" spans="3:4" x14ac:dyDescent="0.25">
      <c r="C126" s="37" t="s">
        <v>170</v>
      </c>
      <c r="D126" t="s">
        <v>619</v>
      </c>
    </row>
    <row r="127" spans="3:4" x14ac:dyDescent="0.25">
      <c r="C127" s="37" t="s">
        <v>171</v>
      </c>
      <c r="D127" t="s">
        <v>620</v>
      </c>
    </row>
    <row r="128" spans="3:4" x14ac:dyDescent="0.25">
      <c r="C128" s="37" t="s">
        <v>172</v>
      </c>
      <c r="D128" t="s">
        <v>621</v>
      </c>
    </row>
    <row r="129" spans="3:4" x14ac:dyDescent="0.25">
      <c r="C129" s="37" t="s">
        <v>220</v>
      </c>
      <c r="D129" t="s">
        <v>622</v>
      </c>
    </row>
    <row r="130" spans="3:4" x14ac:dyDescent="0.25">
      <c r="C130" s="37" t="s">
        <v>221</v>
      </c>
      <c r="D130" t="s">
        <v>623</v>
      </c>
    </row>
    <row r="131" spans="3:4" x14ac:dyDescent="0.25">
      <c r="C131" s="37" t="s">
        <v>222</v>
      </c>
      <c r="D131" t="s">
        <v>624</v>
      </c>
    </row>
    <row r="132" spans="3:4" x14ac:dyDescent="0.25">
      <c r="C132" s="37" t="s">
        <v>223</v>
      </c>
      <c r="D132" t="s">
        <v>625</v>
      </c>
    </row>
    <row r="133" spans="3:4" x14ac:dyDescent="0.25">
      <c r="C133" s="37" t="s">
        <v>224</v>
      </c>
      <c r="D133" t="s">
        <v>626</v>
      </c>
    </row>
    <row r="134" spans="3:4" x14ac:dyDescent="0.25">
      <c r="C134" s="37" t="s">
        <v>225</v>
      </c>
      <c r="D134" t="s">
        <v>627</v>
      </c>
    </row>
    <row r="135" spans="3:4" x14ac:dyDescent="0.25">
      <c r="C135" s="37" t="s">
        <v>226</v>
      </c>
      <c r="D135" t="s">
        <v>628</v>
      </c>
    </row>
    <row r="136" spans="3:4" x14ac:dyDescent="0.25">
      <c r="C136" s="37" t="s">
        <v>227</v>
      </c>
      <c r="D136" t="s">
        <v>629</v>
      </c>
    </row>
    <row r="137" spans="3:4" x14ac:dyDescent="0.25">
      <c r="C137" s="37" t="s">
        <v>228</v>
      </c>
      <c r="D137" t="s">
        <v>630</v>
      </c>
    </row>
    <row r="138" spans="3:4" x14ac:dyDescent="0.25">
      <c r="C138" s="37" t="s">
        <v>229</v>
      </c>
      <c r="D138" t="s">
        <v>631</v>
      </c>
    </row>
    <row r="139" spans="3:4" x14ac:dyDescent="0.25">
      <c r="C139" s="37" t="s">
        <v>230</v>
      </c>
      <c r="D139" t="s">
        <v>632</v>
      </c>
    </row>
    <row r="140" spans="3:4" x14ac:dyDescent="0.25">
      <c r="C140" s="37" t="s">
        <v>231</v>
      </c>
      <c r="D140" t="s">
        <v>633</v>
      </c>
    </row>
    <row r="141" spans="3:4" x14ac:dyDescent="0.25">
      <c r="C141" s="37" t="s">
        <v>232</v>
      </c>
      <c r="D141" t="s">
        <v>634</v>
      </c>
    </row>
    <row r="142" spans="3:4" x14ac:dyDescent="0.25">
      <c r="C142" s="37" t="s">
        <v>233</v>
      </c>
      <c r="D142" t="s">
        <v>635</v>
      </c>
    </row>
    <row r="143" spans="3:4" x14ac:dyDescent="0.25">
      <c r="C143" s="37" t="s">
        <v>234</v>
      </c>
      <c r="D143" t="s">
        <v>636</v>
      </c>
    </row>
    <row r="144" spans="3:4" x14ac:dyDescent="0.25">
      <c r="C144" s="37" t="s">
        <v>235</v>
      </c>
      <c r="D144" t="s">
        <v>637</v>
      </c>
    </row>
    <row r="145" spans="3:4" x14ac:dyDescent="0.25">
      <c r="C145" s="37" t="s">
        <v>236</v>
      </c>
      <c r="D145" t="s">
        <v>638</v>
      </c>
    </row>
    <row r="146" spans="3:4" x14ac:dyDescent="0.25">
      <c r="C146" s="37" t="s">
        <v>237</v>
      </c>
      <c r="D146" t="s">
        <v>639</v>
      </c>
    </row>
    <row r="147" spans="3:4" x14ac:dyDescent="0.25">
      <c r="C147" s="37" t="s">
        <v>238</v>
      </c>
      <c r="D147" t="s">
        <v>640</v>
      </c>
    </row>
    <row r="148" spans="3:4" x14ac:dyDescent="0.25">
      <c r="C148" s="37" t="s">
        <v>239</v>
      </c>
      <c r="D148" t="s">
        <v>641</v>
      </c>
    </row>
    <row r="149" spans="3:4" x14ac:dyDescent="0.25">
      <c r="C149" s="37" t="s">
        <v>240</v>
      </c>
      <c r="D149" t="s">
        <v>642</v>
      </c>
    </row>
    <row r="150" spans="3:4" x14ac:dyDescent="0.25">
      <c r="C150" s="37" t="s">
        <v>241</v>
      </c>
      <c r="D150" t="s">
        <v>643</v>
      </c>
    </row>
    <row r="151" spans="3:4" x14ac:dyDescent="0.25">
      <c r="C151" s="37" t="s">
        <v>242</v>
      </c>
      <c r="D151" t="s">
        <v>644</v>
      </c>
    </row>
    <row r="152" spans="3:4" x14ac:dyDescent="0.25">
      <c r="C152" s="37" t="s">
        <v>243</v>
      </c>
      <c r="D152" t="s">
        <v>645</v>
      </c>
    </row>
    <row r="153" spans="3:4" x14ac:dyDescent="0.25">
      <c r="C153" s="37" t="s">
        <v>244</v>
      </c>
      <c r="D153" t="s">
        <v>646</v>
      </c>
    </row>
    <row r="154" spans="3:4" x14ac:dyDescent="0.25">
      <c r="C154" s="37" t="s">
        <v>245</v>
      </c>
      <c r="D154" t="s">
        <v>647</v>
      </c>
    </row>
    <row r="155" spans="3:4" x14ac:dyDescent="0.25">
      <c r="C155" s="37" t="s">
        <v>246</v>
      </c>
      <c r="D155" t="s">
        <v>648</v>
      </c>
    </row>
    <row r="156" spans="3:4" x14ac:dyDescent="0.25">
      <c r="C156" s="37" t="s">
        <v>247</v>
      </c>
      <c r="D156" t="s">
        <v>649</v>
      </c>
    </row>
    <row r="157" spans="3:4" x14ac:dyDescent="0.25">
      <c r="C157" s="37" t="s">
        <v>248</v>
      </c>
      <c r="D157" t="s">
        <v>650</v>
      </c>
    </row>
    <row r="158" spans="3:4" x14ac:dyDescent="0.25">
      <c r="C158" s="37" t="s">
        <v>249</v>
      </c>
      <c r="D158" t="s">
        <v>651</v>
      </c>
    </row>
    <row r="159" spans="3:4" x14ac:dyDescent="0.25">
      <c r="C159" s="37" t="s">
        <v>250</v>
      </c>
      <c r="D159" t="s">
        <v>652</v>
      </c>
    </row>
    <row r="160" spans="3:4" x14ac:dyDescent="0.25">
      <c r="C160" s="37" t="s">
        <v>251</v>
      </c>
      <c r="D160" t="s">
        <v>653</v>
      </c>
    </row>
    <row r="161" spans="3:4" x14ac:dyDescent="0.25">
      <c r="C161" s="37" t="s">
        <v>252</v>
      </c>
      <c r="D161" t="s">
        <v>654</v>
      </c>
    </row>
    <row r="162" spans="3:4" x14ac:dyDescent="0.25">
      <c r="C162" s="37" t="s">
        <v>253</v>
      </c>
      <c r="D162" t="s">
        <v>655</v>
      </c>
    </row>
    <row r="163" spans="3:4" x14ac:dyDescent="0.25">
      <c r="C163" s="37" t="s">
        <v>254</v>
      </c>
      <c r="D163" t="s">
        <v>656</v>
      </c>
    </row>
    <row r="164" spans="3:4" x14ac:dyDescent="0.25">
      <c r="C164" s="37" t="s">
        <v>255</v>
      </c>
      <c r="D164" t="s">
        <v>657</v>
      </c>
    </row>
    <row r="165" spans="3:4" x14ac:dyDescent="0.25">
      <c r="C165" s="37" t="s">
        <v>256</v>
      </c>
      <c r="D165" t="s">
        <v>658</v>
      </c>
    </row>
    <row r="166" spans="3:4" x14ac:dyDescent="0.25">
      <c r="C166" s="37" t="s">
        <v>266</v>
      </c>
      <c r="D166" t="s">
        <v>659</v>
      </c>
    </row>
    <row r="167" spans="3:4" x14ac:dyDescent="0.25">
      <c r="C167" s="37" t="s">
        <v>282</v>
      </c>
      <c r="D167" t="s">
        <v>660</v>
      </c>
    </row>
    <row r="168" spans="3:4" x14ac:dyDescent="0.25">
      <c r="C168" s="37" t="s">
        <v>283</v>
      </c>
      <c r="D168" t="s">
        <v>661</v>
      </c>
    </row>
    <row r="169" spans="3:4" x14ac:dyDescent="0.25">
      <c r="C169" s="37" t="s">
        <v>284</v>
      </c>
      <c r="D169" t="s">
        <v>662</v>
      </c>
    </row>
    <row r="170" spans="3:4" x14ac:dyDescent="0.25">
      <c r="C170" s="37" t="s">
        <v>285</v>
      </c>
      <c r="D170" t="s">
        <v>663</v>
      </c>
    </row>
    <row r="171" spans="3:4" x14ac:dyDescent="0.25">
      <c r="C171" s="37" t="s">
        <v>286</v>
      </c>
      <c r="D171" t="s">
        <v>664</v>
      </c>
    </row>
    <row r="172" spans="3:4" x14ac:dyDescent="0.25">
      <c r="C172" s="37" t="s">
        <v>287</v>
      </c>
      <c r="D172" t="s">
        <v>665</v>
      </c>
    </row>
    <row r="173" spans="3:4" x14ac:dyDescent="0.25">
      <c r="C173" s="37" t="s">
        <v>288</v>
      </c>
      <c r="D173" t="s">
        <v>666</v>
      </c>
    </row>
    <row r="174" spans="3:4" x14ac:dyDescent="0.25">
      <c r="C174" s="37" t="s">
        <v>289</v>
      </c>
      <c r="D174" t="s">
        <v>667</v>
      </c>
    </row>
    <row r="175" spans="3:4" x14ac:dyDescent="0.25">
      <c r="C175" s="37" t="s">
        <v>290</v>
      </c>
      <c r="D175" t="s">
        <v>668</v>
      </c>
    </row>
    <row r="176" spans="3:4" x14ac:dyDescent="0.25">
      <c r="C176" s="37" t="s">
        <v>291</v>
      </c>
      <c r="D176" t="s">
        <v>669</v>
      </c>
    </row>
    <row r="177" spans="3:4" x14ac:dyDescent="0.25">
      <c r="C177" s="37" t="s">
        <v>292</v>
      </c>
      <c r="D177" t="s">
        <v>670</v>
      </c>
    </row>
    <row r="178" spans="3:4" x14ac:dyDescent="0.25">
      <c r="C178" s="37" t="s">
        <v>301</v>
      </c>
      <c r="D178" t="s">
        <v>671</v>
      </c>
    </row>
    <row r="179" spans="3:4" x14ac:dyDescent="0.25">
      <c r="C179" s="37" t="s">
        <v>302</v>
      </c>
      <c r="D179" t="s">
        <v>672</v>
      </c>
    </row>
    <row r="180" spans="3:4" x14ac:dyDescent="0.25">
      <c r="C180" s="37" t="s">
        <v>308</v>
      </c>
      <c r="D180" t="s">
        <v>673</v>
      </c>
    </row>
    <row r="181" spans="3:4" x14ac:dyDescent="0.25">
      <c r="C181" s="37" t="s">
        <v>309</v>
      </c>
      <c r="D181" t="s">
        <v>674</v>
      </c>
    </row>
    <row r="182" spans="3:4" x14ac:dyDescent="0.25">
      <c r="C182" s="37" t="s">
        <v>311</v>
      </c>
      <c r="D182" t="s">
        <v>675</v>
      </c>
    </row>
    <row r="183" spans="3:4" x14ac:dyDescent="0.25">
      <c r="C183" s="37" t="s">
        <v>314</v>
      </c>
      <c r="D183" t="s">
        <v>676</v>
      </c>
    </row>
    <row r="184" spans="3:4" x14ac:dyDescent="0.25">
      <c r="C184" s="37" t="s">
        <v>318</v>
      </c>
      <c r="D184" t="s">
        <v>677</v>
      </c>
    </row>
    <row r="185" spans="3:4" x14ac:dyDescent="0.25">
      <c r="C185" s="37" t="s">
        <v>319</v>
      </c>
      <c r="D185" t="s">
        <v>678</v>
      </c>
    </row>
    <row r="186" spans="3:4" x14ac:dyDescent="0.25">
      <c r="C186" s="37" t="s">
        <v>320</v>
      </c>
      <c r="D186" t="s">
        <v>679</v>
      </c>
    </row>
    <row r="187" spans="3:4" x14ac:dyDescent="0.25">
      <c r="C187" s="37" t="s">
        <v>321</v>
      </c>
      <c r="D187" t="s">
        <v>680</v>
      </c>
    </row>
    <row r="188" spans="3:4" x14ac:dyDescent="0.25">
      <c r="C188" s="37" t="s">
        <v>322</v>
      </c>
      <c r="D188" t="s">
        <v>681</v>
      </c>
    </row>
    <row r="189" spans="3:4" x14ac:dyDescent="0.25">
      <c r="C189" s="37" t="s">
        <v>323</v>
      </c>
      <c r="D189" t="s">
        <v>682</v>
      </c>
    </row>
    <row r="190" spans="3:4" x14ac:dyDescent="0.25">
      <c r="C190" s="37" t="s">
        <v>324</v>
      </c>
      <c r="D190" t="s">
        <v>683</v>
      </c>
    </row>
    <row r="191" spans="3:4" x14ac:dyDescent="0.25">
      <c r="C191" s="37" t="s">
        <v>325</v>
      </c>
      <c r="D191" t="s">
        <v>684</v>
      </c>
    </row>
    <row r="192" spans="3:4" x14ac:dyDescent="0.25">
      <c r="C192" s="37" t="s">
        <v>326</v>
      </c>
      <c r="D192" t="s">
        <v>685</v>
      </c>
    </row>
    <row r="193" spans="3:4" x14ac:dyDescent="0.25">
      <c r="C193" s="37" t="s">
        <v>327</v>
      </c>
      <c r="D193" t="s">
        <v>686</v>
      </c>
    </row>
    <row r="194" spans="3:4" x14ac:dyDescent="0.25">
      <c r="C194" s="37" t="s">
        <v>328</v>
      </c>
      <c r="D194" t="s">
        <v>687</v>
      </c>
    </row>
    <row r="195" spans="3:4" x14ac:dyDescent="0.25">
      <c r="C195" s="37" t="s">
        <v>329</v>
      </c>
      <c r="D195" t="s">
        <v>688</v>
      </c>
    </row>
    <row r="196" spans="3:4" x14ac:dyDescent="0.25">
      <c r="C196" s="37" t="s">
        <v>333</v>
      </c>
      <c r="D196" t="s">
        <v>689</v>
      </c>
    </row>
    <row r="197" spans="3:4" x14ac:dyDescent="0.25">
      <c r="C197" s="37" t="s">
        <v>335</v>
      </c>
      <c r="D197" t="s">
        <v>690</v>
      </c>
    </row>
    <row r="198" spans="3:4" x14ac:dyDescent="0.25">
      <c r="C198" s="37" t="s">
        <v>338</v>
      </c>
      <c r="D198" t="s">
        <v>691</v>
      </c>
    </row>
    <row r="199" spans="3:4" x14ac:dyDescent="0.25">
      <c r="C199" s="37" t="s">
        <v>339</v>
      </c>
      <c r="D199" t="s">
        <v>692</v>
      </c>
    </row>
    <row r="200" spans="3:4" x14ac:dyDescent="0.25">
      <c r="C200" s="37" t="s">
        <v>340</v>
      </c>
      <c r="D200" t="s">
        <v>693</v>
      </c>
    </row>
    <row r="201" spans="3:4" x14ac:dyDescent="0.25">
      <c r="C201" s="37" t="s">
        <v>341</v>
      </c>
      <c r="D201" t="s">
        <v>694</v>
      </c>
    </row>
    <row r="202" spans="3:4" x14ac:dyDescent="0.25">
      <c r="C202" s="37" t="s">
        <v>342</v>
      </c>
      <c r="D202" t="s">
        <v>695</v>
      </c>
    </row>
    <row r="203" spans="3:4" x14ac:dyDescent="0.25">
      <c r="C203" s="37" t="s">
        <v>343</v>
      </c>
      <c r="D203" t="s">
        <v>696</v>
      </c>
    </row>
    <row r="204" spans="3:4" x14ac:dyDescent="0.25">
      <c r="C204" s="37" t="s">
        <v>344</v>
      </c>
      <c r="D204" t="s">
        <v>697</v>
      </c>
    </row>
    <row r="205" spans="3:4" x14ac:dyDescent="0.25">
      <c r="C205" s="37" t="s">
        <v>349</v>
      </c>
      <c r="D205" t="s">
        <v>698</v>
      </c>
    </row>
    <row r="206" spans="3:4" x14ac:dyDescent="0.25">
      <c r="C206" s="37" t="s">
        <v>350</v>
      </c>
      <c r="D206" t="s">
        <v>699</v>
      </c>
    </row>
    <row r="207" spans="3:4" x14ac:dyDescent="0.25">
      <c r="C207" s="37" t="s">
        <v>351</v>
      </c>
      <c r="D207" t="s">
        <v>700</v>
      </c>
    </row>
    <row r="208" spans="3:4" x14ac:dyDescent="0.25">
      <c r="C208" s="37" t="s">
        <v>352</v>
      </c>
      <c r="D208" t="s">
        <v>701</v>
      </c>
    </row>
    <row r="209" spans="3:4" x14ac:dyDescent="0.25">
      <c r="C209" s="37" t="s">
        <v>353</v>
      </c>
      <c r="D209" t="s">
        <v>702</v>
      </c>
    </row>
    <row r="210" spans="3:4" x14ac:dyDescent="0.25">
      <c r="C210" s="37" t="s">
        <v>354</v>
      </c>
      <c r="D210" t="s">
        <v>703</v>
      </c>
    </row>
    <row r="211" spans="3:4" x14ac:dyDescent="0.25">
      <c r="C211" s="37" t="s">
        <v>355</v>
      </c>
      <c r="D211" t="s">
        <v>704</v>
      </c>
    </row>
    <row r="212" spans="3:4" x14ac:dyDescent="0.25">
      <c r="C212" s="37" t="s">
        <v>356</v>
      </c>
      <c r="D212" t="s">
        <v>705</v>
      </c>
    </row>
    <row r="213" spans="3:4" x14ac:dyDescent="0.25">
      <c r="C213" s="37" t="s">
        <v>357</v>
      </c>
      <c r="D213" t="s">
        <v>706</v>
      </c>
    </row>
    <row r="214" spans="3:4" x14ac:dyDescent="0.25">
      <c r="C214" s="37" t="s">
        <v>358</v>
      </c>
      <c r="D214" t="s">
        <v>707</v>
      </c>
    </row>
    <row r="215" spans="3:4" x14ac:dyDescent="0.25">
      <c r="C215" s="37" t="s">
        <v>359</v>
      </c>
      <c r="D215" t="s">
        <v>708</v>
      </c>
    </row>
    <row r="216" spans="3:4" x14ac:dyDescent="0.25">
      <c r="C216" s="37" t="s">
        <v>360</v>
      </c>
      <c r="D216" t="s">
        <v>709</v>
      </c>
    </row>
    <row r="217" spans="3:4" x14ac:dyDescent="0.25">
      <c r="C217" s="37" t="s">
        <v>369</v>
      </c>
      <c r="D217" t="s">
        <v>710</v>
      </c>
    </row>
    <row r="218" spans="3:4" x14ac:dyDescent="0.25">
      <c r="C218" s="37" t="s">
        <v>371</v>
      </c>
      <c r="D218" t="s">
        <v>711</v>
      </c>
    </row>
    <row r="219" spans="3:4" x14ac:dyDescent="0.25">
      <c r="C219" s="37" t="s">
        <v>372</v>
      </c>
      <c r="D219" t="s">
        <v>712</v>
      </c>
    </row>
    <row r="220" spans="3:4" x14ac:dyDescent="0.25">
      <c r="C220" s="37" t="s">
        <v>373</v>
      </c>
      <c r="D220" t="s">
        <v>713</v>
      </c>
    </row>
    <row r="221" spans="3:4" x14ac:dyDescent="0.25">
      <c r="C221" s="37" t="s">
        <v>377</v>
      </c>
      <c r="D221" t="s">
        <v>714</v>
      </c>
    </row>
    <row r="222" spans="3:4" x14ac:dyDescent="0.25">
      <c r="C222" s="37" t="s">
        <v>378</v>
      </c>
      <c r="D222" t="s">
        <v>715</v>
      </c>
    </row>
    <row r="223" spans="3:4" x14ac:dyDescent="0.25">
      <c r="C223" s="37" t="s">
        <v>379</v>
      </c>
      <c r="D223" t="s">
        <v>716</v>
      </c>
    </row>
    <row r="224" spans="3:4" x14ac:dyDescent="0.25">
      <c r="C224" s="37" t="s">
        <v>380</v>
      </c>
      <c r="D224" t="s">
        <v>717</v>
      </c>
    </row>
    <row r="225" spans="3:4" x14ac:dyDescent="0.25">
      <c r="C225" s="37" t="s">
        <v>381</v>
      </c>
      <c r="D225" t="s">
        <v>718</v>
      </c>
    </row>
    <row r="226" spans="3:4" x14ac:dyDescent="0.25">
      <c r="C226" s="37" t="s">
        <v>382</v>
      </c>
      <c r="D226" t="s">
        <v>719</v>
      </c>
    </row>
    <row r="227" spans="3:4" x14ac:dyDescent="0.25">
      <c r="C227" s="37" t="s">
        <v>383</v>
      </c>
      <c r="D227" t="s">
        <v>720</v>
      </c>
    </row>
    <row r="228" spans="3:4" x14ac:dyDescent="0.25">
      <c r="C228" s="37" t="s">
        <v>384</v>
      </c>
      <c r="D228" t="s">
        <v>721</v>
      </c>
    </row>
    <row r="229" spans="3:4" x14ac:dyDescent="0.25">
      <c r="C229" s="37" t="s">
        <v>385</v>
      </c>
      <c r="D229" t="s">
        <v>722</v>
      </c>
    </row>
    <row r="230" spans="3:4" x14ac:dyDescent="0.25">
      <c r="C230" s="37" t="s">
        <v>386</v>
      </c>
      <c r="D230" t="s">
        <v>723</v>
      </c>
    </row>
    <row r="231" spans="3:4" x14ac:dyDescent="0.25">
      <c r="C231" s="37" t="s">
        <v>387</v>
      </c>
      <c r="D231" t="s">
        <v>724</v>
      </c>
    </row>
    <row r="232" spans="3:4" x14ac:dyDescent="0.25">
      <c r="C232" s="37" t="s">
        <v>388</v>
      </c>
      <c r="D232" t="s">
        <v>725</v>
      </c>
    </row>
    <row r="233" spans="3:4" x14ac:dyDescent="0.25">
      <c r="C233" s="37" t="s">
        <v>389</v>
      </c>
      <c r="D233" t="s">
        <v>726</v>
      </c>
    </row>
    <row r="234" spans="3:4" x14ac:dyDescent="0.25">
      <c r="C234" s="37" t="s">
        <v>390</v>
      </c>
      <c r="D234" t="s">
        <v>727</v>
      </c>
    </row>
    <row r="235" spans="3:4" x14ac:dyDescent="0.25">
      <c r="C235" s="37" t="s">
        <v>391</v>
      </c>
      <c r="D235" t="s">
        <v>728</v>
      </c>
    </row>
    <row r="236" spans="3:4" x14ac:dyDescent="0.25">
      <c r="C236" s="37" t="s">
        <v>392</v>
      </c>
      <c r="D236" t="s">
        <v>729</v>
      </c>
    </row>
    <row r="237" spans="3:4" x14ac:dyDescent="0.25">
      <c r="C237" s="37" t="s">
        <v>393</v>
      </c>
      <c r="D237" t="s">
        <v>730</v>
      </c>
    </row>
    <row r="238" spans="3:4" x14ac:dyDescent="0.25">
      <c r="C238" s="37" t="s">
        <v>394</v>
      </c>
      <c r="D238" t="s">
        <v>731</v>
      </c>
    </row>
    <row r="239" spans="3:4" x14ac:dyDescent="0.25">
      <c r="C239" s="37" t="s">
        <v>395</v>
      </c>
      <c r="D239" t="s">
        <v>732</v>
      </c>
    </row>
    <row r="240" spans="3:4" x14ac:dyDescent="0.25">
      <c r="C240" s="38" t="s">
        <v>154</v>
      </c>
      <c r="D240" t="s">
        <v>733</v>
      </c>
    </row>
    <row r="241" spans="3:4" x14ac:dyDescent="0.25">
      <c r="C241" s="38" t="s">
        <v>155</v>
      </c>
      <c r="D241" t="s">
        <v>734</v>
      </c>
    </row>
    <row r="242" spans="3:4" x14ac:dyDescent="0.25">
      <c r="C242" s="38" t="s">
        <v>156</v>
      </c>
      <c r="D242" t="s">
        <v>735</v>
      </c>
    </row>
    <row r="243" spans="3:4" x14ac:dyDescent="0.25">
      <c r="C243" s="38" t="s">
        <v>157</v>
      </c>
      <c r="D243" t="s">
        <v>736</v>
      </c>
    </row>
    <row r="244" spans="3:4" x14ac:dyDescent="0.25">
      <c r="C244" s="38" t="s">
        <v>158</v>
      </c>
      <c r="D244" t="s">
        <v>737</v>
      </c>
    </row>
    <row r="245" spans="3:4" x14ac:dyDescent="0.25">
      <c r="C245" s="38" t="s">
        <v>159</v>
      </c>
      <c r="D245" t="s">
        <v>738</v>
      </c>
    </row>
    <row r="246" spans="3:4" x14ac:dyDescent="0.25">
      <c r="C246" s="38" t="s">
        <v>160</v>
      </c>
      <c r="D246" t="s">
        <v>739</v>
      </c>
    </row>
    <row r="247" spans="3:4" x14ac:dyDescent="0.25">
      <c r="C247" s="38" t="s">
        <v>173</v>
      </c>
      <c r="D247" t="s">
        <v>740</v>
      </c>
    </row>
    <row r="248" spans="3:4" x14ac:dyDescent="0.25">
      <c r="C248" s="38" t="s">
        <v>174</v>
      </c>
      <c r="D248" t="s">
        <v>741</v>
      </c>
    </row>
    <row r="249" spans="3:4" x14ac:dyDescent="0.25">
      <c r="C249" s="38" t="s">
        <v>220</v>
      </c>
      <c r="D249" t="s">
        <v>742</v>
      </c>
    </row>
    <row r="250" spans="3:4" x14ac:dyDescent="0.25">
      <c r="C250" s="38" t="s">
        <v>221</v>
      </c>
      <c r="D250" t="s">
        <v>743</v>
      </c>
    </row>
    <row r="251" spans="3:4" x14ac:dyDescent="0.25">
      <c r="C251" s="38" t="s">
        <v>267</v>
      </c>
      <c r="D251" t="s">
        <v>744</v>
      </c>
    </row>
    <row r="252" spans="3:4" x14ac:dyDescent="0.25">
      <c r="C252" s="38" t="s">
        <v>268</v>
      </c>
      <c r="D252" t="s">
        <v>745</v>
      </c>
    </row>
    <row r="253" spans="3:4" x14ac:dyDescent="0.25">
      <c r="C253" s="38" t="s">
        <v>269</v>
      </c>
      <c r="D253" t="s">
        <v>746</v>
      </c>
    </row>
    <row r="254" spans="3:4" x14ac:dyDescent="0.25">
      <c r="C254" s="38" t="s">
        <v>270</v>
      </c>
      <c r="D254" t="s">
        <v>747</v>
      </c>
    </row>
    <row r="255" spans="3:4" x14ac:dyDescent="0.25">
      <c r="C255" s="38" t="s">
        <v>271</v>
      </c>
      <c r="D255" t="s">
        <v>748</v>
      </c>
    </row>
    <row r="256" spans="3:4" x14ac:dyDescent="0.25">
      <c r="C256" s="38" t="s">
        <v>272</v>
      </c>
      <c r="D256" t="s">
        <v>749</v>
      </c>
    </row>
    <row r="257" spans="3:4" x14ac:dyDescent="0.25">
      <c r="C257" s="38" t="s">
        <v>273</v>
      </c>
      <c r="D257" t="s">
        <v>750</v>
      </c>
    </row>
    <row r="258" spans="3:4" x14ac:dyDescent="0.25">
      <c r="C258" s="38" t="s">
        <v>274</v>
      </c>
      <c r="D258" t="s">
        <v>751</v>
      </c>
    </row>
    <row r="259" spans="3:4" x14ac:dyDescent="0.25">
      <c r="C259" s="38" t="s">
        <v>275</v>
      </c>
      <c r="D259" t="s">
        <v>752</v>
      </c>
    </row>
    <row r="260" spans="3:4" x14ac:dyDescent="0.25">
      <c r="C260" s="38" t="s">
        <v>276</v>
      </c>
      <c r="D260" t="s">
        <v>753</v>
      </c>
    </row>
    <row r="261" spans="3:4" x14ac:dyDescent="0.25">
      <c r="C261" s="38" t="s">
        <v>277</v>
      </c>
      <c r="D261" t="s">
        <v>754</v>
      </c>
    </row>
    <row r="262" spans="3:4" x14ac:dyDescent="0.25">
      <c r="C262" s="38" t="s">
        <v>278</v>
      </c>
      <c r="D262" t="s">
        <v>755</v>
      </c>
    </row>
    <row r="263" spans="3:4" x14ac:dyDescent="0.25">
      <c r="C263" s="38" t="s">
        <v>279</v>
      </c>
      <c r="D263" t="s">
        <v>756</v>
      </c>
    </row>
    <row r="264" spans="3:4" x14ac:dyDescent="0.25">
      <c r="C264" s="38" t="s">
        <v>280</v>
      </c>
      <c r="D264" t="s">
        <v>757</v>
      </c>
    </row>
    <row r="265" spans="3:4" x14ac:dyDescent="0.25">
      <c r="C265" s="38" t="s">
        <v>281</v>
      </c>
      <c r="D265" t="s">
        <v>758</v>
      </c>
    </row>
    <row r="266" spans="3:4" x14ac:dyDescent="0.25">
      <c r="C266" s="38" t="s">
        <v>293</v>
      </c>
      <c r="D266" t="s">
        <v>759</v>
      </c>
    </row>
    <row r="267" spans="3:4" x14ac:dyDescent="0.25">
      <c r="C267" s="38" t="s">
        <v>294</v>
      </c>
      <c r="D267" t="s">
        <v>760</v>
      </c>
    </row>
    <row r="268" spans="3:4" x14ac:dyDescent="0.25">
      <c r="C268" s="38" t="s">
        <v>295</v>
      </c>
      <c r="D268" t="s">
        <v>761</v>
      </c>
    </row>
    <row r="269" spans="3:4" x14ac:dyDescent="0.25">
      <c r="C269" s="38" t="s">
        <v>296</v>
      </c>
      <c r="D269" t="s">
        <v>762</v>
      </c>
    </row>
    <row r="270" spans="3:4" x14ac:dyDescent="0.25">
      <c r="C270" s="38" t="s">
        <v>297</v>
      </c>
      <c r="D270" t="s">
        <v>763</v>
      </c>
    </row>
    <row r="271" spans="3:4" x14ac:dyDescent="0.25">
      <c r="C271" s="38" t="s">
        <v>298</v>
      </c>
      <c r="D271" t="s">
        <v>764</v>
      </c>
    </row>
    <row r="272" spans="3:4" x14ac:dyDescent="0.25">
      <c r="C272" s="38" t="s">
        <v>299</v>
      </c>
      <c r="D272" t="s">
        <v>765</v>
      </c>
    </row>
    <row r="273" spans="3:4" x14ac:dyDescent="0.25">
      <c r="C273" s="38" t="s">
        <v>300</v>
      </c>
      <c r="D273" t="s">
        <v>766</v>
      </c>
    </row>
    <row r="274" spans="3:4" x14ac:dyDescent="0.25">
      <c r="C274" s="38" t="s">
        <v>301</v>
      </c>
      <c r="D274" t="s">
        <v>767</v>
      </c>
    </row>
    <row r="275" spans="3:4" x14ac:dyDescent="0.25">
      <c r="C275" s="38" t="s">
        <v>303</v>
      </c>
      <c r="D275" t="s">
        <v>768</v>
      </c>
    </row>
    <row r="276" spans="3:4" x14ac:dyDescent="0.25">
      <c r="C276" s="38" t="s">
        <v>304</v>
      </c>
      <c r="D276" t="s">
        <v>769</v>
      </c>
    </row>
    <row r="277" spans="3:4" x14ac:dyDescent="0.25">
      <c r="C277" s="38" t="s">
        <v>305</v>
      </c>
      <c r="D277" t="s">
        <v>770</v>
      </c>
    </row>
    <row r="278" spans="3:4" x14ac:dyDescent="0.25">
      <c r="C278" s="38" t="s">
        <v>306</v>
      </c>
      <c r="D278" t="s">
        <v>771</v>
      </c>
    </row>
    <row r="279" spans="3:4" x14ac:dyDescent="0.25">
      <c r="C279" s="38" t="s">
        <v>309</v>
      </c>
      <c r="D279" t="s">
        <v>772</v>
      </c>
    </row>
    <row r="280" spans="3:4" x14ac:dyDescent="0.25">
      <c r="C280" s="38" t="s">
        <v>310</v>
      </c>
      <c r="D280" t="s">
        <v>773</v>
      </c>
    </row>
    <row r="281" spans="3:4" x14ac:dyDescent="0.25">
      <c r="C281" s="38" t="s">
        <v>315</v>
      </c>
      <c r="D281" t="s">
        <v>774</v>
      </c>
    </row>
    <row r="282" spans="3:4" x14ac:dyDescent="0.25">
      <c r="C282" s="38" t="s">
        <v>316</v>
      </c>
    </row>
    <row r="283" spans="3:4" x14ac:dyDescent="0.25">
      <c r="C283" s="38" t="s">
        <v>317</v>
      </c>
    </row>
    <row r="284" spans="3:4" x14ac:dyDescent="0.25">
      <c r="C284" s="38" t="s">
        <v>330</v>
      </c>
    </row>
    <row r="285" spans="3:4" x14ac:dyDescent="0.25">
      <c r="C285" s="38" t="s">
        <v>331</v>
      </c>
    </row>
    <row r="286" spans="3:4" x14ac:dyDescent="0.25">
      <c r="C286" s="38" t="s">
        <v>332</v>
      </c>
    </row>
    <row r="287" spans="3:4" x14ac:dyDescent="0.25">
      <c r="C287" s="38" t="s">
        <v>334</v>
      </c>
    </row>
    <row r="288" spans="3:4" x14ac:dyDescent="0.25">
      <c r="C288" s="38" t="s">
        <v>336</v>
      </c>
    </row>
    <row r="289" spans="3:3" x14ac:dyDescent="0.25">
      <c r="C289" s="38" t="s">
        <v>337</v>
      </c>
    </row>
    <row r="290" spans="3:3" x14ac:dyDescent="0.25">
      <c r="C290" s="38" t="s">
        <v>374</v>
      </c>
    </row>
    <row r="291" spans="3:3" x14ac:dyDescent="0.25">
      <c r="C291" s="38" t="s">
        <v>345</v>
      </c>
    </row>
    <row r="292" spans="3:3" x14ac:dyDescent="0.25">
      <c r="C292" s="38" t="s">
        <v>346</v>
      </c>
    </row>
    <row r="293" spans="3:3" x14ac:dyDescent="0.25">
      <c r="C293" s="38" t="s">
        <v>347</v>
      </c>
    </row>
    <row r="294" spans="3:3" x14ac:dyDescent="0.25">
      <c r="C294" s="38" t="s">
        <v>348</v>
      </c>
    </row>
    <row r="295" spans="3:3" x14ac:dyDescent="0.25">
      <c r="C295" s="38" t="s">
        <v>491</v>
      </c>
    </row>
    <row r="296" spans="3:3" x14ac:dyDescent="0.25">
      <c r="C296" s="38" t="s">
        <v>492</v>
      </c>
    </row>
    <row r="297" spans="3:3" x14ac:dyDescent="0.25">
      <c r="C297" s="38" t="s">
        <v>493</v>
      </c>
    </row>
    <row r="298" spans="3:3" x14ac:dyDescent="0.25">
      <c r="C298" s="39" t="s">
        <v>189</v>
      </c>
    </row>
    <row r="299" spans="3:3" x14ac:dyDescent="0.25">
      <c r="C299" s="39" t="s">
        <v>190</v>
      </c>
    </row>
    <row r="300" spans="3:3" x14ac:dyDescent="0.25">
      <c r="C300" s="39" t="s">
        <v>191</v>
      </c>
    </row>
    <row r="301" spans="3:3" x14ac:dyDescent="0.25">
      <c r="C301" s="39" t="s">
        <v>192</v>
      </c>
    </row>
    <row r="302" spans="3:3" x14ac:dyDescent="0.25">
      <c r="C302" s="39" t="s">
        <v>193</v>
      </c>
    </row>
    <row r="303" spans="3:3" x14ac:dyDescent="0.25">
      <c r="C303" s="39" t="s">
        <v>194</v>
      </c>
    </row>
    <row r="304" spans="3:3" x14ac:dyDescent="0.25">
      <c r="C304" s="39" t="s">
        <v>195</v>
      </c>
    </row>
    <row r="305" spans="3:3" x14ac:dyDescent="0.25">
      <c r="C305" s="39" t="s">
        <v>196</v>
      </c>
    </row>
    <row r="306" spans="3:3" x14ac:dyDescent="0.25">
      <c r="C306" s="39" t="s">
        <v>197</v>
      </c>
    </row>
    <row r="307" spans="3:3" x14ac:dyDescent="0.25">
      <c r="C307" s="39" t="s">
        <v>198</v>
      </c>
    </row>
    <row r="308" spans="3:3" x14ac:dyDescent="0.25">
      <c r="C308" s="39" t="s">
        <v>199</v>
      </c>
    </row>
    <row r="309" spans="3:3" x14ac:dyDescent="0.25">
      <c r="C309" s="39" t="s">
        <v>200</v>
      </c>
    </row>
    <row r="310" spans="3:3" x14ac:dyDescent="0.25">
      <c r="C310" s="39" t="s">
        <v>201</v>
      </c>
    </row>
    <row r="311" spans="3:3" x14ac:dyDescent="0.25">
      <c r="C311" s="39" t="s">
        <v>202</v>
      </c>
    </row>
    <row r="312" spans="3:3" x14ac:dyDescent="0.25">
      <c r="C312" s="39" t="s">
        <v>203</v>
      </c>
    </row>
    <row r="313" spans="3:3" x14ac:dyDescent="0.25">
      <c r="C313" s="39" t="s">
        <v>204</v>
      </c>
    </row>
    <row r="314" spans="3:3" x14ac:dyDescent="0.25">
      <c r="C314" s="39" t="s">
        <v>205</v>
      </c>
    </row>
    <row r="315" spans="3:3" x14ac:dyDescent="0.25">
      <c r="C315" s="39" t="s">
        <v>206</v>
      </c>
    </row>
    <row r="316" spans="3:3" x14ac:dyDescent="0.25">
      <c r="C316" s="39" t="s">
        <v>207</v>
      </c>
    </row>
    <row r="317" spans="3:3" x14ac:dyDescent="0.25">
      <c r="C317" s="39" t="s">
        <v>208</v>
      </c>
    </row>
    <row r="318" spans="3:3" x14ac:dyDescent="0.25">
      <c r="C318" s="39" t="s">
        <v>209</v>
      </c>
    </row>
    <row r="319" spans="3:3" x14ac:dyDescent="0.25">
      <c r="C319" s="39" t="s">
        <v>210</v>
      </c>
    </row>
    <row r="320" spans="3:3" x14ac:dyDescent="0.25">
      <c r="C320" s="39" t="s">
        <v>211</v>
      </c>
    </row>
    <row r="321" spans="3:3" x14ac:dyDescent="0.25">
      <c r="C321" s="39" t="s">
        <v>212</v>
      </c>
    </row>
    <row r="322" spans="3:3" x14ac:dyDescent="0.25">
      <c r="C322" s="39" t="s">
        <v>213</v>
      </c>
    </row>
    <row r="323" spans="3:3" x14ac:dyDescent="0.25">
      <c r="C323" s="39" t="s">
        <v>214</v>
      </c>
    </row>
    <row r="324" spans="3:3" x14ac:dyDescent="0.25">
      <c r="C324" s="39" t="s">
        <v>215</v>
      </c>
    </row>
    <row r="325" spans="3:3" x14ac:dyDescent="0.25">
      <c r="C325" s="39" t="s">
        <v>216</v>
      </c>
    </row>
    <row r="326" spans="3:3" x14ac:dyDescent="0.25">
      <c r="C326" s="39" t="s">
        <v>217</v>
      </c>
    </row>
    <row r="327" spans="3:3" x14ac:dyDescent="0.25">
      <c r="C327" s="39" t="s">
        <v>218</v>
      </c>
    </row>
    <row r="328" spans="3:3" x14ac:dyDescent="0.25">
      <c r="C328" s="39" t="s">
        <v>219</v>
      </c>
    </row>
    <row r="329" spans="3:3" x14ac:dyDescent="0.25">
      <c r="C329" s="39" t="s">
        <v>257</v>
      </c>
    </row>
    <row r="330" spans="3:3" x14ac:dyDescent="0.25">
      <c r="C330" s="39" t="s">
        <v>258</v>
      </c>
    </row>
    <row r="331" spans="3:3" x14ac:dyDescent="0.25">
      <c r="C331" s="39" t="s">
        <v>259</v>
      </c>
    </row>
    <row r="332" spans="3:3" x14ac:dyDescent="0.25">
      <c r="C332" s="39" t="s">
        <v>260</v>
      </c>
    </row>
    <row r="333" spans="3:3" x14ac:dyDescent="0.25">
      <c r="C333" s="39" t="s">
        <v>261</v>
      </c>
    </row>
    <row r="334" spans="3:3" x14ac:dyDescent="0.25">
      <c r="C334" s="39" t="s">
        <v>262</v>
      </c>
    </row>
    <row r="335" spans="3:3" x14ac:dyDescent="0.25">
      <c r="C335" s="39" t="s">
        <v>263</v>
      </c>
    </row>
    <row r="336" spans="3:3" x14ac:dyDescent="0.25">
      <c r="C336" s="39" t="s">
        <v>264</v>
      </c>
    </row>
    <row r="337" spans="3:3" x14ac:dyDescent="0.25">
      <c r="C337" s="39" t="s">
        <v>265</v>
      </c>
    </row>
    <row r="338" spans="3:3" x14ac:dyDescent="0.25">
      <c r="C338" s="39" t="s">
        <v>361</v>
      </c>
    </row>
    <row r="339" spans="3:3" x14ac:dyDescent="0.25">
      <c r="C339" s="39" t="s">
        <v>362</v>
      </c>
    </row>
    <row r="340" spans="3:3" x14ac:dyDescent="0.25">
      <c r="C340" s="39" t="s">
        <v>363</v>
      </c>
    </row>
    <row r="341" spans="3:3" x14ac:dyDescent="0.25">
      <c r="C341" s="39" t="s">
        <v>364</v>
      </c>
    </row>
    <row r="342" spans="3:3" x14ac:dyDescent="0.25">
      <c r="C342" s="39" t="s">
        <v>365</v>
      </c>
    </row>
    <row r="343" spans="3:3" x14ac:dyDescent="0.25">
      <c r="C343" s="39" t="s">
        <v>366</v>
      </c>
    </row>
    <row r="344" spans="3:3" x14ac:dyDescent="0.25">
      <c r="C344" s="39" t="s">
        <v>367</v>
      </c>
    </row>
    <row r="345" spans="3:3" x14ac:dyDescent="0.25">
      <c r="C345" s="39" t="s">
        <v>368</v>
      </c>
    </row>
    <row r="346" spans="3:3" x14ac:dyDescent="0.25">
      <c r="C346" s="39" t="s">
        <v>312</v>
      </c>
    </row>
    <row r="347" spans="3:3" x14ac:dyDescent="0.25">
      <c r="C347" s="39" t="s">
        <v>307</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ISO 17065</vt:lpstr>
      <vt:lpstr>attendance</vt:lpstr>
      <vt:lpstr>risk</vt:lpstr>
      <vt:lpstr>Ken</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2023-07-05T19:16:39Z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