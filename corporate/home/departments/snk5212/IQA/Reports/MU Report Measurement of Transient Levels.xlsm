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xml"/>
  <Override PartName="/xl/embeddings/oleObject6.bin" ContentType="application/vnd.openxmlformats-officedocument.oleObject"/>
  <Override PartName="/xl/embeddings/oleObject7.bin" ContentType="application/vnd.openxmlformats-officedocument.oleObject"/>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60" yWindow="885" windowWidth="17715" windowHeight="7950" activeTab="1"/>
  </bookViews>
  <sheets>
    <sheet name="Vpk_Summary" sheetId="2" r:id="rId1"/>
    <sheet name="Vpk_Budget" sheetId="3" r:id="rId2"/>
    <sheet name="repeat_A" sheetId="7" r:id="rId3"/>
    <sheet name="repro_A" sheetId="8" r:id="rId4"/>
    <sheet name="Test_Raw_Data" sheetId="11" r:id="rId5"/>
    <sheet name="Method" sheetId="12" r:id="rId6"/>
  </sheets>
  <definedNames>
    <definedName name="_xlnm.Print_Area" localSheetId="2">repeat_A!$B$2:$M$45</definedName>
    <definedName name="_xlnm.Print_Area" localSheetId="3">repro_A!$B$2:$M$45</definedName>
    <definedName name="_xlnm.Print_Area" localSheetId="1">Vpk_Budget!$B$3:$S$49</definedName>
    <definedName name="_xlnm.Print_Area" localSheetId="0">Vpk_Summary!$B$2:$J$49</definedName>
    <definedName name="StdDevQ" localSheetId="2">repeat_A!$F$63:$H$93</definedName>
    <definedName name="StdDevQ" localSheetId="3">repro_A!$F$63:$H$93</definedName>
    <definedName name="StdDevQ">#REF!</definedName>
  </definedNames>
  <calcPr calcId="145621"/>
</workbook>
</file>

<file path=xl/calcChain.xml><?xml version="1.0" encoding="utf-8"?>
<calcChain xmlns="http://schemas.openxmlformats.org/spreadsheetml/2006/main">
  <c r="E10" i="3" l="1"/>
  <c r="K14" i="3" l="1"/>
  <c r="K15" i="3"/>
  <c r="E13" i="3"/>
  <c r="D13" i="11"/>
  <c r="C13" i="11"/>
  <c r="B13" i="11"/>
  <c r="D12" i="11"/>
  <c r="C12" i="11"/>
  <c r="B12" i="11"/>
  <c r="E112" i="8" l="1"/>
  <c r="D112" i="8"/>
  <c r="C112" i="8"/>
  <c r="E111" i="8"/>
  <c r="D111" i="8"/>
  <c r="C111" i="8"/>
  <c r="E110" i="8"/>
  <c r="D110" i="8"/>
  <c r="C110" i="8"/>
  <c r="E109" i="8"/>
  <c r="D109" i="8"/>
  <c r="C109" i="8"/>
  <c r="C65" i="8"/>
  <c r="C64" i="8"/>
  <c r="C88" i="8" s="1"/>
  <c r="C63" i="8"/>
  <c r="C43" i="8"/>
  <c r="H42" i="8"/>
  <c r="E43" i="8" s="1"/>
  <c r="F42" i="8" s="1"/>
  <c r="E40" i="8"/>
  <c r="K34" i="8" s="1"/>
  <c r="E8" i="8"/>
  <c r="D8" i="8"/>
  <c r="L7" i="8"/>
  <c r="E112" i="7"/>
  <c r="D112" i="7"/>
  <c r="C112" i="7"/>
  <c r="E111" i="7"/>
  <c r="D111" i="7"/>
  <c r="C111" i="7"/>
  <c r="E110" i="7"/>
  <c r="D110" i="7"/>
  <c r="C110" i="7"/>
  <c r="E109" i="7"/>
  <c r="D109" i="7"/>
  <c r="C109" i="7"/>
  <c r="C65" i="7"/>
  <c r="C64" i="7"/>
  <c r="C88" i="7" s="1"/>
  <c r="C63" i="7"/>
  <c r="C43" i="7"/>
  <c r="H42" i="7"/>
  <c r="E43" i="7" s="1"/>
  <c r="F42" i="7" s="1"/>
  <c r="E40" i="7"/>
  <c r="D48" i="7" s="1"/>
  <c r="E8" i="7"/>
  <c r="D8" i="7"/>
  <c r="L7" i="7"/>
  <c r="F36" i="8"/>
  <c r="H20" i="7"/>
  <c r="H19" i="7"/>
  <c r="H28" i="8"/>
  <c r="H21" i="8"/>
  <c r="H27" i="8"/>
  <c r="G24" i="8"/>
  <c r="G30" i="7"/>
  <c r="G29" i="8"/>
  <c r="G14" i="8"/>
  <c r="F18" i="8"/>
  <c r="F32" i="8"/>
  <c r="H30" i="7"/>
  <c r="H10" i="7"/>
  <c r="G11" i="7"/>
  <c r="H37" i="8"/>
  <c r="F26" i="8"/>
  <c r="F38" i="8"/>
  <c r="G23" i="8"/>
  <c r="F33" i="8"/>
  <c r="F15" i="8"/>
  <c r="F20" i="7"/>
  <c r="H14" i="7"/>
  <c r="G36" i="7"/>
  <c r="H22" i="7"/>
  <c r="F23" i="7"/>
  <c r="H25" i="8"/>
  <c r="G38" i="7"/>
  <c r="G27" i="8"/>
  <c r="H37" i="7"/>
  <c r="G17" i="8"/>
  <c r="F12" i="8"/>
  <c r="H35" i="7"/>
  <c r="G30" i="8"/>
  <c r="H9" i="8"/>
  <c r="F22" i="8"/>
  <c r="F16" i="7"/>
  <c r="F20" i="8"/>
  <c r="G19" i="8"/>
  <c r="G20" i="8"/>
  <c r="H16" i="7"/>
  <c r="F32" i="7"/>
  <c r="G33" i="7"/>
  <c r="G16" i="8"/>
  <c r="F17" i="7"/>
  <c r="G10" i="8"/>
  <c r="F38" i="7"/>
  <c r="G32" i="7"/>
  <c r="F29" i="7"/>
  <c r="H38" i="7"/>
  <c r="H21" i="7"/>
  <c r="F30" i="7"/>
  <c r="F17" i="8"/>
  <c r="G31" i="7"/>
  <c r="F13" i="8"/>
  <c r="F34" i="8"/>
  <c r="F10" i="8"/>
  <c r="G13" i="7"/>
  <c r="G29" i="7"/>
  <c r="G15" i="8"/>
  <c r="F29" i="8"/>
  <c r="F9" i="7"/>
  <c r="F11" i="7"/>
  <c r="H38" i="8"/>
  <c r="H9" i="7"/>
  <c r="F19" i="8"/>
  <c r="F24" i="8"/>
  <c r="G25" i="7"/>
  <c r="F37" i="8"/>
  <c r="G9" i="7"/>
  <c r="H29" i="7"/>
  <c r="H11" i="7"/>
  <c r="F27" i="7"/>
  <c r="G26" i="7"/>
  <c r="G26" i="8"/>
  <c r="G32" i="8"/>
  <c r="G14" i="7"/>
  <c r="G23" i="7"/>
  <c r="F9" i="8"/>
  <c r="H35" i="8"/>
  <c r="H24" i="7"/>
  <c r="G21" i="7"/>
  <c r="F12" i="7"/>
  <c r="H12" i="8"/>
  <c r="H13" i="7"/>
  <c r="H23" i="8"/>
  <c r="G36" i="8"/>
  <c r="G13" i="8"/>
  <c r="G28" i="8"/>
  <c r="F18" i="7"/>
  <c r="H31" i="8"/>
  <c r="G12" i="8"/>
  <c r="F16" i="8"/>
  <c r="F36" i="7"/>
  <c r="H24" i="8"/>
  <c r="F31" i="8"/>
  <c r="G28" i="7"/>
  <c r="F14" i="7"/>
  <c r="F21" i="8"/>
  <c r="H34" i="8"/>
  <c r="H15" i="8"/>
  <c r="F15" i="7"/>
  <c r="G12" i="7"/>
  <c r="G17" i="7"/>
  <c r="F26" i="7"/>
  <c r="H30" i="8"/>
  <c r="F22" i="7"/>
  <c r="H27" i="7"/>
  <c r="H32" i="7"/>
  <c r="G11" i="8"/>
  <c r="H15" i="7"/>
  <c r="H34" i="7"/>
  <c r="G19" i="7"/>
  <c r="F14" i="8"/>
  <c r="H36" i="8"/>
  <c r="F27" i="8"/>
  <c r="H26" i="7"/>
  <c r="G18" i="8"/>
  <c r="G27" i="7"/>
  <c r="G34" i="8"/>
  <c r="F13" i="7"/>
  <c r="F11" i="8"/>
  <c r="F19" i="7"/>
  <c r="G21" i="8"/>
  <c r="H22" i="8"/>
  <c r="G22" i="8"/>
  <c r="G18" i="7"/>
  <c r="H32" i="8"/>
  <c r="F34" i="7"/>
  <c r="H33" i="8"/>
  <c r="F35" i="7"/>
  <c r="F37" i="7"/>
  <c r="H11" i="8"/>
  <c r="H36" i="7"/>
  <c r="G25" i="8"/>
  <c r="H10" i="8"/>
  <c r="F10" i="7"/>
  <c r="G22" i="7"/>
  <c r="G15" i="7"/>
  <c r="G20" i="7"/>
  <c r="G24" i="7"/>
  <c r="G33" i="8"/>
  <c r="H29" i="8"/>
  <c r="H25" i="7"/>
  <c r="G35" i="8"/>
  <c r="H14" i="8"/>
  <c r="G34" i="7"/>
  <c r="G37" i="8"/>
  <c r="G35" i="7"/>
  <c r="H33" i="7"/>
  <c r="F28" i="8"/>
  <c r="H13" i="8"/>
  <c r="G16" i="7"/>
  <c r="H16" i="8"/>
  <c r="H18" i="7"/>
  <c r="F31" i="7"/>
  <c r="H12" i="7"/>
  <c r="F24" i="7"/>
  <c r="H26" i="8"/>
  <c r="G38" i="8"/>
  <c r="F30" i="8"/>
  <c r="F35" i="8"/>
  <c r="G37" i="7"/>
  <c r="F23" i="8"/>
  <c r="H28" i="7"/>
  <c r="H17" i="8"/>
  <c r="H23" i="7"/>
  <c r="H19" i="8"/>
  <c r="H17" i="7"/>
  <c r="G10" i="7"/>
  <c r="F33" i="7"/>
  <c r="F21" i="7"/>
  <c r="H20" i="8"/>
  <c r="H18" i="8"/>
  <c r="F28" i="7"/>
  <c r="G9" i="8"/>
  <c r="H31" i="7"/>
  <c r="F25" i="7"/>
  <c r="G31" i="8"/>
  <c r="F25" i="8"/>
  <c r="K34" i="7" l="1"/>
  <c r="C84" i="7"/>
  <c r="C85" i="7" s="1"/>
  <c r="C86" i="7" s="1"/>
  <c r="C87" i="7" s="1"/>
  <c r="C67" i="8"/>
  <c r="C68" i="8" s="1"/>
  <c r="C69" i="8" s="1"/>
  <c r="C70" i="8" s="1"/>
  <c r="C71" i="8" s="1"/>
  <c r="C72" i="8" s="1"/>
  <c r="E39" i="8"/>
  <c r="E42" i="8" s="1"/>
  <c r="E15" i="3" s="1"/>
  <c r="C73" i="8"/>
  <c r="D67" i="8" s="1" a="1"/>
  <c r="C94" i="8"/>
  <c r="K33" i="8"/>
  <c r="D48" i="8"/>
  <c r="C102" i="8"/>
  <c r="C103" i="8"/>
  <c r="E11" i="8"/>
  <c r="E15" i="8"/>
  <c r="E18" i="8"/>
  <c r="E20" i="8"/>
  <c r="E22" i="8"/>
  <c r="E24" i="8"/>
  <c r="E26" i="8"/>
  <c r="E28" i="8"/>
  <c r="E30" i="8"/>
  <c r="E32" i="8"/>
  <c r="E10" i="8"/>
  <c r="E14" i="8"/>
  <c r="E9" i="8"/>
  <c r="E13" i="8"/>
  <c r="E17" i="8"/>
  <c r="E19" i="8"/>
  <c r="E21" i="8"/>
  <c r="E23" i="8"/>
  <c r="E25" i="8"/>
  <c r="E27" i="8"/>
  <c r="E29" i="8"/>
  <c r="E31" i="8"/>
  <c r="E33" i="8"/>
  <c r="E12" i="8"/>
  <c r="E16" i="8"/>
  <c r="E34" i="8"/>
  <c r="E35" i="8"/>
  <c r="E36" i="8"/>
  <c r="E37" i="8"/>
  <c r="E38" i="8"/>
  <c r="C97" i="8"/>
  <c r="C76" i="8"/>
  <c r="C84" i="8"/>
  <c r="C91" i="8"/>
  <c r="C99" i="8"/>
  <c r="C108" i="8" s="1"/>
  <c r="C81" i="8"/>
  <c r="E39" i="7"/>
  <c r="E42" i="7" s="1"/>
  <c r="E14" i="3" s="1"/>
  <c r="C103" i="7"/>
  <c r="E10" i="7"/>
  <c r="E12" i="7"/>
  <c r="E14" i="7"/>
  <c r="E16" i="7"/>
  <c r="E17" i="7"/>
  <c r="E18" i="7"/>
  <c r="E20" i="7"/>
  <c r="E21" i="7"/>
  <c r="E22" i="7"/>
  <c r="E23" i="7"/>
  <c r="E24" i="7"/>
  <c r="E25" i="7"/>
  <c r="E26" i="7"/>
  <c r="E27" i="7"/>
  <c r="E28" i="7"/>
  <c r="E29" i="7"/>
  <c r="E30" i="7"/>
  <c r="E31" i="7"/>
  <c r="E32" i="7"/>
  <c r="E33" i="7"/>
  <c r="E34" i="7"/>
  <c r="E9" i="7"/>
  <c r="E11" i="7"/>
  <c r="E13" i="7"/>
  <c r="E15" i="7"/>
  <c r="E19" i="7"/>
  <c r="E35" i="7"/>
  <c r="E36" i="7"/>
  <c r="E37" i="7"/>
  <c r="E38" i="7"/>
  <c r="C91" i="7"/>
  <c r="K33" i="7"/>
  <c r="C67" i="7"/>
  <c r="C73" i="7"/>
  <c r="C94" i="7"/>
  <c r="C102" i="7"/>
  <c r="C76" i="7"/>
  <c r="C97" i="7"/>
  <c r="C99" i="7"/>
  <c r="C108" i="7" s="1"/>
  <c r="C81" i="7"/>
  <c r="D102" i="7" l="1" a="1"/>
  <c r="D103" i="7" s="1"/>
  <c r="E103" i="7" s="1"/>
  <c r="D102" i="8" a="1"/>
  <c r="D49" i="8"/>
  <c r="D50" i="8"/>
  <c r="C85" i="8"/>
  <c r="C86" i="8" s="1"/>
  <c r="C87" i="8" s="1"/>
  <c r="D72" i="8"/>
  <c r="E72" i="8" s="1"/>
  <c r="D68" i="8"/>
  <c r="E68" i="8" s="1"/>
  <c r="D71" i="8"/>
  <c r="E71" i="8" s="1"/>
  <c r="D67" i="8"/>
  <c r="E67" i="8" s="1"/>
  <c r="D70" i="8"/>
  <c r="E70" i="8" s="1"/>
  <c r="D69" i="8"/>
  <c r="E69" i="8" s="1"/>
  <c r="D73" i="8"/>
  <c r="E73" i="8" s="1"/>
  <c r="C77" i="8"/>
  <c r="C78" i="8" s="1"/>
  <c r="C79" i="8" s="1"/>
  <c r="C80" i="8" s="1"/>
  <c r="C92" i="8"/>
  <c r="C93" i="8" s="1"/>
  <c r="C106" i="8"/>
  <c r="C98" i="8"/>
  <c r="C107" i="8" s="1"/>
  <c r="H43" i="8"/>
  <c r="D50" i="7"/>
  <c r="D49" i="7"/>
  <c r="D84" i="7" a="1"/>
  <c r="D85" i="7" s="1"/>
  <c r="E85" i="7" s="1"/>
  <c r="C106" i="7"/>
  <c r="C98" i="7"/>
  <c r="C107" i="7" s="1"/>
  <c r="H43" i="7"/>
  <c r="C92" i="7"/>
  <c r="C93" i="7" s="1"/>
  <c r="C77" i="7"/>
  <c r="C78" i="7" s="1"/>
  <c r="C79" i="7" s="1"/>
  <c r="C80" i="7" s="1"/>
  <c r="C68" i="7"/>
  <c r="C69" i="7" s="1"/>
  <c r="C70" i="7" s="1"/>
  <c r="C71" i="7" s="1"/>
  <c r="C72" i="7" s="1"/>
  <c r="D91" i="7" l="1" a="1"/>
  <c r="D93" i="7" s="1"/>
  <c r="E93" i="7" s="1"/>
  <c r="D86" i="7"/>
  <c r="E86" i="7" s="1"/>
  <c r="D84" i="7"/>
  <c r="E84" i="7" s="1"/>
  <c r="D102" i="7"/>
  <c r="E102" i="7" s="1"/>
  <c r="D88" i="7"/>
  <c r="E88" i="7" s="1"/>
  <c r="D67" i="7" a="1"/>
  <c r="D71" i="7" s="1"/>
  <c r="E71" i="7" s="1"/>
  <c r="D87" i="7"/>
  <c r="E87" i="7" s="1"/>
  <c r="D76" i="8" a="1"/>
  <c r="D80" i="8" s="1"/>
  <c r="E80" i="8" s="1"/>
  <c r="D102" i="8"/>
  <c r="E102" i="8" s="1"/>
  <c r="D103" i="8"/>
  <c r="E103" i="8" s="1"/>
  <c r="D91" i="8" a="1"/>
  <c r="D92" i="8" s="1"/>
  <c r="E92" i="8" s="1"/>
  <c r="D97" i="8" a="1"/>
  <c r="D84" i="8" a="1"/>
  <c r="D76" i="7" a="1"/>
  <c r="D78" i="7" s="1"/>
  <c r="E78" i="7" s="1"/>
  <c r="D97" i="7" a="1"/>
  <c r="D77" i="7" l="1"/>
  <c r="E77" i="7" s="1"/>
  <c r="D69" i="7"/>
  <c r="E69" i="7" s="1"/>
  <c r="D67" i="7"/>
  <c r="E67" i="7" s="1"/>
  <c r="D72" i="7"/>
  <c r="E72" i="7" s="1"/>
  <c r="D92" i="7"/>
  <c r="E92" i="7" s="1"/>
  <c r="D73" i="7"/>
  <c r="E73" i="7" s="1"/>
  <c r="D80" i="7"/>
  <c r="E80" i="7" s="1"/>
  <c r="D94" i="7"/>
  <c r="E94" i="7" s="1"/>
  <c r="D91" i="7"/>
  <c r="E91" i="7" s="1"/>
  <c r="D81" i="7"/>
  <c r="E81" i="7" s="1"/>
  <c r="D79" i="7"/>
  <c r="E79" i="7" s="1"/>
  <c r="D68" i="7"/>
  <c r="E68" i="7" s="1"/>
  <c r="D76" i="8"/>
  <c r="E76" i="8" s="1"/>
  <c r="D77" i="8"/>
  <c r="E77" i="8" s="1"/>
  <c r="D81" i="8"/>
  <c r="E81" i="8" s="1"/>
  <c r="D76" i="7"/>
  <c r="E76" i="7" s="1"/>
  <c r="D70" i="7"/>
  <c r="E70" i="7" s="1"/>
  <c r="D79" i="8"/>
  <c r="E79" i="8" s="1"/>
  <c r="D78" i="8"/>
  <c r="E78" i="8" s="1"/>
  <c r="D91" i="8"/>
  <c r="E91" i="8" s="1"/>
  <c r="D93" i="8"/>
  <c r="E93" i="8" s="1"/>
  <c r="D94" i="8"/>
  <c r="E94" i="8" s="1"/>
  <c r="D88" i="8"/>
  <c r="E88" i="8" s="1"/>
  <c r="D84" i="8"/>
  <c r="E84" i="8" s="1"/>
  <c r="D87" i="8"/>
  <c r="E87" i="8" s="1"/>
  <c r="D86" i="8"/>
  <c r="E86" i="8" s="1"/>
  <c r="D85" i="8"/>
  <c r="E85" i="8" s="1"/>
  <c r="D99" i="8"/>
  <c r="D98" i="8"/>
  <c r="D97" i="8"/>
  <c r="D99" i="7"/>
  <c r="D97" i="7"/>
  <c r="D98" i="7"/>
  <c r="E97" i="8" l="1"/>
  <c r="E106" i="8" s="1"/>
  <c r="D106" i="8"/>
  <c r="D107" i="8"/>
  <c r="E98" i="8"/>
  <c r="E107" i="8" s="1"/>
  <c r="E99" i="8"/>
  <c r="E108" i="8" s="1"/>
  <c r="D108" i="8"/>
  <c r="D107" i="7"/>
  <c r="E98" i="7"/>
  <c r="E107" i="7" s="1"/>
  <c r="E97" i="7"/>
  <c r="E106" i="7" s="1"/>
  <c r="D106" i="7"/>
  <c r="E99" i="7"/>
  <c r="E108" i="7" s="1"/>
  <c r="D108" i="7"/>
  <c r="M12" i="2" l="1"/>
  <c r="F47" i="2"/>
  <c r="B65" i="3" l="1"/>
  <c r="B64" i="3"/>
  <c r="B63" i="3"/>
  <c r="B62" i="3"/>
  <c r="B61" i="3"/>
  <c r="B60" i="3"/>
  <c r="B59" i="3"/>
  <c r="B58" i="3"/>
  <c r="B57" i="3"/>
  <c r="B56" i="3"/>
  <c r="B55" i="3"/>
  <c r="B54" i="3"/>
  <c r="B53" i="3"/>
  <c r="B52" i="3"/>
  <c r="B51" i="3"/>
  <c r="B50" i="3"/>
  <c r="B49" i="3"/>
  <c r="B48" i="3"/>
  <c r="B47" i="3"/>
  <c r="B46" i="3"/>
  <c r="B45" i="3"/>
  <c r="B44" i="3"/>
  <c r="B43" i="3"/>
  <c r="B42" i="3"/>
  <c r="B41" i="3"/>
  <c r="N39" i="3"/>
  <c r="K39" i="3"/>
  <c r="N38" i="3"/>
  <c r="J36" i="3"/>
  <c r="I36" i="3"/>
  <c r="J35" i="3"/>
  <c r="I35" i="3"/>
  <c r="BG33" i="3"/>
  <c r="BE33" i="3"/>
  <c r="BA33" i="3"/>
  <c r="AY33" i="3"/>
  <c r="AW33" i="3"/>
  <c r="AQ33" i="3"/>
  <c r="T33" i="3"/>
  <c r="S33" i="3"/>
  <c r="P33" i="3"/>
  <c r="O33" i="3"/>
  <c r="N33" i="3"/>
  <c r="Q33" i="3" s="1"/>
  <c r="M33" i="3"/>
  <c r="U33" i="3" s="1"/>
  <c r="I33" i="3"/>
  <c r="J33" i="3" s="1"/>
  <c r="BG32" i="3"/>
  <c r="BE32" i="3"/>
  <c r="BA32" i="3"/>
  <c r="AY32" i="3"/>
  <c r="AW32" i="3"/>
  <c r="AQ32" i="3"/>
  <c r="T32" i="3"/>
  <c r="S32" i="3"/>
  <c r="P32" i="3"/>
  <c r="O32" i="3"/>
  <c r="N32" i="3"/>
  <c r="Q32" i="3" s="1"/>
  <c r="M32" i="3"/>
  <c r="U32" i="3" s="1"/>
  <c r="I32" i="3"/>
  <c r="J32" i="3" s="1"/>
  <c r="BG31" i="3"/>
  <c r="BE31" i="3"/>
  <c r="BA31" i="3"/>
  <c r="AY31" i="3"/>
  <c r="AW31" i="3"/>
  <c r="AQ31" i="3"/>
  <c r="T31" i="3"/>
  <c r="S31" i="3"/>
  <c r="P31" i="3"/>
  <c r="O31" i="3"/>
  <c r="N31" i="3"/>
  <c r="Q31" i="3" s="1"/>
  <c r="M31" i="3"/>
  <c r="U31" i="3" s="1"/>
  <c r="I31" i="3"/>
  <c r="J31" i="3" s="1"/>
  <c r="BG30" i="3"/>
  <c r="BE30" i="3"/>
  <c r="BA30" i="3"/>
  <c r="AY30" i="3"/>
  <c r="AW30" i="3"/>
  <c r="AQ30" i="3"/>
  <c r="T30" i="3"/>
  <c r="S30" i="3"/>
  <c r="P30" i="3"/>
  <c r="O30" i="3"/>
  <c r="N30" i="3"/>
  <c r="Q30" i="3" s="1"/>
  <c r="M30" i="3"/>
  <c r="U30" i="3" s="1"/>
  <c r="I30" i="3"/>
  <c r="J30" i="3" s="1"/>
  <c r="BG29" i="3"/>
  <c r="BE29" i="3"/>
  <c r="BA29" i="3"/>
  <c r="AY29" i="3"/>
  <c r="AW29" i="3"/>
  <c r="AQ29" i="3"/>
  <c r="T29" i="3"/>
  <c r="S29" i="3"/>
  <c r="P29" i="3"/>
  <c r="O29" i="3"/>
  <c r="N29" i="3"/>
  <c r="Q29" i="3" s="1"/>
  <c r="M29" i="3"/>
  <c r="U29" i="3" s="1"/>
  <c r="I29" i="3"/>
  <c r="J29" i="3" s="1"/>
  <c r="BG28" i="3"/>
  <c r="BE28" i="3"/>
  <c r="BA28" i="3"/>
  <c r="AY28" i="3"/>
  <c r="AW28" i="3"/>
  <c r="AQ28" i="3"/>
  <c r="T28" i="3"/>
  <c r="S28" i="3"/>
  <c r="P28" i="3"/>
  <c r="O28" i="3"/>
  <c r="N28" i="3"/>
  <c r="Q28" i="3" s="1"/>
  <c r="M28" i="3"/>
  <c r="U28" i="3" s="1"/>
  <c r="I28" i="3"/>
  <c r="J28" i="3" s="1"/>
  <c r="BG27" i="3"/>
  <c r="BE27" i="3"/>
  <c r="BA27" i="3"/>
  <c r="AY27" i="3"/>
  <c r="AW27" i="3"/>
  <c r="AQ27" i="3"/>
  <c r="T27" i="3"/>
  <c r="S27" i="3"/>
  <c r="P27" i="3"/>
  <c r="O27" i="3"/>
  <c r="N27" i="3"/>
  <c r="Q27" i="3" s="1"/>
  <c r="M27" i="3"/>
  <c r="U27" i="3" s="1"/>
  <c r="I27" i="3"/>
  <c r="J27" i="3" s="1"/>
  <c r="BG26" i="3"/>
  <c r="BE26" i="3"/>
  <c r="BA26" i="3"/>
  <c r="AY26" i="3"/>
  <c r="AW26" i="3"/>
  <c r="AQ26" i="3"/>
  <c r="T26" i="3"/>
  <c r="S26" i="3"/>
  <c r="P26" i="3"/>
  <c r="O26" i="3"/>
  <c r="N26" i="3"/>
  <c r="Q26" i="3" s="1"/>
  <c r="M26" i="3"/>
  <c r="U26" i="3" s="1"/>
  <c r="I26" i="3"/>
  <c r="J26" i="3" s="1"/>
  <c r="BG25" i="3"/>
  <c r="BE25" i="3"/>
  <c r="BA25" i="3"/>
  <c r="AY25" i="3"/>
  <c r="AW25" i="3"/>
  <c r="AQ25" i="3"/>
  <c r="T25" i="3"/>
  <c r="S25" i="3"/>
  <c r="P25" i="3"/>
  <c r="O25" i="3"/>
  <c r="N25" i="3"/>
  <c r="Q25" i="3" s="1"/>
  <c r="M25" i="3"/>
  <c r="U25" i="3" s="1"/>
  <c r="I25" i="3"/>
  <c r="J25" i="3" s="1"/>
  <c r="BG24" i="3"/>
  <c r="BE24" i="3"/>
  <c r="BA24" i="3"/>
  <c r="AY24" i="3"/>
  <c r="AW24" i="3"/>
  <c r="AQ24" i="3"/>
  <c r="T24" i="3"/>
  <c r="S24" i="3"/>
  <c r="P24" i="3"/>
  <c r="O24" i="3"/>
  <c r="N24" i="3"/>
  <c r="Q24" i="3" s="1"/>
  <c r="M24" i="3"/>
  <c r="U24" i="3" s="1"/>
  <c r="I24" i="3"/>
  <c r="J24" i="3" s="1"/>
  <c r="BG23" i="3"/>
  <c r="BE23" i="3"/>
  <c r="BA23" i="3"/>
  <c r="AY23" i="3"/>
  <c r="AW23" i="3"/>
  <c r="AQ23" i="3"/>
  <c r="T23" i="3"/>
  <c r="S23" i="3"/>
  <c r="P23" i="3"/>
  <c r="O23" i="3"/>
  <c r="N23" i="3"/>
  <c r="Q23" i="3" s="1"/>
  <c r="M23" i="3"/>
  <c r="U23" i="3" s="1"/>
  <c r="I23" i="3"/>
  <c r="J23" i="3" s="1"/>
  <c r="BG22" i="3"/>
  <c r="BE22" i="3"/>
  <c r="BA22" i="3"/>
  <c r="AY22" i="3"/>
  <c r="AW22" i="3"/>
  <c r="AQ22" i="3"/>
  <c r="T22" i="3"/>
  <c r="S22" i="3"/>
  <c r="P22" i="3"/>
  <c r="O22" i="3"/>
  <c r="N22" i="3"/>
  <c r="Q22" i="3" s="1"/>
  <c r="M22" i="3"/>
  <c r="U22" i="3" s="1"/>
  <c r="I22" i="3"/>
  <c r="J22" i="3" s="1"/>
  <c r="BG21" i="3"/>
  <c r="BE21" i="3"/>
  <c r="BA21" i="3"/>
  <c r="AY21" i="3"/>
  <c r="AW21" i="3"/>
  <c r="AQ21" i="3"/>
  <c r="T21" i="3"/>
  <c r="S21" i="3"/>
  <c r="P21" i="3"/>
  <c r="O21" i="3"/>
  <c r="N21" i="3"/>
  <c r="Q21" i="3" s="1"/>
  <c r="M21" i="3"/>
  <c r="U21" i="3" s="1"/>
  <c r="I21" i="3"/>
  <c r="J21" i="3" s="1"/>
  <c r="BG20" i="3"/>
  <c r="BE20" i="3"/>
  <c r="BA20" i="3"/>
  <c r="AY20" i="3"/>
  <c r="AW20" i="3"/>
  <c r="AQ20" i="3"/>
  <c r="T20" i="3"/>
  <c r="S20" i="3"/>
  <c r="P20" i="3"/>
  <c r="O20" i="3"/>
  <c r="N20" i="3"/>
  <c r="Q20" i="3" s="1"/>
  <c r="M20" i="3"/>
  <c r="U20" i="3" s="1"/>
  <c r="I20" i="3"/>
  <c r="J20" i="3" s="1"/>
  <c r="BG19" i="3"/>
  <c r="BE19" i="3"/>
  <c r="BA19" i="3"/>
  <c r="AY19" i="3"/>
  <c r="AW19" i="3"/>
  <c r="AQ19" i="3"/>
  <c r="T19" i="3"/>
  <c r="S19" i="3"/>
  <c r="P19" i="3"/>
  <c r="O19" i="3"/>
  <c r="N19" i="3"/>
  <c r="Q19" i="3" s="1"/>
  <c r="M19" i="3"/>
  <c r="U19" i="3" s="1"/>
  <c r="I19" i="3"/>
  <c r="J19" i="3" s="1"/>
  <c r="BG18" i="3"/>
  <c r="BE18" i="3"/>
  <c r="BA18" i="3"/>
  <c r="AY18" i="3"/>
  <c r="AW18" i="3"/>
  <c r="AQ18" i="3"/>
  <c r="T18" i="3"/>
  <c r="S18" i="3"/>
  <c r="P18" i="3"/>
  <c r="O18" i="3"/>
  <c r="N18" i="3"/>
  <c r="Q18" i="3" s="1"/>
  <c r="M18" i="3"/>
  <c r="U18" i="3" s="1"/>
  <c r="I18" i="3"/>
  <c r="J18" i="3" s="1"/>
  <c r="BG17" i="3"/>
  <c r="BE17" i="3"/>
  <c r="BA17" i="3"/>
  <c r="AY17" i="3"/>
  <c r="AW17" i="3"/>
  <c r="AQ17" i="3"/>
  <c r="T17" i="3"/>
  <c r="S17" i="3"/>
  <c r="P17" i="3"/>
  <c r="O17" i="3"/>
  <c r="N17" i="3"/>
  <c r="Q17" i="3" s="1"/>
  <c r="M17" i="3"/>
  <c r="U17" i="3" s="1"/>
  <c r="I17" i="3"/>
  <c r="J17" i="3" s="1"/>
  <c r="BG16" i="3"/>
  <c r="BE16" i="3"/>
  <c r="BA16" i="3"/>
  <c r="AY16" i="3"/>
  <c r="AW16" i="3"/>
  <c r="AQ16" i="3"/>
  <c r="T16" i="3"/>
  <c r="S16" i="3"/>
  <c r="P16" i="3"/>
  <c r="O16" i="3"/>
  <c r="N16" i="3"/>
  <c r="Q16" i="3" s="1"/>
  <c r="M16" i="3"/>
  <c r="U16" i="3" s="1"/>
  <c r="I16" i="3"/>
  <c r="J16" i="3" s="1"/>
  <c r="BG15" i="3"/>
  <c r="BE15" i="3"/>
  <c r="BA15" i="3"/>
  <c r="AY15" i="3"/>
  <c r="AW15" i="3"/>
  <c r="AQ15" i="3"/>
  <c r="T15" i="3"/>
  <c r="P15" i="3"/>
  <c r="O15" i="3"/>
  <c r="I15" i="3"/>
  <c r="J15" i="3" s="1"/>
  <c r="M15" i="3" s="1"/>
  <c r="U15" i="3" s="1"/>
  <c r="BG14" i="3"/>
  <c r="BE14" i="3"/>
  <c r="BA14" i="3"/>
  <c r="AY14" i="3"/>
  <c r="AW14" i="3"/>
  <c r="AQ14" i="3"/>
  <c r="T14" i="3"/>
  <c r="P14" i="3"/>
  <c r="O14" i="3"/>
  <c r="I14" i="3"/>
  <c r="J14" i="3" s="1"/>
  <c r="M14" i="3" s="1"/>
  <c r="U14" i="3" s="1"/>
  <c r="BG13" i="3"/>
  <c r="BE13" i="3"/>
  <c r="BA13" i="3"/>
  <c r="AY13" i="3"/>
  <c r="AW13" i="3"/>
  <c r="AQ13" i="3"/>
  <c r="T13" i="3"/>
  <c r="P13" i="3"/>
  <c r="O13" i="3"/>
  <c r="I13" i="3"/>
  <c r="BG12" i="3"/>
  <c r="BE12" i="3"/>
  <c r="BA12" i="3"/>
  <c r="AY12" i="3"/>
  <c r="AW12" i="3"/>
  <c r="AQ12" i="3"/>
  <c r="T12" i="3"/>
  <c r="P12" i="3"/>
  <c r="O12" i="3"/>
  <c r="I12" i="3"/>
  <c r="J12" i="3" s="1"/>
  <c r="M12" i="3" s="1"/>
  <c r="U12" i="3" s="1"/>
  <c r="BG11" i="3"/>
  <c r="BE11" i="3"/>
  <c r="BA11" i="3"/>
  <c r="AY11" i="3"/>
  <c r="AW11" i="3"/>
  <c r="AQ11" i="3"/>
  <c r="T11" i="3"/>
  <c r="P11" i="3"/>
  <c r="O11" i="3"/>
  <c r="I11" i="3"/>
  <c r="J11" i="3" s="1"/>
  <c r="M11" i="3" s="1"/>
  <c r="U11" i="3" s="1"/>
  <c r="BG10" i="3"/>
  <c r="BE10" i="3"/>
  <c r="BA10" i="3"/>
  <c r="AY10" i="3"/>
  <c r="AW10" i="3"/>
  <c r="AQ10" i="3"/>
  <c r="T10" i="3"/>
  <c r="P10" i="3"/>
  <c r="O10" i="3"/>
  <c r="I10" i="3"/>
  <c r="J10" i="3" s="1"/>
  <c r="M10" i="3" s="1"/>
  <c r="U10" i="3" s="1"/>
  <c r="BG9" i="3"/>
  <c r="BE9" i="3"/>
  <c r="BA9" i="3"/>
  <c r="AY9" i="3"/>
  <c r="AW9" i="3"/>
  <c r="AQ9" i="3"/>
  <c r="T9" i="3"/>
  <c r="P9" i="3"/>
  <c r="O9" i="3"/>
  <c r="I9" i="3"/>
  <c r="J9" i="3" s="1"/>
  <c r="M9" i="3" s="1"/>
  <c r="W6" i="3"/>
  <c r="N5" i="3"/>
  <c r="M15" i="2" s="1"/>
  <c r="L18" i="2"/>
  <c r="L17" i="2"/>
  <c r="L16" i="2"/>
  <c r="L15" i="2"/>
  <c r="L14" i="2"/>
  <c r="H14" i="2"/>
  <c r="N15" i="3" l="1"/>
  <c r="N12" i="3"/>
  <c r="Q12" i="3" s="1"/>
  <c r="N10" i="3"/>
  <c r="Q10" i="3" s="1"/>
  <c r="N14" i="3"/>
  <c r="N9" i="3"/>
  <c r="Q9" i="3" s="1"/>
  <c r="N11" i="3"/>
  <c r="R35" i="3"/>
  <c r="Q35" i="3" s="1"/>
  <c r="M35" i="3" s="1"/>
  <c r="R36" i="3"/>
  <c r="Q36" i="3" s="1"/>
  <c r="M36" i="3" s="1"/>
  <c r="U9" i="3"/>
  <c r="Q15" i="3" l="1"/>
  <c r="J13" i="3"/>
  <c r="M13" i="3" s="1"/>
  <c r="M37" i="3" s="1"/>
  <c r="M39" i="3" s="1"/>
  <c r="Q14" i="3"/>
  <c r="Q11" i="3"/>
  <c r="U13" i="3" l="1"/>
  <c r="R37" i="3"/>
  <c r="R38" i="3" s="1"/>
  <c r="N13" i="3"/>
  <c r="S15" i="3" s="1"/>
  <c r="Q13" i="3" l="1"/>
  <c r="Q37" i="3" s="1"/>
  <c r="K37" i="3" s="1"/>
  <c r="S11" i="3"/>
  <c r="S14" i="3"/>
  <c r="S13" i="3"/>
  <c r="S9" i="3"/>
  <c r="S12" i="3"/>
  <c r="S10" i="3"/>
  <c r="N37" i="3"/>
  <c r="O38" i="3" l="1"/>
  <c r="K38" i="3" s="1"/>
  <c r="M38" i="3" s="1"/>
  <c r="M5" i="3" s="1"/>
  <c r="M16" i="2"/>
  <c r="L5" i="3" l="1"/>
  <c r="M13" i="2" s="1"/>
  <c r="K5" i="3"/>
  <c r="X9" i="3"/>
  <c r="M14" i="2"/>
  <c r="X11" i="3"/>
  <c r="Y12" i="3" s="1"/>
  <c r="Y10" i="3" l="1"/>
  <c r="X13" i="3"/>
  <c r="F17" i="2" s="1"/>
  <c r="H47" i="2"/>
  <c r="M11" i="2"/>
  <c r="L19" i="2" s="1"/>
</calcChain>
</file>

<file path=xl/comments1.xml><?xml version="1.0" encoding="utf-8"?>
<comments xmlns="http://schemas.openxmlformats.org/spreadsheetml/2006/main">
  <authors>
    <author>James D. Jenkins</author>
    <author>James D Jenkins</author>
  </authors>
  <commentList>
    <comment ref="H14" authorId="0">
      <text>
        <r>
          <rPr>
            <b/>
            <sz val="8"/>
            <color indexed="81"/>
            <rFont val="Tahoma"/>
            <family val="2"/>
          </rPr>
          <t>If this cell is not computing, you will need to install Excel Analysis Toolpak. For Excel 2000-2003, Click "Tools", "Addins" and select "Analysis Toolpak. Once installed, click the "Date of Last Review" button to update.
NOTE: It may ask for the Excel Install Disk.</t>
        </r>
        <r>
          <rPr>
            <sz val="8"/>
            <color indexed="81"/>
            <rFont val="Tahoma"/>
            <family val="2"/>
          </rPr>
          <t xml:space="preserve">
</t>
        </r>
      </text>
    </comment>
    <comment ref="L22" authorId="1">
      <text>
        <r>
          <rPr>
            <sz val="9"/>
            <color indexed="81"/>
            <rFont val="Tahoma"/>
            <family val="2"/>
          </rPr>
          <t xml:space="preserve">
Entry sets the minimum "Total Effective Degrees of Freedom" allowed with use of the 'Normal Distribution' for determining the k-factor to be applied for targeted level of confidence. 
When a value less than this number is encountered in a budget, a calculated k-factor is determined based on the total effective degrees of freedom value and the 'Student's t-Distribution'.
</t>
        </r>
      </text>
    </comment>
  </commentList>
</comments>
</file>

<file path=xl/comments2.xml><?xml version="1.0" encoding="utf-8"?>
<comments xmlns="http://schemas.openxmlformats.org/spreadsheetml/2006/main">
  <authors>
    <author>James D Jenkins</author>
    <author>James D. Jenkins</author>
  </authors>
  <commentList>
    <comment ref="B5" authorId="0">
      <text>
        <r>
          <rPr>
            <sz val="11"/>
            <color indexed="81"/>
            <rFont val="Tahoma"/>
            <family val="2"/>
          </rPr>
          <t xml:space="preserve">Analysis Units: The units of measure that the measurement is reported in should be used as the Analysis Units.
</t>
        </r>
      </text>
    </comment>
    <comment ref="F5" authorId="0">
      <text>
        <r>
          <rPr>
            <b/>
            <sz val="8"/>
            <color indexed="81"/>
            <rFont val="Tahoma"/>
            <family val="2"/>
          </rPr>
          <t>Measured Value:</t>
        </r>
        <r>
          <rPr>
            <sz val="8"/>
            <color indexed="81"/>
            <rFont val="Tahoma"/>
            <family val="2"/>
          </rPr>
          <t xml:space="preserve"> This is either the mean measured value or the nominal value of the measurand.</t>
        </r>
        <r>
          <rPr>
            <sz val="8"/>
            <color indexed="81"/>
            <rFont val="Tahoma"/>
            <family val="2"/>
          </rPr>
          <t xml:space="preserve">
</t>
        </r>
      </text>
    </comment>
    <comment ref="H5" authorId="0">
      <text>
        <r>
          <rPr>
            <sz val="11"/>
            <color indexed="81"/>
            <rFont val="Tahoma"/>
            <family val="2"/>
          </rPr>
          <t>Value ONLY, please put units in the cell to the right of this cell!</t>
        </r>
        <r>
          <rPr>
            <sz val="8"/>
            <color indexed="81"/>
            <rFont val="Tahoma"/>
            <family val="2"/>
          </rPr>
          <t xml:space="preserve">
</t>
        </r>
      </text>
    </comment>
    <comment ref="I5" authorId="0">
      <text>
        <r>
          <rPr>
            <sz val="11"/>
            <color indexed="81"/>
            <rFont val="Tahoma"/>
            <family val="2"/>
          </rPr>
          <t>If your analysis is a multivariate type model, you will need to ensure that the units given here are the same as the Analysis Units and, in this case,  the selected "Units" must also be the same units required for the applied reported value formula.</t>
        </r>
      </text>
    </comment>
    <comment ref="M5" authorId="1">
      <text>
        <r>
          <rPr>
            <sz val="11"/>
            <color indexed="81"/>
            <rFont val="Tahoma"/>
            <family val="2"/>
          </rPr>
          <t xml:space="preserve">(U95) Uncertainty:
This is either the Expanded Uncertainty determined by assuming a Normal Distribution or assuming a Student's t-Distribution. This is selected in cells L38 or L39.
</t>
        </r>
      </text>
    </comment>
    <comment ref="J6" authorId="0">
      <text>
        <r>
          <rPr>
            <sz val="11"/>
            <color indexed="81"/>
            <rFont val="Tahoma"/>
            <family val="2"/>
          </rPr>
          <t>MTE: (Measuring and Test Equipment) This is an identifier of the reference measuring equipment used in the measurement.</t>
        </r>
        <r>
          <rPr>
            <sz val="8"/>
            <color indexed="81"/>
            <rFont val="Tahoma"/>
            <family val="2"/>
          </rPr>
          <t xml:space="preserve">
</t>
        </r>
      </text>
    </comment>
    <comment ref="C8" authorId="0">
      <text>
        <r>
          <rPr>
            <b/>
            <sz val="12"/>
            <color indexed="81"/>
            <rFont val="Tahoma"/>
            <family val="2"/>
          </rPr>
          <t xml:space="preserve">Description of Uncertainty Contributor:
</t>
        </r>
        <r>
          <rPr>
            <sz val="12"/>
            <color indexed="81"/>
            <rFont val="Tahoma"/>
            <family val="2"/>
          </rPr>
          <t>Enter an unambiguous description of the contributor of measurement uncertainty. Add additional information regarding this contibutor in the corresponding notes section in the page below this window.</t>
        </r>
        <r>
          <rPr>
            <sz val="8"/>
            <color indexed="81"/>
            <rFont val="Tahoma"/>
            <family val="2"/>
          </rPr>
          <t xml:space="preserve">
</t>
        </r>
      </text>
    </comment>
    <comment ref="D8" authorId="0">
      <text>
        <r>
          <rPr>
            <sz val="11"/>
            <color indexed="81"/>
            <rFont val="Tahoma"/>
            <family val="2"/>
          </rPr>
          <t>Enter TYPE "A" or "B":
Enter the "Type" of estimate used for this contributor.
TYPE A:
When statistically computed from repeated observations.
TYPE B:
When estimated based on experience, engineering knowledge, or based on information from others that have conducted experiments.
Select A, B, A/B in the "Uncertainty Wizard".</t>
        </r>
        <r>
          <rPr>
            <sz val="8"/>
            <color indexed="81"/>
            <rFont val="Tahoma"/>
            <family val="2"/>
          </rPr>
          <t xml:space="preserve">
</t>
        </r>
      </text>
    </comment>
    <comment ref="E8" authorId="0">
      <text>
        <r>
          <rPr>
            <sz val="11"/>
            <color indexed="81"/>
            <rFont val="Tahoma"/>
            <family val="2"/>
          </rPr>
          <t xml:space="preserve">Parameter Uncertainty Limits:
The estimated containment limits of the uncertainty contributed by the given contributor. 
If the appropriate distribution for this contributor is either the Rectangular, U-shaped, or Triangular, you will need to enter the estimated minimum bounding 100% containment limits.
If you are working with a contributor that is a normal distribution you can enter any limit you have knowledge of and enter the appropriate level of confidence value in the "Level of Confidence" field.
If you are working with sampled data you will need to enter the one standard deviation value and either select "Std Dev" or link to the side calculator sheet by using the "Uncertainty Wizard". </t>
        </r>
        <r>
          <rPr>
            <sz val="8"/>
            <color indexed="81"/>
            <rFont val="Tahoma"/>
            <family val="2"/>
          </rPr>
          <t xml:space="preserve">
</t>
        </r>
      </text>
    </comment>
    <comment ref="F8" authorId="0">
      <text>
        <r>
          <rPr>
            <sz val="11"/>
            <color indexed="81"/>
            <rFont val="Tahoma"/>
            <family val="2"/>
          </rPr>
          <t>Parameter Units:
The units of measure for the expressed "Uncertainty Limits".</t>
        </r>
        <r>
          <rPr>
            <sz val="8"/>
            <color indexed="81"/>
            <rFont val="Tahoma"/>
            <family val="2"/>
          </rPr>
          <t xml:space="preserve">
</t>
        </r>
      </text>
    </comment>
    <comment ref="G8" authorId="0">
      <text>
        <r>
          <rPr>
            <sz val="11"/>
            <color indexed="81"/>
            <rFont val="Tahoma"/>
            <family val="2"/>
          </rPr>
          <t>Distribution:
For Type B Estimates: Select the most appropriate underlying distribution to represent the probability density lying between your given uncertainty limits. 
For Type A Estimates: Enter your one standard deviation of the data as the "Uncertainty Limit" and select "Std Dev" for the distribution in the "Uncertainty Wizard".</t>
        </r>
        <r>
          <rPr>
            <sz val="10"/>
            <color indexed="81"/>
            <rFont val="Tahoma"/>
            <family val="2"/>
          </rPr>
          <t xml:space="preserve">
</t>
        </r>
      </text>
    </comment>
    <comment ref="H8" authorId="0">
      <text>
        <r>
          <rPr>
            <sz val="11"/>
            <color indexed="81"/>
            <rFont val="Tahoma"/>
            <family val="2"/>
          </rPr>
          <t xml:space="preserve">Normal Dist. Level of Confidence: This field ONLY needs to be entered when you have selected the "Normal" distribution.  See Note at top of page. Others will be automatically entered when you exit the "Uncertainty Wizard" window.
</t>
        </r>
      </text>
    </comment>
    <comment ref="I8" authorId="0">
      <text>
        <r>
          <rPr>
            <sz val="11"/>
            <color indexed="81"/>
            <rFont val="Tahoma"/>
            <family val="2"/>
          </rPr>
          <t>Coverage Factor: This value is computed according to the selected Distribution, Uncertainty Limits, and (for the normal distribution) the Level of Confidence.</t>
        </r>
        <r>
          <rPr>
            <sz val="8"/>
            <color indexed="81"/>
            <rFont val="Tahoma"/>
            <family val="2"/>
          </rPr>
          <t xml:space="preserve">
</t>
        </r>
      </text>
    </comment>
    <comment ref="J8" authorId="0">
      <text>
        <r>
          <rPr>
            <sz val="11"/>
            <color indexed="81"/>
            <rFont val="Tahoma"/>
            <family val="2"/>
          </rPr>
          <t>Std Dev in Parameter Units: This is the standard deviation value expressed in "Parameter Units" of measure.</t>
        </r>
        <r>
          <rPr>
            <sz val="8"/>
            <color indexed="81"/>
            <rFont val="Tahoma"/>
            <family val="2"/>
          </rPr>
          <t xml:space="preserve">
</t>
        </r>
      </text>
    </comment>
    <comment ref="K8" authorId="0">
      <text>
        <r>
          <rPr>
            <sz val="10"/>
            <color indexed="81"/>
            <rFont val="Tahoma"/>
            <family val="2"/>
          </rPr>
          <t>Effective Degrees of Freedom: This is either the Type A Degrees of Freedom (Sample Size - 1) or the Type B estimated Effective Degrees of Freedom. See Wizards Degrees of Freedom Button.</t>
        </r>
        <r>
          <rPr>
            <sz val="8"/>
            <color indexed="81"/>
            <rFont val="Tahoma"/>
            <family val="2"/>
          </rPr>
          <t xml:space="preserve">
</t>
        </r>
      </text>
    </comment>
    <comment ref="L8" authorId="0">
      <text>
        <r>
          <rPr>
            <sz val="11"/>
            <color indexed="81"/>
            <rFont val="Tahoma"/>
            <family val="2"/>
          </rPr>
          <t>Sensitivity Coefficient: This could be considered the "Units Normalizer" in that it is the factor by which the value given in "Parameter Units" needs to be multiplied by to equal the identified "Analysis Units".  (A Partial Derivative)
 You can also use this field to normalize between units such as inch to micro-inch. Example: If "Analysis Units" are in inches and your "Parameter Units" are in micro-inches, you would enter 0.000001 or 1.0E-06 in the Sensitivity Coefficient field. As 1 micro-inches = 0.000001 inch.
See "Sensitivity Coefficient" button in wizard or "_Coef" template for multivariate type models.</t>
        </r>
      </text>
    </comment>
    <comment ref="M8" authorId="1">
      <text>
        <r>
          <rPr>
            <sz val="11"/>
            <color indexed="81"/>
            <rFont val="Tahoma"/>
            <family val="2"/>
          </rPr>
          <t>Computed Uncertainty:
This is the one standard deviation or "uncertainty" given in "Analysis Units".</t>
        </r>
        <r>
          <rPr>
            <sz val="8"/>
            <color indexed="81"/>
            <rFont val="Tahoma"/>
            <family val="2"/>
          </rPr>
          <t xml:space="preserve">
</t>
        </r>
      </text>
    </comment>
    <comment ref="N8" authorId="1">
      <text>
        <r>
          <rPr>
            <sz val="11"/>
            <color indexed="81"/>
            <rFont val="Tahoma"/>
            <family val="2"/>
          </rPr>
          <t>Correlated Effective Uncertainty:
This is the uncertainty corrected to the effective uncertainty. It equals the Computed Uncertainty unless the contributor is correlated with another contributor. In that case it is corrected to show the remaining uncertainty after consideration of the correlation effects.</t>
        </r>
        <r>
          <rPr>
            <sz val="8"/>
            <color indexed="81"/>
            <rFont val="Tahoma"/>
            <family val="2"/>
          </rPr>
          <t xml:space="preserve">
</t>
        </r>
      </text>
    </comment>
    <comment ref="S8" authorId="0">
      <text>
        <r>
          <rPr>
            <sz val="11"/>
            <color indexed="81"/>
            <rFont val="Tahoma"/>
            <family val="2"/>
          </rPr>
          <t xml:space="preserve">Percent of Total: This is the relative percentage of each individual contributor to the total uncertainty value. This calculation takes correlations into account by using the "Effective Uncertainty" values computed using the "Quametec Formula". 
NOTE: This calculation is updated with bolding applied to values contributing the percentage given in field E37 or more when you exit the "Uncertainty Wizard" window. 
 </t>
        </r>
      </text>
    </comment>
    <comment ref="H35" authorId="0">
      <text>
        <r>
          <rPr>
            <sz val="11"/>
            <color indexed="81"/>
            <rFont val="Tahoma"/>
            <family val="2"/>
          </rPr>
          <t>Corelation Coefficient:  
This is the quantity of correlation between contributors identified by line listed in "Var1" and "Var2" (from 1.0 to - 1.0). 
For contributors that are correlated in a compensating manner the correlation is negative. When correlated in a non-compensating manner, the correlation is positive.
(1.0 equals 100% of correlation)</t>
        </r>
      </text>
    </comment>
    <comment ref="K37" authorId="0">
      <text>
        <r>
          <rPr>
            <sz val="11"/>
            <color indexed="81"/>
            <rFont val="Tahoma"/>
            <family val="2"/>
          </rPr>
          <t>Total Effective Degrees of Freedom:
It is recommended that the value here be 29 or greater for an acceptable quality of estimate!
If the value is less than 29 the cell will be yellow, if less than 20 the cell will turn red as a warning of low quality estimate.
Focus on the contributors that are dominate in the analysis to improve estimate quality.
This calculation is based on some hidden calculations in column "Q", where each computed effective uncertainty is taken to the fourth power and divided by it's given Degrees of Freedom. It is then conditionally summed in cell Q37. (To avoid a "Divide by zero" error for rows not used)
In this cell (K34) we have the Total Uncertainty taken to the fourth power and divided by the sum in cell Q37.
You can UNHIDE column O by selecting column N-S and right-click followed by selecting "UNHIDE".</t>
        </r>
      </text>
    </comment>
    <comment ref="M37" authorId="0">
      <text>
        <r>
          <rPr>
            <sz val="11"/>
            <color indexed="81"/>
            <rFont val="Tahoma"/>
            <family val="2"/>
          </rPr>
          <t>Combined Standard Uncertainty: This value is to be expanded by being multiplied by the k-factor which results in an Expanded Measurement Uncertainty Value.</t>
        </r>
        <r>
          <rPr>
            <b/>
            <sz val="8"/>
            <color indexed="81"/>
            <rFont val="Tahoma"/>
            <family val="2"/>
          </rPr>
          <t xml:space="preserve"> </t>
        </r>
      </text>
    </comment>
    <comment ref="N37" authorId="1">
      <text>
        <r>
          <rPr>
            <sz val="11"/>
            <color indexed="81"/>
            <rFont val="Tahoma"/>
            <family val="2"/>
          </rPr>
          <t>RSS of Correlated effective Uncertainties:
This value is computed using the Quametec t-statistics Formula, it is only used to validate the formula. It should always equal the value given in M37</t>
        </r>
      </text>
    </comment>
    <comment ref="D38" authorId="0">
      <text>
        <r>
          <rPr>
            <sz val="11"/>
            <color indexed="81"/>
            <rFont val="Tahoma"/>
            <family val="2"/>
          </rPr>
          <t>Level of Confidence: 
DEFAULT VALUE = 95.45% With this default setting, the "Expanded Measurement Uncertainty"  value is reported to be expressed at approximately the 95% Level of Confidence.
This software computes k=factors, one to be used as a multiplier of the combined uncertainty value, for both an assumed Normal Distribution and a Student's t-Distribution, which uses t-statistics and effective degrees of freedom. 
The "Student's t" method has been updated to include corrections for the effective degrees of freedom calculations when the analysis contains correlated pairs.</t>
        </r>
        <r>
          <rPr>
            <sz val="8"/>
            <color indexed="81"/>
            <rFont val="Tahoma"/>
            <family val="2"/>
          </rPr>
          <t xml:space="preserve">
</t>
        </r>
      </text>
    </comment>
    <comment ref="K38" authorId="0">
      <text>
        <r>
          <rPr>
            <sz val="11"/>
            <color indexed="81"/>
            <rFont val="Tahoma"/>
            <family val="2"/>
          </rPr>
          <t>=TINV((1-D38),K37)
TINV = inverse t-distribution
D38= Desired Level of Confidence
NOTE: Level of Confidence is in %, thus 95.45% = 0.9545 probability.
K37 = Total Effective Degrees of Freedom.</t>
        </r>
      </text>
    </comment>
    <comment ref="L38" authorId="0">
      <text>
        <r>
          <rPr>
            <sz val="11"/>
            <color indexed="81"/>
            <rFont val="Tahoma"/>
            <family val="2"/>
          </rPr>
          <t>t=Distribution: You should choose this method when the Total Effective Degrees of Freedom are less than 29.
The t-Distribution calculated k-factor decreases as the Total Effective Degrees of Freedom value increases. The significance of a contributors uncertainty determines the significance of the contributors effective degrees of freedoms' effect on the Total Effective Degrees of Freedom. 
An estimate that  is qualified to use the Normal Distribution rather than the t-distribution, by qualification of the Central Limit Theorem, plus having at least 29 total effective degrees of freedom. 
The "Normal Distribution needs to be "qualified" in order to use a k = 2.00 to express the uncertainty at approximately the 95% level of confidence.
SEE HELP FILE FOR MORE INFORMATION.</t>
        </r>
      </text>
    </comment>
    <comment ref="M38" authorId="0">
      <text>
        <r>
          <rPr>
            <sz val="11"/>
            <color indexed="81"/>
            <rFont val="Tahoma"/>
            <family val="2"/>
          </rPr>
          <t>Expanded Uncertainty = this is the combined Standard Uncertainty times the computed "k-factor"</t>
        </r>
        <r>
          <rPr>
            <sz val="8"/>
            <color indexed="81"/>
            <rFont val="Tahoma"/>
            <family val="2"/>
          </rPr>
          <t xml:space="preserve">
</t>
        </r>
      </text>
    </comment>
    <comment ref="L39" authorId="0">
      <text>
        <r>
          <rPr>
            <sz val="11"/>
            <color indexed="81"/>
            <rFont val="Tahoma"/>
            <family val="2"/>
          </rPr>
          <t xml:space="preserve">Assumed Normal Distribution:
One can assume a "Normal" distribution, when the Total Effective Degrees of Freedom are equal to or greater than 30 and the Central Limit Theorem has been qualified. </t>
        </r>
      </text>
    </comment>
    <comment ref="M39" authorId="0">
      <text>
        <r>
          <rPr>
            <sz val="11"/>
            <color indexed="81"/>
            <rFont val="Tahoma"/>
            <family val="2"/>
          </rPr>
          <t xml:space="preserve">Expanded Uncertainty = this is the combined Standard Uncertainty times the computed "k-factor"
</t>
        </r>
      </text>
    </comment>
  </commentList>
</comments>
</file>

<file path=xl/comments3.xml><?xml version="1.0" encoding="utf-8"?>
<comments xmlns="http://schemas.openxmlformats.org/spreadsheetml/2006/main">
  <authors>
    <author>James D. Jenkins</author>
    <author>James Jenkins</author>
    <author>James D Jenkins</author>
  </authors>
  <commentList>
    <comment ref="E6" authorId="0">
      <text>
        <r>
          <rPr>
            <b/>
            <sz val="8"/>
            <color indexed="81"/>
            <rFont val="Tahoma"/>
            <family val="2"/>
          </rPr>
          <t>REQUIRED ENTRY:
This is a required entry to enable the Quametec Fix for Excel STD DEV calculation is applied.</t>
        </r>
        <r>
          <rPr>
            <sz val="8"/>
            <color indexed="81"/>
            <rFont val="Tahoma"/>
            <family val="2"/>
          </rPr>
          <t xml:space="preserve">
</t>
        </r>
      </text>
    </comment>
    <comment ref="J17" authorId="1">
      <text>
        <r>
          <rPr>
            <sz val="9"/>
            <color indexed="81"/>
            <rFont val="Tahoma"/>
            <family val="2"/>
          </rPr>
          <t>To calculate the Std Dev, use "=STDEV(A1:A100)" where the data resides in cells A1 to A100.
If the result provided to customers is based on a mean of X samples, divide the computed Std Dev by the Square Root of X. ("=STDEV/SQRT(X)")</t>
        </r>
      </text>
    </comment>
    <comment ref="E39" authorId="2">
      <text>
        <r>
          <rPr>
            <b/>
            <sz val="8"/>
            <color indexed="81"/>
            <rFont val="Tahoma"/>
            <family val="2"/>
          </rPr>
          <t>=STDEV(H9:H38)</t>
        </r>
        <r>
          <rPr>
            <sz val="8"/>
            <color indexed="81"/>
            <rFont val="Tahoma"/>
            <family val="2"/>
          </rPr>
          <t xml:space="preserve">
</t>
        </r>
      </text>
    </comment>
    <comment ref="E41" authorId="2">
      <text>
        <r>
          <rPr>
            <sz val="8"/>
            <color indexed="81"/>
            <rFont val="Tahoma"/>
            <family val="2"/>
          </rPr>
          <t xml:space="preserve">Enter "1" if the measurement process normally collects one reading and reports it. Enter other number as applicable to the measurement process reporting requirements.
</t>
        </r>
      </text>
    </comment>
    <comment ref="E42" authorId="2">
      <text>
        <r>
          <rPr>
            <b/>
            <sz val="8"/>
            <color indexed="81"/>
            <rFont val="Tahoma"/>
            <family val="2"/>
          </rPr>
          <t>= Std Dev/ Square Root of N
N= number of readings used to compute MEAN in the measurement process being analyzed.</t>
        </r>
        <r>
          <rPr>
            <sz val="8"/>
            <color indexed="81"/>
            <rFont val="Tahoma"/>
            <family val="2"/>
          </rPr>
          <t xml:space="preserve">
</t>
        </r>
      </text>
    </comment>
    <comment ref="D49" authorId="0">
      <text>
        <r>
          <rPr>
            <b/>
            <sz val="8"/>
            <color indexed="81"/>
            <rFont val="Tahoma"/>
            <family val="2"/>
          </rPr>
          <t>Use this value for comparison to single measurement events</t>
        </r>
        <r>
          <rPr>
            <sz val="8"/>
            <color indexed="81"/>
            <rFont val="Tahoma"/>
            <family val="2"/>
          </rPr>
          <t xml:space="preserve">
</t>
        </r>
      </text>
    </comment>
    <comment ref="D50" authorId="0">
      <text>
        <r>
          <rPr>
            <b/>
            <sz val="8"/>
            <color indexed="81"/>
            <rFont val="Tahoma"/>
            <family val="2"/>
          </rPr>
          <t>Use this value where the result reported to clients is the mean of some number of samples. Enter the number of sample in the "Reported Value" field.</t>
        </r>
        <r>
          <rPr>
            <sz val="8"/>
            <color indexed="81"/>
            <rFont val="Tahoma"/>
            <family val="2"/>
          </rPr>
          <t xml:space="preserve">
</t>
        </r>
      </text>
    </comment>
  </commentList>
</comments>
</file>

<file path=xl/comments4.xml><?xml version="1.0" encoding="utf-8"?>
<comments xmlns="http://schemas.openxmlformats.org/spreadsheetml/2006/main">
  <authors>
    <author>James D. Jenkins</author>
    <author>James Jenkins</author>
    <author>James D Jenkins</author>
  </authors>
  <commentList>
    <comment ref="E6" authorId="0">
      <text>
        <r>
          <rPr>
            <b/>
            <sz val="8"/>
            <color indexed="81"/>
            <rFont val="Tahoma"/>
            <family val="2"/>
          </rPr>
          <t>REQUIRED ENTRY:
This is a required entry to enable the Quametec Fix for Excel STD DEV calculation is applied.</t>
        </r>
        <r>
          <rPr>
            <sz val="8"/>
            <color indexed="81"/>
            <rFont val="Tahoma"/>
            <family val="2"/>
          </rPr>
          <t xml:space="preserve">
</t>
        </r>
      </text>
    </comment>
    <comment ref="J17" authorId="1">
      <text>
        <r>
          <rPr>
            <sz val="9"/>
            <color indexed="81"/>
            <rFont val="Tahoma"/>
            <family val="2"/>
          </rPr>
          <t>To calculate the Std Dev, use "=STDEV(A1:A100)" where the data resides in cells A1 to A100.
If the result provided to customers is based on a mean of X samples, divide the computed Std Dev by the Square Root of X. ("=STDEV/SQRT(X)")</t>
        </r>
      </text>
    </comment>
    <comment ref="E39" authorId="2">
      <text>
        <r>
          <rPr>
            <b/>
            <sz val="8"/>
            <color indexed="81"/>
            <rFont val="Tahoma"/>
            <family val="2"/>
          </rPr>
          <t>=STDEV(H9:H38)</t>
        </r>
        <r>
          <rPr>
            <sz val="8"/>
            <color indexed="81"/>
            <rFont val="Tahoma"/>
            <family val="2"/>
          </rPr>
          <t xml:space="preserve">
</t>
        </r>
      </text>
    </comment>
    <comment ref="E41" authorId="2">
      <text>
        <r>
          <rPr>
            <sz val="8"/>
            <color indexed="81"/>
            <rFont val="Tahoma"/>
            <family val="2"/>
          </rPr>
          <t xml:space="preserve">Enter "1" if the measurement process normally collects one reading and reports it. Enter other number as applicable to the measurement process reporting requirements.
</t>
        </r>
      </text>
    </comment>
    <comment ref="E42" authorId="2">
      <text>
        <r>
          <rPr>
            <b/>
            <sz val="8"/>
            <color indexed="81"/>
            <rFont val="Tahoma"/>
            <family val="2"/>
          </rPr>
          <t>= Std Dev/ Square Root of N
N= number of readings used to compute MEAN in the measurement process being analyzed.</t>
        </r>
        <r>
          <rPr>
            <sz val="8"/>
            <color indexed="81"/>
            <rFont val="Tahoma"/>
            <family val="2"/>
          </rPr>
          <t xml:space="preserve">
</t>
        </r>
      </text>
    </comment>
    <comment ref="D49" authorId="0">
      <text>
        <r>
          <rPr>
            <b/>
            <sz val="8"/>
            <color indexed="81"/>
            <rFont val="Tahoma"/>
            <family val="2"/>
          </rPr>
          <t>Use this value for comparison to single measurement events</t>
        </r>
        <r>
          <rPr>
            <sz val="8"/>
            <color indexed="81"/>
            <rFont val="Tahoma"/>
            <family val="2"/>
          </rPr>
          <t xml:space="preserve">
</t>
        </r>
      </text>
    </comment>
    <comment ref="D50" authorId="0">
      <text>
        <r>
          <rPr>
            <b/>
            <sz val="8"/>
            <color indexed="81"/>
            <rFont val="Tahoma"/>
            <family val="2"/>
          </rPr>
          <t>Use this value where the result reported to clients is the mean of some number of samples. Enter the number of sample in the "Reported Value" field.</t>
        </r>
        <r>
          <rPr>
            <sz val="8"/>
            <color indexed="81"/>
            <rFont val="Tahoma"/>
            <family val="2"/>
          </rPr>
          <t xml:space="preserve">
</t>
        </r>
      </text>
    </comment>
  </commentList>
</comments>
</file>

<file path=xl/sharedStrings.xml><?xml version="1.0" encoding="utf-8"?>
<sst xmlns="http://schemas.openxmlformats.org/spreadsheetml/2006/main" count="612" uniqueCount="376">
  <si>
    <t>suffix</t>
  </si>
  <si>
    <t>_Summary</t>
  </si>
  <si>
    <t>company</t>
  </si>
  <si>
    <t>E9:H9</t>
  </si>
  <si>
    <t xml:space="preserve"> © 2005-2010 Quametec Corporation. All Rights Reserved!</t>
  </si>
  <si>
    <t>user</t>
  </si>
  <si>
    <t>E13:E13</t>
  </si>
  <si>
    <t>Part of UncertaintyToolbox™ Version 3 Series</t>
  </si>
  <si>
    <t>title</t>
  </si>
  <si>
    <t>E10:H10</t>
  </si>
  <si>
    <t>Rev</t>
  </si>
  <si>
    <t>CAUTION: Table Links are not protected!</t>
  </si>
  <si>
    <t>Company:</t>
  </si>
  <si>
    <t>Analysis Summary Results Table</t>
  </si>
  <si>
    <t>Degrees of Freedom</t>
  </si>
  <si>
    <t>Title:</t>
  </si>
  <si>
    <t>Summary Source Type</t>
  </si>
  <si>
    <t>Applied k-Factor</t>
  </si>
  <si>
    <t>Report Number</t>
  </si>
  <si>
    <t>Date Submitted</t>
  </si>
  <si>
    <t>Targeted Level of Confidence</t>
  </si>
  <si>
    <t>Submitted By</t>
  </si>
  <si>
    <t>Date Approved</t>
  </si>
  <si>
    <t>Probability Distribution</t>
  </si>
  <si>
    <t>Approved By</t>
  </si>
  <si>
    <t>Scheduled Review</t>
  </si>
  <si>
    <r>
      <t xml:space="preserve">Interval </t>
    </r>
    <r>
      <rPr>
        <sz val="9"/>
        <rFont val="Arial"/>
        <family val="2"/>
      </rPr>
      <t>(Months)</t>
    </r>
  </si>
  <si>
    <t>Date of Last Review</t>
  </si>
  <si>
    <t>Expanded Measurement Uncertainty:</t>
  </si>
  <si>
    <t>&lt; LINK</t>
  </si>
  <si>
    <t>Scope of Estimated Uncertainty:</t>
  </si>
  <si>
    <t>Table auto-links when linking to the 'Expanded Measurement Uncertainty'. When updating from older templates, you may need to re-LINK to populate table.</t>
  </si>
  <si>
    <t>Normal / Student's t Distribution Selection</t>
  </si>
  <si>
    <t>Set MIN Degrees of Freedom</t>
  </si>
  <si>
    <t>Microsoft Excel WorkBook Name:</t>
  </si>
  <si>
    <t>Applicable Measurement Range Information</t>
  </si>
  <si>
    <t xml:space="preserve"> Associated Analysis Worksheets:</t>
  </si>
  <si>
    <t>Units of Measure</t>
  </si>
  <si>
    <t>Range Minimum Value</t>
  </si>
  <si>
    <t>Range Maximum Value</t>
  </si>
  <si>
    <t>Applicable Data Reports/Procedures:</t>
  </si>
  <si>
    <t xml:space="preserve">Uncertainty is expressed at approximately the </t>
  </si>
  <si>
    <t/>
  </si>
  <si>
    <t>Level of Confidence; kFactor=</t>
  </si>
  <si>
    <t>Rev. Date: 12 Nov 2010</t>
  </si>
  <si>
    <t>UL International Limited</t>
  </si>
  <si>
    <t>Copyright by Quametec Corporation 2003-2010 © ; http://quametec.com: For Licensed Use Only!</t>
  </si>
  <si>
    <t>_Budget</t>
  </si>
  <si>
    <t>"Level of Confidence" entry is used for the "Normal" distribution ONLY!  It will be "1 Std Dev" for "Std Dev" and "100%" for the others, automatically applied by the "Uncertainty Wizard".</t>
  </si>
  <si>
    <t>B3:S3</t>
  </si>
  <si>
    <t>H6:I6</t>
  </si>
  <si>
    <t xml:space="preserve">Title of Analysis:  </t>
  </si>
  <si>
    <t>D4:S4</t>
  </si>
  <si>
    <t xml:space="preserve">Analysis Units: </t>
  </si>
  <si>
    <t>Measured Value:</t>
  </si>
  <si>
    <t>k-factor =</t>
  </si>
  <si>
    <t>QIRL</t>
  </si>
  <si>
    <t>Uncertainty Wizard Calculator Entries</t>
  </si>
  <si>
    <t xml:space="preserve">Date: </t>
  </si>
  <si>
    <t xml:space="preserve">Performed by: </t>
  </si>
  <si>
    <t>MTE:</t>
  </si>
  <si>
    <t>CAUTION: Manual changes in these tables do NOT change values in Budget Table. Please use Uncertainty Wizard to make changes!</t>
  </si>
  <si>
    <r>
      <t>UncertaintyToolbox</t>
    </r>
    <r>
      <rPr>
        <b/>
        <sz val="16"/>
        <rFont val="Calibri"/>
        <family val="2"/>
      </rPr>
      <t>™</t>
    </r>
    <r>
      <rPr>
        <b/>
        <i/>
        <sz val="16"/>
        <rFont val="Arial"/>
        <family val="2"/>
      </rPr>
      <t xml:space="preserve"> Spec Calc User Entries</t>
    </r>
  </si>
  <si>
    <t>A/D Resolution Calc Entries</t>
  </si>
  <si>
    <t>Basic Sens Coef Calc</t>
  </si>
  <si>
    <t>Type B Degrees of Freedom</t>
  </si>
  <si>
    <t>Description of Uncertainty Contributor</t>
  </si>
  <si>
    <t>Type A/B</t>
  </si>
  <si>
    <t>Parameter Uncertainty Limits</t>
  </si>
  <si>
    <t>Parameter Units</t>
  </si>
  <si>
    <t>Distribution</t>
  </si>
  <si>
    <t>Level of Confidence</t>
  </si>
  <si>
    <t>Coverage Factor (k)</t>
  </si>
  <si>
    <t>Std Dev in Parameter Units</t>
  </si>
  <si>
    <t>Effective Degrees of Freedom</t>
  </si>
  <si>
    <t>Sensitivity Coefficient</t>
  </si>
  <si>
    <t>Computed Uncertainty in Analysis Units</t>
  </si>
  <si>
    <t>Effective Uncertainty in Analysis Units</t>
  </si>
  <si>
    <t>Rho*U1*U2 in ROW35(hide)</t>
  </si>
  <si>
    <t>Rho*U1*U2 in Row36(hide)</t>
  </si>
  <si>
    <t>Hide: part of Welch-Satterthwaite Calc</t>
  </si>
  <si>
    <t>Relative % of Total</t>
  </si>
  <si>
    <t>ID</t>
  </si>
  <si>
    <t>Num</t>
  </si>
  <si>
    <t>Reading/Nominal Value</t>
  </si>
  <si>
    <t>Span Low</t>
  </si>
  <si>
    <t>Span High</t>
  </si>
  <si>
    <t xml:space="preserve">Range </t>
  </si>
  <si>
    <t>Units</t>
  </si>
  <si>
    <t>%/ppm</t>
  </si>
  <si>
    <t>of Reading</t>
  </si>
  <si>
    <t>of Span</t>
  </si>
  <si>
    <t>of Range</t>
  </si>
  <si>
    <t>Fixed Offset</t>
  </si>
  <si>
    <t>Format</t>
  </si>
  <si>
    <t>Computed Specification
in Units</t>
  </si>
  <si>
    <t>Bits</t>
  </si>
  <si>
    <t>Full Scale</t>
  </si>
  <si>
    <t>Plus/Minus</t>
  </si>
  <si>
    <t>Rectangular or Resolution</t>
  </si>
  <si>
    <t>Computed
Resolution</t>
  </si>
  <si>
    <t>Analysis
Units</t>
  </si>
  <si>
    <t>Factor</t>
  </si>
  <si>
    <t>Conversion Factor</t>
  </si>
  <si>
    <t>User Formula</t>
  </si>
  <si>
    <t>Selected Method</t>
  </si>
  <si>
    <t>Computed Sensitivity Coefficient</t>
  </si>
  <si>
    <t>Percentage of Potential Under-Statement of Limit</t>
  </si>
  <si>
    <t>Effective Deg of Freedom</t>
  </si>
  <si>
    <t>A</t>
  </si>
  <si>
    <t>Normal</t>
  </si>
  <si>
    <t>Less than 1</t>
  </si>
  <si>
    <t>B</t>
  </si>
  <si>
    <t>Rectangular</t>
  </si>
  <si>
    <t>C</t>
  </si>
  <si>
    <t>Std Dev</t>
  </si>
  <si>
    <t>Greater or equal to 1</t>
  </si>
  <si>
    <t>D</t>
  </si>
  <si>
    <t>Resolution</t>
  </si>
  <si>
    <t>E</t>
  </si>
  <si>
    <t>U-Shaped</t>
  </si>
  <si>
    <t>Chooser</t>
  </si>
  <si>
    <t>F</t>
  </si>
  <si>
    <t>Triangular</t>
  </si>
  <si>
    <t>G</t>
  </si>
  <si>
    <t>Type Fill Data</t>
  </si>
  <si>
    <t>H</t>
  </si>
  <si>
    <t>Picklist</t>
  </si>
  <si>
    <t>CoefPicklist</t>
  </si>
  <si>
    <t>I</t>
  </si>
  <si>
    <r>
      <t xml:space="preserve">yotta </t>
    </r>
    <r>
      <rPr>
        <vertAlign val="superscript"/>
        <sz val="10"/>
        <rFont val="Arial"/>
        <family val="2"/>
      </rPr>
      <t>24</t>
    </r>
  </si>
  <si>
    <t>Y</t>
  </si>
  <si>
    <t>J</t>
  </si>
  <si>
    <r>
      <t xml:space="preserve">zetta </t>
    </r>
    <r>
      <rPr>
        <vertAlign val="superscript"/>
        <sz val="10"/>
        <rFont val="Arial"/>
        <family val="2"/>
      </rPr>
      <t>21</t>
    </r>
  </si>
  <si>
    <t>Z</t>
  </si>
  <si>
    <t>K</t>
  </si>
  <si>
    <r>
      <t xml:space="preserve">exa </t>
    </r>
    <r>
      <rPr>
        <vertAlign val="superscript"/>
        <sz val="10"/>
        <rFont val="Arial"/>
        <family val="2"/>
      </rPr>
      <t>18</t>
    </r>
  </si>
  <si>
    <t>L</t>
  </si>
  <si>
    <r>
      <t xml:space="preserve">peta </t>
    </r>
    <r>
      <rPr>
        <vertAlign val="superscript"/>
        <sz val="10"/>
        <rFont val="Arial"/>
        <family val="2"/>
      </rPr>
      <t>15</t>
    </r>
  </si>
  <si>
    <t>P</t>
  </si>
  <si>
    <t>M</t>
  </si>
  <si>
    <r>
      <t xml:space="preserve">tera </t>
    </r>
    <r>
      <rPr>
        <vertAlign val="superscript"/>
        <sz val="10"/>
        <rFont val="Arial"/>
        <family val="2"/>
      </rPr>
      <t>12</t>
    </r>
  </si>
  <si>
    <t>T</t>
  </si>
  <si>
    <t>N</t>
  </si>
  <si>
    <r>
      <t xml:space="preserve">giga </t>
    </r>
    <r>
      <rPr>
        <vertAlign val="superscript"/>
        <sz val="10"/>
        <rFont val="Arial"/>
        <family val="2"/>
      </rPr>
      <t>9</t>
    </r>
  </si>
  <si>
    <t>O</t>
  </si>
  <si>
    <r>
      <t xml:space="preserve">mega </t>
    </r>
    <r>
      <rPr>
        <vertAlign val="superscript"/>
        <sz val="10"/>
        <rFont val="Arial"/>
        <family val="2"/>
      </rPr>
      <t>6</t>
    </r>
  </si>
  <si>
    <r>
      <t xml:space="preserve">kilo </t>
    </r>
    <r>
      <rPr>
        <vertAlign val="superscript"/>
        <sz val="10"/>
        <rFont val="Arial"/>
        <family val="2"/>
      </rPr>
      <t>3</t>
    </r>
  </si>
  <si>
    <t>k</t>
  </si>
  <si>
    <t>Q</t>
  </si>
  <si>
    <r>
      <t xml:space="preserve">hecto </t>
    </r>
    <r>
      <rPr>
        <vertAlign val="superscript"/>
        <sz val="10"/>
        <rFont val="Arial"/>
        <family val="2"/>
      </rPr>
      <t>2</t>
    </r>
  </si>
  <si>
    <t>h</t>
  </si>
  <si>
    <t>R</t>
  </si>
  <si>
    <r>
      <t xml:space="preserve">deca </t>
    </r>
    <r>
      <rPr>
        <vertAlign val="superscript"/>
        <sz val="10"/>
        <rFont val="Arial"/>
        <family val="2"/>
      </rPr>
      <t>1</t>
    </r>
  </si>
  <si>
    <t>da</t>
  </si>
  <si>
    <t>S</t>
  </si>
  <si>
    <t>BASE</t>
  </si>
  <si>
    <r>
      <t xml:space="preserve">deci </t>
    </r>
    <r>
      <rPr>
        <vertAlign val="superscript"/>
        <sz val="10"/>
        <rFont val="Arial"/>
        <family val="2"/>
      </rPr>
      <t>-1</t>
    </r>
  </si>
  <si>
    <t xml:space="preserve">d </t>
  </si>
  <si>
    <t>U</t>
  </si>
  <si>
    <r>
      <t xml:space="preserve">centi </t>
    </r>
    <r>
      <rPr>
        <vertAlign val="superscript"/>
        <sz val="10"/>
        <rFont val="Arial"/>
        <family val="2"/>
      </rPr>
      <t>-2</t>
    </r>
  </si>
  <si>
    <t>c</t>
  </si>
  <si>
    <t>V</t>
  </si>
  <si>
    <r>
      <t xml:space="preserve">milli </t>
    </r>
    <r>
      <rPr>
        <vertAlign val="superscript"/>
        <sz val="10"/>
        <rFont val="Arial"/>
        <family val="2"/>
      </rPr>
      <t>-3</t>
    </r>
  </si>
  <si>
    <t>m</t>
  </si>
  <si>
    <t>W</t>
  </si>
  <si>
    <t>μ</t>
  </si>
  <si>
    <t>X</t>
  </si>
  <si>
    <r>
      <t>nano</t>
    </r>
    <r>
      <rPr>
        <vertAlign val="superscript"/>
        <sz val="10"/>
        <rFont val="Arial"/>
        <family val="2"/>
      </rPr>
      <t>-9</t>
    </r>
  </si>
  <si>
    <t>n</t>
  </si>
  <si>
    <r>
      <t>pico</t>
    </r>
    <r>
      <rPr>
        <vertAlign val="superscript"/>
        <sz val="10"/>
        <rFont val="Arial"/>
        <family val="2"/>
      </rPr>
      <t>-12</t>
    </r>
  </si>
  <si>
    <t>p</t>
  </si>
  <si>
    <t>Variable 1</t>
  </si>
  <si>
    <t>Variable 2</t>
  </si>
  <si>
    <t>Correlation Coefficient from 1.0 to -1.0</t>
  </si>
  <si>
    <t>"Percent of Total" takes correlations into account via use of the "Effective Uncertainty" values.</t>
  </si>
  <si>
    <t>Corr Values</t>
  </si>
  <si>
    <t>Uncertainty Toolbox</t>
  </si>
  <si>
    <t>GUM Method Calculator</t>
  </si>
  <si>
    <r>
      <t>femto</t>
    </r>
    <r>
      <rPr>
        <vertAlign val="superscript"/>
        <sz val="10"/>
        <rFont val="Arial"/>
        <family val="2"/>
      </rPr>
      <t>-15</t>
    </r>
  </si>
  <si>
    <t>f</t>
  </si>
  <si>
    <t>ρ of 1,2 =</t>
  </si>
  <si>
    <r>
      <t>atto</t>
    </r>
    <r>
      <rPr>
        <vertAlign val="superscript"/>
        <sz val="10"/>
        <rFont val="Arial"/>
        <family val="2"/>
      </rPr>
      <t>-18</t>
    </r>
  </si>
  <si>
    <t>a</t>
  </si>
  <si>
    <r>
      <t>zepto</t>
    </r>
    <r>
      <rPr>
        <vertAlign val="superscript"/>
        <sz val="10"/>
        <rFont val="Arial"/>
        <family val="2"/>
      </rPr>
      <t>-21</t>
    </r>
  </si>
  <si>
    <t>z</t>
  </si>
  <si>
    <t>Bolded Percent of Total Values are &gt; or = to:</t>
  </si>
  <si>
    <t>of Total Uncertainty</t>
  </si>
  <si>
    <r>
      <t>Total Eff. Degrees of Freedom (</t>
    </r>
    <r>
      <rPr>
        <sz val="10"/>
        <rFont val="SymbolSH"/>
        <family val="5"/>
      </rPr>
      <t>u</t>
    </r>
    <r>
      <rPr>
        <sz val="10"/>
        <rFont val="Arial"/>
        <family val="2"/>
      </rPr>
      <t>)=</t>
    </r>
  </si>
  <si>
    <t>Std Unc =</t>
  </si>
  <si>
    <t>Std Unc</t>
  </si>
  <si>
    <r>
      <t>yocto</t>
    </r>
    <r>
      <rPr>
        <vertAlign val="superscript"/>
        <sz val="10"/>
        <rFont val="Arial"/>
        <family val="2"/>
      </rPr>
      <t>-24</t>
    </r>
  </si>
  <si>
    <t>y</t>
  </si>
  <si>
    <r>
      <t>Where u</t>
    </r>
    <r>
      <rPr>
        <vertAlign val="subscript"/>
        <sz val="12"/>
        <rFont val="Arial"/>
        <family val="2"/>
      </rPr>
      <t>1</t>
    </r>
    <r>
      <rPr>
        <sz val="12"/>
        <rFont val="Arial"/>
        <family val="2"/>
      </rPr>
      <t xml:space="preserve"> &amp; u</t>
    </r>
    <r>
      <rPr>
        <vertAlign val="subscript"/>
        <sz val="12"/>
        <rFont val="Arial"/>
        <family val="2"/>
      </rPr>
      <t>2</t>
    </r>
    <r>
      <rPr>
        <sz val="12"/>
        <rFont val="Arial"/>
        <family val="2"/>
      </rPr>
      <t xml:space="preserve"> are correlated</t>
    </r>
  </si>
  <si>
    <t>Student's t-Distribution</t>
  </si>
  <si>
    <t>To achieve the stated "Level of Confidence" using t-statistics and Effective Degrees of Freedom, the calculated k-factor =</t>
  </si>
  <si>
    <t>Expanded
Unc =</t>
  </si>
  <si>
    <t>Normal Distribution</t>
  </si>
  <si>
    <t xml:space="preserve">To achieve the stated "Level of Confidence" for an assumed "Normal" distribution, the calculated k-factor = </t>
  </si>
  <si>
    <t>Uncertainty Contributors</t>
  </si>
  <si>
    <t>ANALYSIS DETAILS</t>
  </si>
  <si>
    <t>Rev. Date: 11-Nov-2010</t>
  </si>
  <si>
    <t>1 Std Dev</t>
  </si>
  <si>
    <t>Environment NA</t>
  </si>
  <si>
    <t>The uncertainty due to limited measuring instrument resolution is believed to be 100% contained within a spread equal to the smallest discernable increment value. The plus and minus limts are given to equal the half-width of the spread, L=R/2. U=L/root3</t>
  </si>
  <si>
    <t>Part of UncertaintyToolbox™ Series 3</t>
  </si>
  <si>
    <t>_A</t>
  </si>
  <si>
    <t>"Type A" Data Method Uncertainty Estimator</t>
  </si>
  <si>
    <t>B3:E3</t>
  </si>
  <si>
    <t>0.00000</t>
  </si>
  <si>
    <t>B4:E4</t>
  </si>
  <si>
    <t>Applied Formula</t>
  </si>
  <si>
    <t>Notes:</t>
  </si>
  <si>
    <t>ENTER the
Nominal Value</t>
  </si>
  <si>
    <t>Entered Values Are:</t>
  </si>
  <si>
    <t>ENTER the
Measurement Units</t>
  </si>
  <si>
    <t>Solution for STDEV Error</t>
  </si>
  <si>
    <t>Sequence of Measures</t>
  </si>
  <si>
    <t>Operator(s)</t>
  </si>
  <si>
    <t>Dev. From Nominal</t>
  </si>
  <si>
    <t>Measured Values</t>
  </si>
  <si>
    <t>Dev. From (Mean + 1)</t>
  </si>
  <si>
    <t>Measurement 1</t>
  </si>
  <si>
    <t>Number of Bins</t>
  </si>
  <si>
    <t>Measurement 2</t>
  </si>
  <si>
    <t>Bin Range = 2 to 7</t>
  </si>
  <si>
    <t>Measurement 3</t>
  </si>
  <si>
    <t>Measurement 4</t>
  </si>
  <si>
    <t>Measurement 5</t>
  </si>
  <si>
    <t>Guidance:</t>
  </si>
  <si>
    <t>Measurement 6</t>
  </si>
  <si>
    <t>This calculator is a quick tool for use with up to 30 samples.  For larger sample sizes use a custom sheet.</t>
  </si>
  <si>
    <t>Measurement 7</t>
  </si>
  <si>
    <t>Measurement 8</t>
  </si>
  <si>
    <t>Measurement 9</t>
  </si>
  <si>
    <t xml:space="preserve">USING OUTSIDE CALCULATIONS: If you have larger sample sets, you should calculate the standard deviation and, if a mean result is provided according to the process being analyzed, divide the Std Dev by the square root of the number of samples used to compute the mean. </t>
  </si>
  <si>
    <t>Measurement 10</t>
  </si>
  <si>
    <t>Measurement 11</t>
  </si>
  <si>
    <t>Measurement 12</t>
  </si>
  <si>
    <t>Measurement 13</t>
  </si>
  <si>
    <t>Measurement 14</t>
  </si>
  <si>
    <t>Measurement 15</t>
  </si>
  <si>
    <t>Then enter or link your result into the Budget and select "StdDev" as the "Distribution". Enter the sample size minus one as the "Degrees of Freedom". This applies to both Std Dev or Std Error of the Mean.</t>
  </si>
  <si>
    <t>Measurement 16</t>
  </si>
  <si>
    <t>Measurement 17</t>
  </si>
  <si>
    <t>Measurement 18</t>
  </si>
  <si>
    <t>Measurement 19</t>
  </si>
  <si>
    <t>Measurement 20</t>
  </si>
  <si>
    <t>For additional guidance, see the User Manual.</t>
  </si>
  <si>
    <t>Measurement 21</t>
  </si>
  <si>
    <t>Measurement 22</t>
  </si>
  <si>
    <t>Measurement 23</t>
  </si>
  <si>
    <t>Measurement 24</t>
  </si>
  <si>
    <t>Estimate Quality Evaluator</t>
  </si>
  <si>
    <t>Results</t>
  </si>
  <si>
    <t>Measurement 25</t>
  </si>
  <si>
    <r>
      <t xml:space="preserve">Std Unc of Std Dev to </t>
    </r>
    <r>
      <rPr>
        <sz val="10"/>
        <rFont val="Arial Unicode MS"/>
        <family val="2"/>
        <charset val="128"/>
      </rPr>
      <t>σ</t>
    </r>
  </si>
  <si>
    <t>Measurement 26</t>
  </si>
  <si>
    <t>Method Average Bias to σ</t>
  </si>
  <si>
    <t>Measurement 27</t>
  </si>
  <si>
    <t>Based on "Std Dev Method Eval" paper</t>
  </si>
  <si>
    <t>Measurement 28</t>
  </si>
  <si>
    <t>by James D Jenkins of Quametec™</t>
  </si>
  <si>
    <t>Measurement 29</t>
  </si>
  <si>
    <t>Use as a Relative Quality Indicator</t>
  </si>
  <si>
    <t>Measurement 30</t>
  </si>
  <si>
    <t>of Estimated σ (sigma)</t>
  </si>
  <si>
    <t>Rev. Date: 26-May-2010</t>
  </si>
  <si>
    <t>Standard Deviation (std uncertainty) =</t>
  </si>
  <si>
    <t>Degrees of Freedom:</t>
  </si>
  <si>
    <t>Bin Number</t>
  </si>
  <si>
    <t>Reported Value = Mean of n Samples; n =</t>
  </si>
  <si>
    <t>Standard Error of the Mean equals:</t>
  </si>
  <si>
    <t>Mean Values Col D</t>
  </si>
  <si>
    <t>Spread of Values:</t>
  </si>
  <si>
    <t>Mean Value:</t>
  </si>
  <si>
    <t>Mean Values Col E</t>
  </si>
  <si>
    <t>Utilized Formula for the "Standard Error of the Mean", also known as the "Sampling Distribution".</t>
  </si>
  <si>
    <t>Expanded Uncertainty of Repeatability</t>
  </si>
  <si>
    <t>Expand to Level of Confidence</t>
  </si>
  <si>
    <t>Calculated k-factor (t-dist)</t>
  </si>
  <si>
    <t>Expanded Limits equal +/-</t>
  </si>
  <si>
    <t>Using Standard Error</t>
  </si>
  <si>
    <t>Using Std Error of Mean</t>
  </si>
  <si>
    <t>This is a side calculator that uses the t-distribution and degrees of freedom to determine containment limits at a given level of confidence. Not needed for general uncertainty estimation as the standard deviation should be used.</t>
  </si>
  <si>
    <t>Use this calculator to qualify new operators. Example: Set Level of Confidence to 50%. Have new operator perform 20 to 30 readings. At least 50% of readings should be within given limits to the mean.</t>
  </si>
  <si>
    <t>0</t>
  </si>
  <si>
    <t>0.0</t>
  </si>
  <si>
    <t>0.00</t>
  </si>
  <si>
    <t>0.000</t>
  </si>
  <si>
    <t>0.0000</t>
  </si>
  <si>
    <t>0.000000</t>
  </si>
  <si>
    <t>0.0000000</t>
  </si>
  <si>
    <t>Histogram Bin Calculations</t>
  </si>
  <si>
    <t>0.00000000</t>
  </si>
  <si>
    <t>Estimate of Sigma Quality AVG(Bias and Deviation)</t>
  </si>
  <si>
    <t>Minimum Value</t>
  </si>
  <si>
    <t>Sample Size</t>
  </si>
  <si>
    <t>Std Unc of Std Unc</t>
  </si>
  <si>
    <t>% of Sigma Mean Bias</t>
  </si>
  <si>
    <t>Maximum Value</t>
  </si>
  <si>
    <t>NA</t>
  </si>
  <si>
    <t>Number of Points</t>
  </si>
  <si>
    <t>Bins</t>
  </si>
  <si>
    <t>Count</t>
  </si>
  <si>
    <t>Scaled</t>
  </si>
  <si>
    <t>micro-6</t>
  </si>
  <si>
    <t>Single Budget</t>
  </si>
  <si>
    <t>Measurement of Uncertainty Budget of</t>
  </si>
  <si>
    <r>
      <t>A.</t>
    </r>
    <r>
      <rPr>
        <b/>
        <sz val="7"/>
        <color theme="1"/>
        <rFont val="Times New Roman"/>
        <family val="1"/>
      </rPr>
      <t xml:space="preserve">    </t>
    </r>
    <r>
      <rPr>
        <b/>
        <sz val="12"/>
        <color theme="1"/>
        <rFont val="Times New Roman"/>
        <family val="1"/>
      </rPr>
      <t>Introduction</t>
    </r>
  </si>
  <si>
    <r>
      <t>B.</t>
    </r>
    <r>
      <rPr>
        <b/>
        <sz val="7"/>
        <color theme="1"/>
        <rFont val="Times New Roman"/>
        <family val="1"/>
      </rPr>
      <t xml:space="preserve">     </t>
    </r>
    <r>
      <rPr>
        <b/>
        <sz val="12"/>
        <color theme="1"/>
        <rFont val="Times New Roman"/>
        <family val="1"/>
      </rPr>
      <t>Procedures for Type A Data Gathering</t>
    </r>
  </si>
  <si>
    <r>
      <t>C.</t>
    </r>
    <r>
      <rPr>
        <b/>
        <sz val="7"/>
        <color theme="1"/>
        <rFont val="Times New Roman"/>
        <family val="1"/>
      </rPr>
      <t xml:space="preserve">    </t>
    </r>
    <r>
      <rPr>
        <b/>
        <sz val="12"/>
        <color theme="1"/>
        <rFont val="Times New Roman"/>
        <family val="1"/>
      </rPr>
      <t>Equipment for Type A Data Gathering</t>
    </r>
  </si>
  <si>
    <t>Equipment No</t>
  </si>
  <si>
    <t>Description</t>
  </si>
  <si>
    <t>Cal Date</t>
  </si>
  <si>
    <t>Next Cal Date</t>
  </si>
  <si>
    <t>Temperature &amp; Humidity Recorder</t>
  </si>
  <si>
    <t>OS003</t>
  </si>
  <si>
    <t>Oscilloscope</t>
  </si>
  <si>
    <r>
      <t>D.</t>
    </r>
    <r>
      <rPr>
        <b/>
        <sz val="7"/>
        <color theme="1"/>
        <rFont val="Times New Roman"/>
        <family val="1"/>
      </rPr>
      <t xml:space="preserve">    </t>
    </r>
    <r>
      <rPr>
        <b/>
        <sz val="12"/>
        <color theme="1"/>
        <rFont val="Times New Roman"/>
        <family val="1"/>
      </rPr>
      <t>Uncertainty Estimation Results</t>
    </r>
  </si>
  <si>
    <t>See below reports for details of Estimation of Measurement Uncertainty.</t>
  </si>
  <si>
    <t>Test Date</t>
  </si>
  <si>
    <t>Average</t>
  </si>
  <si>
    <t>STDEV</t>
  </si>
  <si>
    <t>Repeatability</t>
  </si>
  <si>
    <t>Reproducibility</t>
  </si>
  <si>
    <t>repeat_A</t>
  </si>
  <si>
    <t>repro_A</t>
  </si>
  <si>
    <t>Test_Raw_Data</t>
  </si>
  <si>
    <t>Method</t>
  </si>
  <si>
    <t>Inherited Unc of Oscilloscope</t>
  </si>
  <si>
    <t>Oscilloscope LTS</t>
  </si>
  <si>
    <t>Resolution of Oscilloscope</t>
  </si>
  <si>
    <t>Daniel Wong</t>
  </si>
  <si>
    <t>Oscilloscope (OS003) &amp; Voltage Probe (OP001)</t>
  </si>
  <si>
    <t>Vpk</t>
  </si>
  <si>
    <t>UOM of Measurement of Transient Levels</t>
  </si>
  <si>
    <t>Billy Li</t>
  </si>
  <si>
    <t>Luk Chi Sang</t>
  </si>
  <si>
    <t>Lau Wan Fung</t>
  </si>
  <si>
    <t>Vpk_Summary</t>
  </si>
  <si>
    <t>Vpk_Budget</t>
  </si>
  <si>
    <t>The Manufacturers' Specifications are being used as the limits for Instrument "Long Term Stability" uncertainty with respect to time since compared to calibration reference value. According to manual, the manufacturer spec is +/- 0.5% of the reading.</t>
  </si>
  <si>
    <t>MEASUREMENT OF TRANSIENT LEVELS</t>
  </si>
  <si>
    <t>In this study, the measurement uncertainty of MEASUREMENT OF TRANSIENT LEVELS per IEC 60950 clause no 2.10.3.9 will be investigated.</t>
  </si>
  <si>
    <t>OP001</t>
  </si>
  <si>
    <t>Voltage Probe</t>
  </si>
  <si>
    <t>SVT002</t>
  </si>
  <si>
    <t>Surge Voltage Tester</t>
  </si>
  <si>
    <t>Estimation of Measurement Uncertainty of MEASUREMENT OF TRANSIENT LEVELS</t>
  </si>
  <si>
    <t>Technician</t>
  </si>
  <si>
    <t>This is the uncertainty of measurements used to establish traceability of measurement to National,  International, or consensus Standards. Basically this is the calibration measurement uncertainty. Refer to Calibration Certificate 2HB12000084-0008 by Ceprei</t>
  </si>
  <si>
    <t>This is the uncertainty of measurements used to establish traceability of measurement to National,  International, or consensus Standards. Basically this is the calibration measurement uncertainty. Refer to Calibration Certificate 2HB12000974-0002A by Ceprei</t>
  </si>
  <si>
    <t>UOM-034</t>
  </si>
  <si>
    <t>THR047</t>
  </si>
  <si>
    <r>
      <t xml:space="preserve">2) Setting 6 Impules of  1.2/50us, with 2500Vpk and intervals of 1 second in the </t>
    </r>
    <r>
      <rPr>
        <b/>
        <sz val="10"/>
        <color theme="1"/>
        <rFont val="Courier New"/>
        <family val="3"/>
      </rPr>
      <t>Surge Voltage Tester</t>
    </r>
    <r>
      <rPr>
        <sz val="10"/>
        <color theme="1"/>
        <rFont val="Courier New"/>
        <family val="3"/>
      </rPr>
      <t xml:space="preserve"> (</t>
    </r>
    <r>
      <rPr>
        <b/>
        <sz val="10"/>
        <color rgb="FFFF0000"/>
        <rFont val="Courier New"/>
        <family val="3"/>
      </rPr>
      <t>SVT002</t>
    </r>
    <r>
      <rPr>
        <sz val="10"/>
        <color theme="1"/>
        <rFont val="Courier New"/>
        <family val="3"/>
      </rPr>
      <t>)</t>
    </r>
  </si>
  <si>
    <r>
      <t xml:space="preserve">1) Measure the temperature, humidity of the testing room by </t>
    </r>
    <r>
      <rPr>
        <b/>
        <sz val="10"/>
        <color theme="1"/>
        <rFont val="Courier New"/>
        <family val="3"/>
      </rPr>
      <t>Temperature and Humidity Recorder</t>
    </r>
    <r>
      <rPr>
        <sz val="10"/>
        <color theme="1"/>
        <rFont val="Courier New"/>
        <family val="3"/>
      </rPr>
      <t xml:space="preserve"> (</t>
    </r>
    <r>
      <rPr>
        <b/>
        <sz val="10"/>
        <color rgb="FFFF0000"/>
        <rFont val="Courier New"/>
        <family val="3"/>
      </rPr>
      <t>THR047</t>
    </r>
    <r>
      <rPr>
        <sz val="10"/>
        <color theme="1"/>
        <rFont val="Courier New"/>
        <family val="3"/>
      </rPr>
      <t>)</t>
    </r>
  </si>
  <si>
    <t>UOM-34</t>
  </si>
  <si>
    <t>Measurement of Transient Levels.xlsm</t>
  </si>
  <si>
    <t>Measurements performed within an allowable environment. No additional uncertainty. From temp &amp; humidity recorder (THR047), the temp and RH on office hour of Mar 09, 2012 was as below:
Temp: 22.67 to 25.0 deg C
RH: 55.5 - 62.0 %RH
The ambient condition is within the allowable range of the MTE</t>
  </si>
  <si>
    <t>R. A. Florczyk</t>
  </si>
  <si>
    <t>See attached Type A data worksheet for reproducibility experiment results. (repro_A worksheet)  "The data is the average of 10 data points for each of the staff.  The mean value was used as the Nominal value."</t>
  </si>
  <si>
    <t>See attached Type A data worksheet for repeatability experiment results. (repeat_A worksheet), data set per person with the largest standard deviation was used to calculate the repeatability.  " The data used is from the staff whose data has the highest standard deviation.  The mean value was used as the Nominal value."</t>
  </si>
  <si>
    <t>Surge Voltage Tester NA</t>
  </si>
  <si>
    <t>This estimate of uncertainty is applicable to estimation of uncertainty of measurement for Measurement of Transient Levels using Tektronix TDS3052 CRO and Tektronix Probe P6139A_x000D_
Amb Temp: 22.67 - 25 deg C_x000D_
Relative Humidity: 55.5 - 62 %RH</t>
  </si>
  <si>
    <t>Voltage Probe LTS</t>
  </si>
  <si>
    <t>Inherited Unc of Voltage Probe</t>
  </si>
  <si>
    <t>The Manufacturers' Specifications are being used as the limits for Instrument "Long Term Stability" uncertainty with respect to time since compared to calibration reference value. According to manual, the manufacturer spec is +/- 2% of the reading + 0.25 div + 0.6mV.</t>
  </si>
  <si>
    <r>
      <t xml:space="preserve">3) Check the Output of </t>
    </r>
    <r>
      <rPr>
        <b/>
        <sz val="10"/>
        <color theme="1"/>
        <rFont val="Courier New"/>
        <family val="3"/>
      </rPr>
      <t>Surge Voltage Tester</t>
    </r>
    <r>
      <rPr>
        <sz val="10"/>
        <color theme="1"/>
        <rFont val="Courier New"/>
        <family val="3"/>
      </rPr>
      <t xml:space="preserve"> (</t>
    </r>
    <r>
      <rPr>
        <b/>
        <sz val="10"/>
        <color rgb="FFFF0000"/>
        <rFont val="Courier New"/>
        <family val="3"/>
      </rPr>
      <t>SVT002</t>
    </r>
    <r>
      <rPr>
        <sz val="10"/>
        <color theme="1"/>
        <rFont val="Courier New"/>
        <family val="3"/>
      </rPr>
      <t xml:space="preserve">) by </t>
    </r>
    <r>
      <rPr>
        <b/>
        <sz val="10"/>
        <color theme="1"/>
        <rFont val="Courier New"/>
        <family val="3"/>
      </rPr>
      <t>CRO</t>
    </r>
    <r>
      <rPr>
        <sz val="10"/>
        <color theme="1"/>
        <rFont val="Courier New"/>
        <family val="3"/>
      </rPr>
      <t xml:space="preserve"> (</t>
    </r>
    <r>
      <rPr>
        <b/>
        <sz val="10"/>
        <color rgb="FFFF0000"/>
        <rFont val="Courier New"/>
        <family val="3"/>
      </rPr>
      <t>OS003</t>
    </r>
    <r>
      <rPr>
        <sz val="10"/>
        <color theme="1"/>
        <rFont val="Courier New"/>
        <family val="3"/>
      </rPr>
      <t>)</t>
    </r>
  </si>
  <si>
    <r>
      <t>4)</t>
    </r>
    <r>
      <rPr>
        <b/>
        <sz val="10"/>
        <color theme="1"/>
        <rFont val="Courier New"/>
        <family val="3"/>
      </rPr>
      <t xml:space="preserve"> </t>
    </r>
    <r>
      <rPr>
        <sz val="10"/>
        <color theme="1"/>
        <rFont val="Courier New"/>
        <family val="3"/>
      </rPr>
      <t>Connect the input of the sample to the</t>
    </r>
    <r>
      <rPr>
        <b/>
        <sz val="10"/>
        <color theme="1"/>
        <rFont val="Courier New"/>
        <family val="3"/>
      </rPr>
      <t xml:space="preserve"> Surge Voltage Tester (</t>
    </r>
    <r>
      <rPr>
        <b/>
        <sz val="10"/>
        <color rgb="FFFF0000"/>
        <rFont val="Courier New"/>
        <family val="3"/>
      </rPr>
      <t>SVT002</t>
    </r>
    <r>
      <rPr>
        <b/>
        <sz val="10"/>
        <color theme="1"/>
        <rFont val="Courier New"/>
        <family val="3"/>
      </rPr>
      <t>)</t>
    </r>
  </si>
  <si>
    <r>
      <t>5)</t>
    </r>
    <r>
      <rPr>
        <b/>
        <sz val="10"/>
        <color theme="1"/>
        <rFont val="Courier New"/>
        <family val="3"/>
      </rPr>
      <t xml:space="preserve"> Voltage Probe</t>
    </r>
    <r>
      <rPr>
        <sz val="10"/>
        <color theme="1"/>
        <rFont val="Courier New"/>
        <family val="3"/>
      </rPr>
      <t xml:space="preserve"> (</t>
    </r>
    <r>
      <rPr>
        <b/>
        <sz val="10"/>
        <color rgb="FFFF0000"/>
        <rFont val="Courier New"/>
        <family val="3"/>
      </rPr>
      <t>OP001</t>
    </r>
    <r>
      <rPr>
        <sz val="10"/>
        <color theme="1"/>
        <rFont val="Courier New"/>
        <family val="3"/>
      </rPr>
      <t xml:space="preserve">) is connected to </t>
    </r>
    <r>
      <rPr>
        <b/>
        <sz val="10"/>
        <color theme="1"/>
        <rFont val="Courier New"/>
        <family val="3"/>
      </rPr>
      <t>CRO</t>
    </r>
    <r>
      <rPr>
        <sz val="10"/>
        <color theme="1"/>
        <rFont val="Courier New"/>
        <family val="3"/>
      </rPr>
      <t xml:space="preserve"> (</t>
    </r>
    <r>
      <rPr>
        <b/>
        <sz val="10"/>
        <color rgb="FFFF0000"/>
        <rFont val="Courier New"/>
        <family val="3"/>
      </rPr>
      <t>OS003</t>
    </r>
    <r>
      <rPr>
        <sz val="10"/>
        <color theme="1"/>
        <rFont val="Courier New"/>
        <family val="3"/>
      </rPr>
      <t>) to measure the relative test point where shown in datasheet</t>
    </r>
  </si>
  <si>
    <r>
      <t xml:space="preserve">6) Apply the Impulses and Record the voltage Vpk of the relative test point from </t>
    </r>
    <r>
      <rPr>
        <b/>
        <sz val="10"/>
        <color theme="1"/>
        <rFont val="Courier New"/>
        <family val="3"/>
      </rPr>
      <t>CRO</t>
    </r>
    <r>
      <rPr>
        <sz val="10"/>
        <color theme="1"/>
        <rFont val="Courier New"/>
        <family val="3"/>
      </rPr>
      <t xml:space="preserve"> (</t>
    </r>
    <r>
      <rPr>
        <b/>
        <sz val="10"/>
        <color rgb="FFFF0000"/>
        <rFont val="Courier New"/>
        <family val="3"/>
      </rPr>
      <t>OS003</t>
    </r>
    <r>
      <rPr>
        <sz val="10"/>
        <color theme="1"/>
        <rFont val="Courier New"/>
        <family val="3"/>
      </rPr>
      <t>)</t>
    </r>
  </si>
  <si>
    <t>7) The highest measured voltage Vpk in the 6 impulses is adopted</t>
  </si>
  <si>
    <t>8) Disconnect all equipments, then repeat Procedures 4-6 for 9 more times</t>
  </si>
  <si>
    <t>9) Repeat Procedures 1-8 by another 2 technicians</t>
  </si>
  <si>
    <t>The uncertainty due to the Surge Voltage Tester is not included in the calculations because its contribution is dependent on the unit under 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</si>
</sst>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0"/>
    <numFmt numFmtId="165" formatCode="[$-409]d\-mmm\-yy;@"/>
    <numFmt numFmtId="166" formatCode="0.0000E+00"/>
    <numFmt numFmtId="167" formatCode="0.0E+00"/>
    <numFmt numFmtId="168" formatCode="0.0"/>
    <numFmt numFmtId="169" formatCode="0.000E+00"/>
    <numFmt numFmtId="170" formatCode="0.0%"/>
    <numFmt numFmtId="171" formatCode="0.0000"/>
  </numFmts>
  <fonts count="63" x14ac:knownFonts="1">
    <font>
      <sz val="11"/>
      <color theme="1"/>
      <name val="Calibri"/>
      <family val="2"/>
      <scheme val="minor"/>
    </font>
    <font>
      <sz val="11"/>
      <color theme="1"/>
      <name val="Calibri"/>
      <family val="2"/>
      <scheme val="minor"/>
    </font>
    <font>
      <sz val="10"/>
      <name val="Arial"/>
      <family val="2"/>
    </font>
    <font>
      <sz val="10"/>
      <color theme="0"/>
      <name val="Arial"/>
      <family val="2"/>
    </font>
    <font>
      <b/>
      <u/>
      <sz val="14"/>
      <name val="Arial"/>
      <family val="2"/>
    </font>
    <font>
      <u/>
      <sz val="10"/>
      <name val="Arial"/>
      <family val="2"/>
    </font>
    <font>
      <sz val="10"/>
      <color rgb="FFFFFF00"/>
      <name val="Arial"/>
      <family val="2"/>
    </font>
    <font>
      <sz val="12"/>
      <name val="Arial"/>
      <family val="2"/>
    </font>
    <font>
      <sz val="14"/>
      <name val="Arial"/>
      <family val="2"/>
    </font>
    <font>
      <b/>
      <sz val="10"/>
      <color theme="0"/>
      <name val="Arial"/>
      <family val="2"/>
    </font>
    <font>
      <b/>
      <sz val="9"/>
      <name val="Arial"/>
      <family val="2"/>
    </font>
    <font>
      <sz val="9"/>
      <name val="Arial"/>
      <family val="2"/>
    </font>
    <font>
      <b/>
      <sz val="10"/>
      <name val="Arial"/>
      <family val="2"/>
    </font>
    <font>
      <sz val="11"/>
      <color theme="0"/>
      <name val="Arial"/>
      <family val="2"/>
    </font>
    <font>
      <sz val="8"/>
      <name val="Arial"/>
      <family val="2"/>
    </font>
    <font>
      <b/>
      <u/>
      <sz val="12"/>
      <name val="Arial"/>
      <family val="2"/>
    </font>
    <font>
      <sz val="6"/>
      <name val="Arial"/>
      <family val="2"/>
    </font>
    <font>
      <b/>
      <sz val="8"/>
      <color indexed="81"/>
      <name val="Tahoma"/>
      <family val="2"/>
    </font>
    <font>
      <sz val="8"/>
      <color indexed="81"/>
      <name val="Tahoma"/>
      <family val="2"/>
    </font>
    <font>
      <sz val="9"/>
      <color indexed="81"/>
      <name val="Tahoma"/>
      <family val="2"/>
    </font>
    <font>
      <sz val="12"/>
      <color indexed="45"/>
      <name val="Arial"/>
      <family val="2"/>
    </font>
    <font>
      <b/>
      <sz val="20"/>
      <name val="Arial"/>
      <family val="2"/>
    </font>
    <font>
      <b/>
      <sz val="14"/>
      <name val="Arial"/>
      <family val="2"/>
    </font>
    <font>
      <b/>
      <i/>
      <sz val="12"/>
      <name val="Arial"/>
      <family val="2"/>
    </font>
    <font>
      <b/>
      <sz val="12"/>
      <name val="Arial"/>
      <family val="2"/>
    </font>
    <font>
      <b/>
      <sz val="18"/>
      <name val="Arial"/>
      <family val="2"/>
    </font>
    <font>
      <sz val="18"/>
      <name val="Arial"/>
      <family val="2"/>
    </font>
    <font>
      <sz val="11"/>
      <name val="Arial"/>
      <family val="2"/>
    </font>
    <font>
      <b/>
      <i/>
      <sz val="18"/>
      <name val="Arial"/>
      <family val="2"/>
    </font>
    <font>
      <b/>
      <i/>
      <sz val="10"/>
      <name val="Arial"/>
      <family val="2"/>
    </font>
    <font>
      <b/>
      <i/>
      <sz val="16"/>
      <name val="Arial"/>
      <family val="2"/>
    </font>
    <font>
      <b/>
      <sz val="16"/>
      <name val="Calibri"/>
      <family val="2"/>
    </font>
    <font>
      <b/>
      <i/>
      <sz val="11"/>
      <name val="Arial"/>
      <family val="2"/>
    </font>
    <font>
      <sz val="9"/>
      <color indexed="9"/>
      <name val="Arial"/>
      <family val="2"/>
    </font>
    <font>
      <sz val="11"/>
      <color indexed="8"/>
      <name val="Arial"/>
      <family val="2"/>
    </font>
    <font>
      <b/>
      <sz val="11"/>
      <color indexed="10"/>
      <name val="Arial"/>
      <family val="2"/>
    </font>
    <font>
      <b/>
      <sz val="10"/>
      <color indexed="12"/>
      <name val="Arial"/>
      <family val="2"/>
    </font>
    <font>
      <vertAlign val="superscript"/>
      <sz val="10"/>
      <name val="Arial"/>
      <family val="2"/>
    </font>
    <font>
      <sz val="7.5"/>
      <name val="Arial"/>
      <family val="2"/>
    </font>
    <font>
      <b/>
      <sz val="11"/>
      <name val="Arial"/>
      <family val="2"/>
    </font>
    <font>
      <sz val="10"/>
      <name val="SymbolSH"/>
      <family val="5"/>
    </font>
    <font>
      <b/>
      <sz val="10"/>
      <color indexed="9"/>
      <name val="Arial"/>
      <family val="2"/>
    </font>
    <font>
      <vertAlign val="subscript"/>
      <sz val="12"/>
      <name val="Arial"/>
      <family val="2"/>
    </font>
    <font>
      <sz val="8"/>
      <color indexed="9"/>
      <name val="Arial"/>
      <family val="2"/>
    </font>
    <font>
      <b/>
      <sz val="16"/>
      <name val="Arial"/>
      <family val="2"/>
    </font>
    <font>
      <i/>
      <sz val="10"/>
      <name val="Arial"/>
      <family val="2"/>
    </font>
    <font>
      <sz val="11"/>
      <color indexed="81"/>
      <name val="Tahoma"/>
      <family val="2"/>
    </font>
    <font>
      <b/>
      <sz val="12"/>
      <color indexed="81"/>
      <name val="Tahoma"/>
      <family val="2"/>
    </font>
    <font>
      <sz val="12"/>
      <color indexed="81"/>
      <name val="Tahoma"/>
      <family val="2"/>
    </font>
    <font>
      <sz val="10"/>
      <color indexed="81"/>
      <name val="Tahoma"/>
      <family val="2"/>
    </font>
    <font>
      <sz val="10"/>
      <color indexed="9"/>
      <name val="Arial"/>
      <family val="2"/>
    </font>
    <font>
      <sz val="10"/>
      <name val="Arial Unicode MS"/>
      <family val="2"/>
      <charset val="128"/>
    </font>
    <font>
      <sz val="10"/>
      <color indexed="8"/>
      <name val="Arial"/>
      <family val="2"/>
    </font>
    <font>
      <sz val="8"/>
      <color rgb="FF000000"/>
      <name val="Tahoma"/>
      <family val="2"/>
    </font>
    <font>
      <sz val="12"/>
      <color theme="1"/>
      <name val="Times New Roman"/>
      <family val="1"/>
    </font>
    <font>
      <sz val="11"/>
      <color theme="1"/>
      <name val="Times New Roman"/>
      <family val="1"/>
    </font>
    <font>
      <sz val="10"/>
      <color rgb="FF000000"/>
      <name val="Times New Roman"/>
      <family val="1"/>
    </font>
    <font>
      <b/>
      <sz val="12"/>
      <color theme="1"/>
      <name val="Times New Roman"/>
      <family val="1"/>
    </font>
    <font>
      <b/>
      <sz val="7"/>
      <color theme="1"/>
      <name val="Times New Roman"/>
      <family val="1"/>
    </font>
    <font>
      <sz val="10"/>
      <color theme="1"/>
      <name val="Courier New"/>
      <family val="3"/>
    </font>
    <font>
      <b/>
      <sz val="10"/>
      <color theme="1"/>
      <name val="Courier New"/>
      <family val="3"/>
    </font>
    <font>
      <b/>
      <sz val="10"/>
      <color rgb="FFFF0000"/>
      <name val="Courier New"/>
      <family val="3"/>
    </font>
    <font>
      <u/>
      <sz val="12"/>
      <color theme="1"/>
      <name val="Times New Roman"/>
      <family val="1"/>
    </font>
  </fonts>
  <fills count="35">
    <fill>
      <patternFill patternType="none"/>
    </fill>
    <fill>
      <patternFill patternType="gray125"/>
    </fill>
    <fill>
      <patternFill patternType="solid">
        <fgColor indexed="58"/>
        <bgColor indexed="64"/>
      </patternFill>
    </fill>
    <fill>
      <patternFill patternType="solid">
        <fgColor indexed="21"/>
        <bgColor indexed="64"/>
      </patternFill>
    </fill>
    <fill>
      <patternFill patternType="solid">
        <fgColor indexed="9"/>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rgb="FFFAFBD1"/>
        <bgColor indexed="64"/>
      </patternFill>
    </fill>
    <fill>
      <patternFill patternType="solid">
        <fgColor theme="0"/>
        <bgColor indexed="64"/>
      </patternFill>
    </fill>
    <fill>
      <patternFill patternType="solid">
        <fgColor indexed="61"/>
        <bgColor indexed="64"/>
      </patternFill>
    </fill>
    <fill>
      <patternFill patternType="solid">
        <fgColor indexed="40"/>
        <bgColor indexed="64"/>
      </patternFill>
    </fill>
    <fill>
      <patternFill patternType="solid">
        <fgColor indexed="15"/>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
      <patternFill patternType="solid">
        <fgColor indexed="48"/>
        <bgColor indexed="64"/>
      </patternFill>
    </fill>
    <fill>
      <patternFill patternType="solid">
        <fgColor theme="4" tint="0.59999389629810485"/>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indexed="12"/>
        <bgColor indexed="64"/>
      </patternFill>
    </fill>
    <fill>
      <patternFill patternType="solid">
        <fgColor indexed="46"/>
        <bgColor indexed="64"/>
      </patternFill>
    </fill>
    <fill>
      <patternFill patternType="solid">
        <fgColor indexed="23"/>
        <bgColor indexed="64"/>
      </patternFill>
    </fill>
    <fill>
      <patternFill patternType="solid">
        <fgColor indexed="49"/>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8" tint="0.59996337778862885"/>
        <bgColor indexed="64"/>
      </patternFill>
    </fill>
    <fill>
      <patternFill patternType="solid">
        <fgColor theme="3" tint="0.59996337778862885"/>
        <bgColor indexed="64"/>
      </patternFill>
    </fill>
    <fill>
      <patternFill patternType="solid">
        <fgColor rgb="FFFFC000"/>
        <bgColor indexed="64"/>
      </patternFill>
    </fill>
    <fill>
      <patternFill patternType="solid">
        <fgColor indexed="45"/>
        <bgColor indexed="64"/>
      </patternFill>
    </fill>
    <fill>
      <patternFill patternType="solid">
        <fgColor indexed="62"/>
        <bgColor indexed="64"/>
      </patternFill>
    </fill>
    <fill>
      <patternFill patternType="solid">
        <fgColor indexed="55"/>
        <bgColor indexed="64"/>
      </patternFill>
    </fill>
    <fill>
      <patternFill patternType="solid">
        <fgColor theme="6" tint="0.79998168889431442"/>
        <bgColor indexed="64"/>
      </patternFill>
    </fill>
    <fill>
      <patternFill patternType="solid">
        <fgColor theme="4" tint="0.79998168889431442"/>
        <bgColor indexed="64"/>
      </patternFill>
    </fill>
  </fills>
  <borders count="72">
    <border>
      <left/>
      <right/>
      <top/>
      <bottom/>
      <diagonal/>
    </border>
    <border>
      <left/>
      <right/>
      <top style="medium">
        <color indexed="58"/>
      </top>
      <bottom/>
      <diagonal/>
    </border>
    <border>
      <left/>
      <right/>
      <top/>
      <bottom style="medium">
        <color indexed="58"/>
      </bottom>
      <diagonal/>
    </border>
    <border>
      <left/>
      <right/>
      <top/>
      <bottom style="thin">
        <color indexed="64"/>
      </bottom>
      <diagonal/>
    </border>
    <border>
      <left/>
      <right/>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style="thin">
        <color indexed="64"/>
      </top>
      <bottom/>
      <diagonal/>
    </border>
    <border>
      <left/>
      <right/>
      <top style="hair">
        <color indexed="64"/>
      </top>
      <bottom/>
      <diagonal/>
    </border>
    <border>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cellStyleXfs>
  <cellXfs count="471">
    <xf numFmtId="0" fontId="0" fillId="0" borderId="0" xfId="0"/>
    <xf numFmtId="0" fontId="2" fillId="2" borderId="0" xfId="2" applyFill="1"/>
    <xf numFmtId="0" fontId="3" fillId="2" borderId="0" xfId="2" applyFont="1" applyFill="1"/>
    <xf numFmtId="0" fontId="2" fillId="0" borderId="0" xfId="2"/>
    <xf numFmtId="0" fontId="2" fillId="3" borderId="0" xfId="2" applyFill="1"/>
    <xf numFmtId="0" fontId="2" fillId="4" borderId="0" xfId="2" applyFill="1"/>
    <xf numFmtId="0" fontId="4" fillId="4" borderId="0" xfId="2" applyFont="1" applyFill="1" applyAlignment="1">
      <alignment horizontal="center"/>
    </xf>
    <xf numFmtId="0" fontId="5" fillId="4" borderId="0" xfId="2" applyFont="1" applyFill="1" applyAlignment="1">
      <alignment horizontal="center"/>
    </xf>
    <xf numFmtId="0" fontId="7" fillId="4" borderId="0" xfId="2" applyFont="1" applyFill="1" applyBorder="1" applyAlignment="1"/>
    <xf numFmtId="0" fontId="3" fillId="2" borderId="0" xfId="2" applyFont="1" applyFill="1" applyAlignment="1">
      <alignment horizontal="right"/>
    </xf>
    <xf numFmtId="0" fontId="3" fillId="2" borderId="0" xfId="2" applyFont="1" applyFill="1" applyAlignment="1">
      <alignment horizontal="center"/>
    </xf>
    <xf numFmtId="0" fontId="7" fillId="4" borderId="0" xfId="2" applyFont="1" applyFill="1" applyAlignment="1"/>
    <xf numFmtId="0" fontId="10" fillId="6" borderId="5" xfId="2" applyFont="1" applyFill="1" applyBorder="1" applyAlignment="1">
      <alignment horizontal="left" vertical="center" indent="1"/>
    </xf>
    <xf numFmtId="0" fontId="2" fillId="7" borderId="5" xfId="2" applyNumberFormat="1" applyFont="1" applyFill="1" applyBorder="1" applyAlignment="1" applyProtection="1">
      <alignment horizontal="center" vertical="center"/>
      <protection locked="0"/>
    </xf>
    <xf numFmtId="0" fontId="2" fillId="4" borderId="0" xfId="2" applyFill="1" applyProtection="1"/>
    <xf numFmtId="0" fontId="10" fillId="6" borderId="5" xfId="2" applyFont="1" applyFill="1" applyBorder="1" applyAlignment="1">
      <alignment horizontal="left" indent="1"/>
    </xf>
    <xf numFmtId="164" fontId="2" fillId="7" borderId="5" xfId="2" applyNumberFormat="1" applyFont="1" applyFill="1" applyBorder="1" applyAlignment="1" applyProtection="1">
      <alignment horizontal="center" vertical="center"/>
      <protection locked="0"/>
    </xf>
    <xf numFmtId="0" fontId="2" fillId="4" borderId="4" xfId="2" applyFill="1" applyBorder="1" applyAlignment="1" applyProtection="1">
      <alignment horizontal="left"/>
      <protection locked="0"/>
    </xf>
    <xf numFmtId="0" fontId="2" fillId="4" borderId="0" xfId="2" applyFill="1" applyBorder="1" applyAlignment="1" applyProtection="1">
      <alignment horizontal="center"/>
    </xf>
    <xf numFmtId="22" fontId="2" fillId="4" borderId="0" xfId="2" applyNumberFormat="1" applyFill="1"/>
    <xf numFmtId="165" fontId="2" fillId="4" borderId="4" xfId="2" applyNumberFormat="1" applyFill="1" applyBorder="1" applyAlignment="1" applyProtection="1">
      <alignment horizontal="center"/>
      <protection locked="0"/>
    </xf>
    <xf numFmtId="10" fontId="2" fillId="7" borderId="5" xfId="2" applyNumberFormat="1" applyFill="1" applyBorder="1" applyAlignment="1" applyProtection="1">
      <alignment horizontal="center" vertical="center"/>
      <protection locked="0"/>
    </xf>
    <xf numFmtId="0" fontId="2" fillId="4" borderId="0" xfId="2" applyFill="1" applyBorder="1"/>
    <xf numFmtId="0" fontId="2" fillId="7" borderId="5" xfId="2" applyNumberFormat="1" applyFill="1" applyBorder="1" applyAlignment="1" applyProtection="1">
      <alignment horizontal="center" vertical="center"/>
      <protection locked="0"/>
    </xf>
    <xf numFmtId="165" fontId="2" fillId="4" borderId="4" xfId="2" applyNumberFormat="1" applyFill="1" applyBorder="1" applyAlignment="1" applyProtection="1">
      <alignment horizontal="center"/>
    </xf>
    <xf numFmtId="0" fontId="2" fillId="4" borderId="0" xfId="2" applyFont="1" applyFill="1"/>
    <xf numFmtId="0" fontId="2" fillId="0" borderId="0" xfId="2" applyFill="1"/>
    <xf numFmtId="0" fontId="13" fillId="2" borderId="0" xfId="2" applyFont="1" applyFill="1" applyAlignment="1">
      <alignment horizontal="center" vertical="center"/>
    </xf>
    <xf numFmtId="0" fontId="12" fillId="4" borderId="0" xfId="2" applyFont="1" applyFill="1" applyAlignment="1">
      <alignment vertical="center"/>
    </xf>
    <xf numFmtId="0" fontId="2" fillId="8" borderId="5" xfId="2" applyNumberFormat="1" applyFill="1" applyBorder="1" applyAlignment="1" applyProtection="1">
      <alignment horizontal="center" vertical="center"/>
      <protection locked="0"/>
    </xf>
    <xf numFmtId="0" fontId="2" fillId="4" borderId="0" xfId="2" applyFill="1" applyBorder="1" applyAlignment="1">
      <alignment horizontal="center"/>
    </xf>
    <xf numFmtId="0" fontId="2" fillId="4" borderId="0" xfId="2" applyFont="1" applyFill="1" applyBorder="1" applyAlignment="1" applyProtection="1">
      <alignment horizontal="left"/>
    </xf>
    <xf numFmtId="0" fontId="2" fillId="4" borderId="0" xfId="2" applyFill="1" applyBorder="1" applyAlignment="1" applyProtection="1">
      <alignment horizontal="left"/>
    </xf>
    <xf numFmtId="9" fontId="11" fillId="4" borderId="3" xfId="2" applyNumberFormat="1" applyFont="1" applyFill="1" applyBorder="1" applyAlignment="1" applyProtection="1">
      <alignment horizontal="center"/>
      <protection locked="0"/>
    </xf>
    <xf numFmtId="0" fontId="14" fillId="4" borderId="0" xfId="2" applyFont="1" applyFill="1" applyBorder="1" applyAlignment="1"/>
    <xf numFmtId="2" fontId="12" fillId="4" borderId="9" xfId="2" applyNumberFormat="1" applyFont="1" applyFill="1" applyBorder="1" applyAlignment="1" applyProtection="1">
      <alignment horizontal="center" vertical="center"/>
      <protection locked="0"/>
    </xf>
    <xf numFmtId="0" fontId="2" fillId="0" borderId="0" xfId="2" applyAlignment="1">
      <alignment horizontal="center"/>
    </xf>
    <xf numFmtId="0" fontId="2" fillId="0" borderId="0" xfId="2" applyProtection="1"/>
    <xf numFmtId="0" fontId="2" fillId="8" borderId="0" xfId="2" applyFill="1"/>
    <xf numFmtId="0" fontId="12" fillId="8" borderId="0" xfId="2" applyFont="1" applyFill="1"/>
    <xf numFmtId="0" fontId="22" fillId="8" borderId="0" xfId="2" applyFont="1" applyFill="1"/>
    <xf numFmtId="0" fontId="23" fillId="8" borderId="0" xfId="2" applyFont="1" applyFill="1"/>
    <xf numFmtId="0" fontId="12" fillId="0" borderId="0" xfId="2" applyFont="1" applyAlignment="1">
      <alignment horizontal="center"/>
    </xf>
    <xf numFmtId="0" fontId="27" fillId="4" borderId="11" xfId="2" applyNumberFormat="1" applyFont="1" applyFill="1" applyBorder="1" applyAlignment="1" applyProtection="1">
      <protection locked="0"/>
    </xf>
    <xf numFmtId="0" fontId="27" fillId="4" borderId="12" xfId="2" applyFont="1" applyFill="1" applyBorder="1" applyAlignment="1" applyProtection="1">
      <protection locked="0"/>
    </xf>
    <xf numFmtId="0" fontId="7" fillId="11" borderId="10" xfId="2" applyFont="1" applyFill="1" applyBorder="1" applyAlignment="1">
      <alignment horizontal="center" vertical="center" wrapText="1"/>
    </xf>
    <xf numFmtId="164" fontId="24" fillId="11" borderId="11" xfId="2" applyNumberFormat="1" applyFont="1" applyFill="1" applyBorder="1" applyAlignment="1" applyProtection="1">
      <alignment horizontal="center" vertical="center"/>
    </xf>
    <xf numFmtId="0" fontId="11" fillId="12" borderId="11" xfId="2" applyNumberFormat="1" applyFont="1" applyFill="1" applyBorder="1" applyAlignment="1" applyProtection="1">
      <alignment horizontal="center" vertical="center" wrapText="1"/>
    </xf>
    <xf numFmtId="166" fontId="22" fillId="13" borderId="11" xfId="2" applyNumberFormat="1" applyFont="1" applyFill="1" applyBorder="1" applyAlignment="1" applyProtection="1">
      <alignment horizontal="center" vertical="center"/>
    </xf>
    <xf numFmtId="0" fontId="24" fillId="4" borderId="16" xfId="2" applyFont="1" applyFill="1" applyBorder="1" applyAlignment="1" applyProtection="1">
      <alignment horizontal="right"/>
    </xf>
    <xf numFmtId="0" fontId="24" fillId="4" borderId="0" xfId="2" applyFont="1" applyFill="1" applyBorder="1" applyAlignment="1" applyProtection="1">
      <alignment horizontal="right"/>
    </xf>
    <xf numFmtId="49" fontId="2" fillId="0" borderId="0" xfId="2" applyNumberFormat="1"/>
    <xf numFmtId="0" fontId="12" fillId="14" borderId="17" xfId="2" applyFont="1" applyFill="1" applyBorder="1" applyAlignment="1">
      <alignment vertical="center"/>
    </xf>
    <xf numFmtId="0" fontId="29" fillId="14" borderId="17" xfId="2" applyFont="1" applyFill="1" applyBorder="1" applyAlignment="1">
      <alignment vertical="center"/>
    </xf>
    <xf numFmtId="0" fontId="2" fillId="14" borderId="0" xfId="2" applyFill="1" applyAlignment="1">
      <alignment vertical="center"/>
    </xf>
    <xf numFmtId="0" fontId="14" fillId="10" borderId="20" xfId="2" applyFont="1" applyFill="1" applyBorder="1" applyAlignment="1">
      <alignment horizontal="left" vertical="center" textRotation="90" wrapText="1"/>
    </xf>
    <xf numFmtId="0" fontId="11" fillId="10" borderId="21" xfId="2" applyFont="1" applyFill="1" applyBorder="1" applyAlignment="1">
      <alignment horizontal="center" vertical="center" wrapText="1"/>
    </xf>
    <xf numFmtId="0" fontId="33" fillId="15" borderId="20" xfId="2" applyFont="1" applyFill="1" applyBorder="1" applyAlignment="1">
      <alignment horizontal="center" vertical="center" wrapText="1"/>
    </xf>
    <xf numFmtId="0" fontId="33" fillId="15" borderId="21" xfId="2" applyFont="1" applyFill="1" applyBorder="1" applyAlignment="1">
      <alignment horizontal="center" vertical="center" wrapText="1"/>
    </xf>
    <xf numFmtId="0" fontId="33" fillId="15" borderId="26" xfId="2" applyFont="1" applyFill="1" applyBorder="1" applyAlignment="1">
      <alignment horizontal="center" vertical="center" wrapText="1"/>
    </xf>
    <xf numFmtId="0" fontId="33" fillId="0" borderId="0" xfId="2" applyFont="1" applyFill="1" applyBorder="1" applyAlignment="1">
      <alignment horizontal="center" vertical="center"/>
    </xf>
    <xf numFmtId="0" fontId="33" fillId="15" borderId="25" xfId="2" applyFont="1" applyFill="1" applyBorder="1" applyAlignment="1">
      <alignment horizontal="center" vertical="center" wrapText="1"/>
    </xf>
    <xf numFmtId="0" fontId="14" fillId="0" borderId="0" xfId="2" applyFont="1" applyAlignment="1">
      <alignment horizontal="left"/>
    </xf>
    <xf numFmtId="0" fontId="14" fillId="0" borderId="0" xfId="2" applyFont="1"/>
    <xf numFmtId="0" fontId="14" fillId="8" borderId="0" xfId="2" applyFont="1" applyFill="1"/>
    <xf numFmtId="0" fontId="14" fillId="16" borderId="16" xfId="2" applyFont="1" applyFill="1" applyBorder="1" applyAlignment="1">
      <alignment horizontal="center" wrapText="1"/>
    </xf>
    <xf numFmtId="0" fontId="14" fillId="16" borderId="0" xfId="2" applyFont="1" applyFill="1" applyBorder="1" applyAlignment="1">
      <alignment horizontal="center" wrapText="1"/>
    </xf>
    <xf numFmtId="0" fontId="14" fillId="16" borderId="27" xfId="2" applyFont="1" applyFill="1" applyBorder="1" applyAlignment="1">
      <alignment horizontal="center" wrapText="1"/>
    </xf>
    <xf numFmtId="0" fontId="14" fillId="16" borderId="28" xfId="2" applyFont="1" applyFill="1" applyBorder="1" applyAlignment="1">
      <alignment horizontal="center" wrapText="1"/>
    </xf>
    <xf numFmtId="0" fontId="14" fillId="16" borderId="29" xfId="2" applyFont="1" applyFill="1" applyBorder="1" applyAlignment="1">
      <alignment horizontal="center" wrapText="1"/>
    </xf>
    <xf numFmtId="0" fontId="27" fillId="0" borderId="5" xfId="2" applyNumberFormat="1" applyFont="1" applyBorder="1" applyAlignment="1" applyProtection="1">
      <alignment horizontal="center"/>
      <protection locked="0"/>
    </xf>
    <xf numFmtId="0" fontId="27" fillId="0" borderId="5" xfId="2" applyNumberFormat="1" applyFont="1" applyBorder="1" applyAlignment="1" applyProtection="1">
      <alignment horizontal="left"/>
      <protection locked="0"/>
    </xf>
    <xf numFmtId="10" fontId="27" fillId="0" borderId="5" xfId="5" applyNumberFormat="1" applyFont="1" applyBorder="1" applyAlignment="1" applyProtection="1">
      <alignment horizontal="center"/>
      <protection locked="0"/>
    </xf>
    <xf numFmtId="0" fontId="34" fillId="17" borderId="31" xfId="2" applyNumberFormat="1" applyFont="1" applyFill="1" applyBorder="1" applyAlignment="1">
      <alignment horizontal="center"/>
    </xf>
    <xf numFmtId="0" fontId="34" fillId="17" borderId="32" xfId="2" applyNumberFormat="1" applyFont="1" applyFill="1" applyBorder="1" applyAlignment="1">
      <alignment horizontal="center"/>
    </xf>
    <xf numFmtId="166" fontId="35" fillId="17" borderId="0" xfId="2" applyNumberFormat="1" applyFont="1" applyFill="1" applyBorder="1" applyAlignment="1">
      <alignment horizontal="center"/>
    </xf>
    <xf numFmtId="166" fontId="2" fillId="0" borderId="0" xfId="2" applyNumberFormat="1" applyBorder="1"/>
    <xf numFmtId="0" fontId="2" fillId="0" borderId="0" xfId="2" applyBorder="1"/>
    <xf numFmtId="2" fontId="36" fillId="17" borderId="33" xfId="5" applyNumberFormat="1" applyFont="1" applyFill="1" applyBorder="1" applyAlignment="1">
      <alignment horizontal="center"/>
    </xf>
    <xf numFmtId="0" fontId="36" fillId="0" borderId="0" xfId="2" applyFont="1" applyAlignment="1">
      <alignment horizontal="left"/>
    </xf>
    <xf numFmtId="11" fontId="2" fillId="0" borderId="0" xfId="2" applyNumberFormat="1" applyAlignment="1">
      <alignment horizontal="left"/>
    </xf>
    <xf numFmtId="0" fontId="2" fillId="0" borderId="30" xfId="2" applyNumberFormat="1" applyBorder="1" applyAlignment="1" applyProtection="1">
      <alignment horizontal="center"/>
      <protection locked="0"/>
    </xf>
    <xf numFmtId="0" fontId="2" fillId="0" borderId="5" xfId="2" applyNumberFormat="1" applyBorder="1" applyAlignment="1" applyProtection="1">
      <alignment horizontal="center"/>
      <protection locked="0"/>
    </xf>
    <xf numFmtId="49" fontId="2" fillId="0" borderId="5" xfId="2" applyNumberFormat="1" applyBorder="1" applyAlignment="1" applyProtection="1">
      <alignment horizontal="center"/>
      <protection locked="0"/>
    </xf>
    <xf numFmtId="49" fontId="2" fillId="0" borderId="5" xfId="2" applyNumberFormat="1" applyFont="1" applyBorder="1" applyAlignment="1" applyProtection="1">
      <alignment horizontal="center"/>
      <protection locked="0"/>
    </xf>
    <xf numFmtId="0" fontId="2" fillId="17" borderId="34" xfId="3" applyNumberFormat="1" applyFont="1" applyFill="1" applyBorder="1" applyAlignment="1" applyProtection="1">
      <alignment horizontal="center"/>
    </xf>
    <xf numFmtId="0" fontId="2" fillId="0" borderId="30" xfId="2" applyBorder="1" applyAlignment="1" applyProtection="1">
      <alignment horizontal="center"/>
      <protection locked="0"/>
    </xf>
    <xf numFmtId="0" fontId="2" fillId="0" borderId="5" xfId="2" applyBorder="1" applyAlignment="1" applyProtection="1">
      <alignment horizontal="center"/>
      <protection locked="0"/>
    </xf>
    <xf numFmtId="0" fontId="2" fillId="17" borderId="5" xfId="3" applyNumberFormat="1" applyFont="1" applyFill="1" applyBorder="1" applyAlignment="1" applyProtection="1">
      <alignment horizontal="center"/>
    </xf>
    <xf numFmtId="0" fontId="2" fillId="17" borderId="5" xfId="2" applyFill="1" applyBorder="1" applyAlignment="1" applyProtection="1">
      <alignment horizontal="center"/>
    </xf>
    <xf numFmtId="0" fontId="2" fillId="17" borderId="34" xfId="2" applyFill="1" applyBorder="1" applyAlignment="1" applyProtection="1">
      <alignment horizontal="center"/>
    </xf>
    <xf numFmtId="9" fontId="2" fillId="0" borderId="5" xfId="1" applyFont="1" applyBorder="1" applyAlignment="1" applyProtection="1">
      <alignment horizontal="center"/>
      <protection locked="0"/>
    </xf>
    <xf numFmtId="167" fontId="2" fillId="13" borderId="0" xfId="2" applyNumberFormat="1" applyFill="1"/>
    <xf numFmtId="0" fontId="2" fillId="0" borderId="0" xfId="2" applyFill="1" applyBorder="1"/>
    <xf numFmtId="11" fontId="2" fillId="0" borderId="0" xfId="2" applyNumberFormat="1"/>
    <xf numFmtId="0" fontId="12" fillId="0" borderId="0" xfId="2" applyFont="1" applyBorder="1"/>
    <xf numFmtId="0" fontId="2" fillId="0" borderId="0" xfId="2" applyFont="1"/>
    <xf numFmtId="0" fontId="2" fillId="0" borderId="5" xfId="2" applyBorder="1" applyProtection="1">
      <protection locked="0"/>
    </xf>
    <xf numFmtId="0" fontId="2" fillId="0" borderId="0" xfId="2" applyFont="1" applyBorder="1" applyProtection="1">
      <protection locked="0"/>
    </xf>
    <xf numFmtId="166" fontId="35" fillId="17" borderId="3" xfId="2" applyNumberFormat="1" applyFont="1" applyFill="1" applyBorder="1" applyAlignment="1">
      <alignment horizontal="center"/>
    </xf>
    <xf numFmtId="166" fontId="2" fillId="0" borderId="3" xfId="2" applyNumberFormat="1" applyBorder="1"/>
    <xf numFmtId="0" fontId="2" fillId="0" borderId="3" xfId="2" applyBorder="1"/>
    <xf numFmtId="0" fontId="2" fillId="17" borderId="37" xfId="3" applyNumberFormat="1" applyFont="1" applyFill="1" applyBorder="1" applyAlignment="1" applyProtection="1">
      <alignment horizontal="center"/>
    </xf>
    <xf numFmtId="0" fontId="2" fillId="17" borderId="36" xfId="3" applyNumberFormat="1" applyFont="1" applyFill="1" applyBorder="1" applyAlignment="1" applyProtection="1">
      <alignment horizontal="center"/>
    </xf>
    <xf numFmtId="0" fontId="2" fillId="17" borderId="36" xfId="2" applyFill="1" applyBorder="1" applyAlignment="1" applyProtection="1">
      <alignment horizontal="center"/>
    </xf>
    <xf numFmtId="11" fontId="27" fillId="18" borderId="40" xfId="2" applyNumberFormat="1" applyFont="1" applyFill="1" applyBorder="1" applyAlignment="1" applyProtection="1">
      <alignment horizontal="center"/>
    </xf>
    <xf numFmtId="0" fontId="27" fillId="18" borderId="40" xfId="2" applyFont="1" applyFill="1" applyBorder="1" applyAlignment="1" applyProtection="1">
      <alignment horizontal="center"/>
    </xf>
    <xf numFmtId="11" fontId="27" fillId="17" borderId="0" xfId="2" applyNumberFormat="1" applyFont="1" applyFill="1" applyBorder="1" applyAlignment="1" applyProtection="1">
      <alignment horizontal="center"/>
    </xf>
    <xf numFmtId="0" fontId="2" fillId="0" borderId="28" xfId="2" applyBorder="1" applyProtection="1"/>
    <xf numFmtId="0" fontId="2" fillId="0" borderId="27" xfId="2" applyBorder="1" applyProtection="1"/>
    <xf numFmtId="0" fontId="27" fillId="12" borderId="16" xfId="2" applyFont="1" applyFill="1" applyBorder="1" applyAlignment="1" applyProtection="1"/>
    <xf numFmtId="0" fontId="27" fillId="12" borderId="0" xfId="2" applyFont="1" applyFill="1" applyBorder="1" applyAlignment="1" applyProtection="1"/>
    <xf numFmtId="0" fontId="27" fillId="12" borderId="29" xfId="2" applyFont="1" applyFill="1" applyBorder="1" applyAlignment="1" applyProtection="1"/>
    <xf numFmtId="11" fontId="27" fillId="0" borderId="42" xfId="2" applyNumberFormat="1" applyFont="1" applyBorder="1" applyAlignment="1" applyProtection="1">
      <alignment horizontal="center"/>
      <protection locked="0"/>
    </xf>
    <xf numFmtId="0" fontId="27" fillId="0" borderId="32" xfId="2" applyFont="1" applyBorder="1" applyAlignment="1" applyProtection="1">
      <alignment horizontal="center"/>
      <protection locked="0"/>
    </xf>
    <xf numFmtId="0" fontId="27" fillId="17" borderId="32" xfId="2" applyFont="1" applyFill="1" applyBorder="1" applyAlignment="1" applyProtection="1">
      <alignment horizontal="center"/>
    </xf>
    <xf numFmtId="0" fontId="39" fillId="0" borderId="32" xfId="5" applyNumberFormat="1" applyFont="1" applyBorder="1" applyAlignment="1" applyProtection="1">
      <alignment horizontal="center"/>
      <protection locked="0"/>
    </xf>
    <xf numFmtId="11" fontId="27" fillId="18" borderId="32" xfId="2" applyNumberFormat="1" applyFont="1" applyFill="1" applyBorder="1" applyAlignment="1" applyProtection="1">
      <alignment horizontal="center"/>
    </xf>
    <xf numFmtId="11" fontId="27" fillId="18" borderId="33" xfId="2" applyNumberFormat="1" applyFont="1" applyFill="1" applyBorder="1" applyAlignment="1" applyProtection="1">
      <alignment horizontal="center"/>
    </xf>
    <xf numFmtId="166" fontId="10" fillId="18" borderId="43" xfId="2" applyNumberFormat="1" applyFont="1" applyFill="1" applyBorder="1" applyAlignment="1" applyProtection="1">
      <alignment horizontal="center"/>
    </xf>
    <xf numFmtId="166" fontId="27" fillId="17" borderId="3" xfId="2" applyNumberFormat="1" applyFont="1" applyFill="1" applyBorder="1" applyAlignment="1" applyProtection="1">
      <alignment horizontal="center"/>
    </xf>
    <xf numFmtId="0" fontId="2" fillId="0" borderId="31" xfId="2" applyBorder="1" applyProtection="1"/>
    <xf numFmtId="11" fontId="2" fillId="0" borderId="45" xfId="2" applyNumberFormat="1" applyBorder="1" applyProtection="1"/>
    <xf numFmtId="0" fontId="27" fillId="12" borderId="19" xfId="2" applyFont="1" applyFill="1" applyBorder="1" applyAlignment="1" applyProtection="1"/>
    <xf numFmtId="0" fontId="27" fillId="12" borderId="17" xfId="2" applyFont="1" applyFill="1" applyBorder="1" applyAlignment="1" applyProtection="1"/>
    <xf numFmtId="0" fontId="27" fillId="12" borderId="18" xfId="2" applyFont="1" applyFill="1" applyBorder="1" applyAlignment="1" applyProtection="1"/>
    <xf numFmtId="11" fontId="27" fillId="0" borderId="35" xfId="2" applyNumberFormat="1" applyFont="1" applyBorder="1" applyAlignment="1" applyProtection="1">
      <alignment horizontal="center"/>
      <protection locked="0"/>
    </xf>
    <xf numFmtId="0" fontId="27" fillId="0" borderId="36" xfId="2" applyFont="1" applyBorder="1" applyAlignment="1" applyProtection="1">
      <alignment horizontal="center"/>
      <protection locked="0"/>
    </xf>
    <xf numFmtId="0" fontId="27" fillId="17" borderId="36" xfId="2" applyFont="1" applyFill="1" applyBorder="1" applyAlignment="1" applyProtection="1">
      <alignment horizontal="center"/>
    </xf>
    <xf numFmtId="0" fontId="39" fillId="0" borderId="36" xfId="5" applyNumberFormat="1" applyFont="1" applyBorder="1" applyAlignment="1" applyProtection="1">
      <alignment horizontal="center"/>
      <protection locked="0"/>
    </xf>
    <xf numFmtId="11" fontId="27" fillId="18" borderId="36" xfId="2" applyNumberFormat="1" applyFont="1" applyFill="1" applyBorder="1" applyAlignment="1" applyProtection="1">
      <alignment horizontal="center"/>
    </xf>
    <xf numFmtId="11" fontId="27" fillId="18" borderId="37" xfId="2" applyNumberFormat="1" applyFont="1" applyFill="1" applyBorder="1" applyAlignment="1" applyProtection="1">
      <alignment horizontal="center"/>
    </xf>
    <xf numFmtId="166" fontId="10" fillId="18" borderId="46" xfId="2" applyNumberFormat="1" applyFont="1" applyFill="1" applyBorder="1" applyAlignment="1" applyProtection="1">
      <alignment horizontal="center"/>
    </xf>
    <xf numFmtId="166" fontId="27" fillId="17" borderId="0" xfId="2" applyNumberFormat="1" applyFont="1" applyFill="1" applyBorder="1" applyAlignment="1" applyProtection="1">
      <alignment horizontal="center"/>
    </xf>
    <xf numFmtId="0" fontId="2" fillId="0" borderId="48" xfId="2" applyBorder="1" applyProtection="1"/>
    <xf numFmtId="11" fontId="2" fillId="0" borderId="49" xfId="2" applyNumberFormat="1" applyBorder="1" applyProtection="1"/>
    <xf numFmtId="9" fontId="39" fillId="0" borderId="11" xfId="2" applyNumberFormat="1" applyFont="1" applyFill="1" applyBorder="1" applyAlignment="1" applyProtection="1">
      <alignment horizontal="center"/>
      <protection locked="0"/>
    </xf>
    <xf numFmtId="0" fontId="10" fillId="12" borderId="0" xfId="2" applyNumberFormat="1" applyFont="1" applyFill="1" applyBorder="1" applyAlignment="1" applyProtection="1">
      <alignment horizontal="center"/>
    </xf>
    <xf numFmtId="0" fontId="27" fillId="20" borderId="10" xfId="2" applyFont="1" applyFill="1" applyBorder="1" applyAlignment="1" applyProtection="1">
      <alignment horizontal="right"/>
    </xf>
    <xf numFmtId="166" fontId="41" fillId="21" borderId="12" xfId="2" applyNumberFormat="1" applyFont="1" applyFill="1" applyBorder="1" applyAlignment="1" applyProtection="1">
      <alignment horizontal="center"/>
    </xf>
    <xf numFmtId="166" fontId="12" fillId="18" borderId="50" xfId="2" applyNumberFormat="1" applyFont="1" applyFill="1" applyBorder="1" applyAlignment="1" applyProtection="1">
      <alignment horizontal="center"/>
    </xf>
    <xf numFmtId="166" fontId="39" fillId="18" borderId="51" xfId="2" applyNumberFormat="1" applyFont="1" applyFill="1" applyBorder="1" applyAlignment="1" applyProtection="1">
      <alignment horizontal="center"/>
    </xf>
    <xf numFmtId="0" fontId="2" fillId="18" borderId="51" xfId="2" applyFill="1" applyBorder="1" applyProtection="1"/>
    <xf numFmtId="11" fontId="2" fillId="18" borderId="52" xfId="2" applyNumberFormat="1" applyFill="1" applyBorder="1" applyProtection="1"/>
    <xf numFmtId="0" fontId="2" fillId="18" borderId="12" xfId="2" applyFill="1" applyBorder="1" applyProtection="1"/>
    <xf numFmtId="10" fontId="10" fillId="0" borderId="53" xfId="2" applyNumberFormat="1" applyFont="1" applyFill="1" applyBorder="1" applyAlignment="1" applyProtection="1">
      <alignment horizontal="center" vertical="center"/>
      <protection locked="0"/>
    </xf>
    <xf numFmtId="0" fontId="2" fillId="22" borderId="10" xfId="2" applyFont="1" applyFill="1" applyBorder="1" applyAlignment="1" applyProtection="1">
      <alignment vertical="center" wrapText="1"/>
    </xf>
    <xf numFmtId="164" fontId="24" fillId="17" borderId="11" xfId="2" applyNumberFormat="1" applyFont="1" applyFill="1" applyBorder="1" applyAlignment="1" applyProtection="1">
      <alignment horizontal="center" vertical="center"/>
    </xf>
    <xf numFmtId="0" fontId="11" fillId="22" borderId="11" xfId="2" applyFont="1" applyFill="1" applyBorder="1" applyAlignment="1" applyProtection="1">
      <alignment horizontal="right" wrapText="1"/>
    </xf>
    <xf numFmtId="166" fontId="7" fillId="23" borderId="14" xfId="2" applyNumberFormat="1" applyFont="1" applyFill="1" applyBorder="1" applyAlignment="1" applyProtection="1">
      <alignment horizontal="center" vertical="center"/>
    </xf>
    <xf numFmtId="169" fontId="24" fillId="22" borderId="11" xfId="2" applyNumberFormat="1" applyFont="1" applyFill="1" applyBorder="1" applyAlignment="1" applyProtection="1">
      <alignment horizontal="center" vertical="center" wrapText="1"/>
    </xf>
    <xf numFmtId="169" fontId="22" fillId="13" borderId="14" xfId="2" applyNumberFormat="1" applyFont="1" applyFill="1" applyBorder="1" applyAlignment="1" applyProtection="1">
      <alignment horizontal="center" vertical="center"/>
    </xf>
    <xf numFmtId="169" fontId="22" fillId="13" borderId="54" xfId="2" applyNumberFormat="1" applyFont="1" applyFill="1" applyBorder="1" applyAlignment="1" applyProtection="1">
      <alignment horizontal="center" vertical="center"/>
    </xf>
    <xf numFmtId="0" fontId="2" fillId="0" borderId="51" xfId="2" applyBorder="1" applyProtection="1">
      <protection locked="0"/>
    </xf>
    <xf numFmtId="11" fontId="2" fillId="0" borderId="52" xfId="2" applyNumberFormat="1" applyBorder="1" applyProtection="1"/>
    <xf numFmtId="0" fontId="2" fillId="22" borderId="15" xfId="2" applyFill="1" applyBorder="1" applyAlignment="1" applyProtection="1">
      <alignment wrapText="1"/>
    </xf>
    <xf numFmtId="2" fontId="2" fillId="0" borderId="0" xfId="2" applyNumberFormat="1" applyBorder="1"/>
    <xf numFmtId="0" fontId="43" fillId="21" borderId="40" xfId="2" applyFont="1" applyFill="1" applyBorder="1" applyAlignment="1" applyProtection="1">
      <alignment vertical="center" wrapText="1"/>
    </xf>
    <xf numFmtId="0" fontId="2" fillId="11" borderId="10" xfId="2" applyFont="1" applyFill="1" applyBorder="1" applyAlignment="1" applyProtection="1">
      <alignment vertical="center" wrapText="1"/>
    </xf>
    <xf numFmtId="0" fontId="11" fillId="11" borderId="11" xfId="2" applyFont="1" applyFill="1" applyBorder="1" applyAlignment="1" applyProtection="1">
      <alignment horizontal="right" wrapText="1"/>
    </xf>
    <xf numFmtId="166" fontId="7" fillId="23" borderId="11" xfId="2" applyNumberFormat="1" applyFont="1" applyFill="1" applyBorder="1" applyAlignment="1" applyProtection="1">
      <alignment horizontal="center" vertical="center"/>
    </xf>
    <xf numFmtId="169" fontId="24" fillId="24" borderId="11" xfId="2" applyNumberFormat="1" applyFont="1" applyFill="1" applyBorder="1" applyAlignment="1" applyProtection="1">
      <alignment horizontal="center" vertical="center" wrapText="1"/>
    </xf>
    <xf numFmtId="169" fontId="22" fillId="13" borderId="55" xfId="2" applyNumberFormat="1" applyFont="1" applyFill="1" applyBorder="1" applyAlignment="1" applyProtection="1">
      <alignment horizontal="center" vertical="center"/>
    </xf>
    <xf numFmtId="0" fontId="2" fillId="0" borderId="56" xfId="2" applyBorder="1" applyProtection="1">
      <protection locked="0"/>
    </xf>
    <xf numFmtId="0" fontId="2" fillId="0" borderId="50" xfId="2" applyBorder="1" applyProtection="1"/>
    <xf numFmtId="0" fontId="2" fillId="22" borderId="40" xfId="2" applyFill="1" applyBorder="1" applyAlignment="1" applyProtection="1">
      <alignment wrapText="1"/>
    </xf>
    <xf numFmtId="0" fontId="2" fillId="4" borderId="0" xfId="2" applyFill="1" applyAlignment="1">
      <alignment horizontal="center"/>
    </xf>
    <xf numFmtId="0" fontId="27" fillId="12" borderId="58" xfId="2" applyFont="1" applyFill="1" applyBorder="1" applyAlignment="1" applyProtection="1">
      <alignment horizontal="center"/>
    </xf>
    <xf numFmtId="164" fontId="27" fillId="17" borderId="31" xfId="2" applyNumberFormat="1" applyFont="1" applyFill="1" applyBorder="1" applyAlignment="1" applyProtection="1">
      <alignment horizontal="center"/>
    </xf>
    <xf numFmtId="0" fontId="11" fillId="10" borderId="51" xfId="2" applyFont="1" applyFill="1" applyBorder="1" applyAlignment="1">
      <alignment horizontal="center" vertical="center" wrapText="1"/>
    </xf>
    <xf numFmtId="0" fontId="27" fillId="17" borderId="45" xfId="2" applyNumberFormat="1" applyFont="1" applyFill="1" applyBorder="1" applyAlignment="1" applyProtection="1">
      <alignment horizontal="center"/>
    </xf>
    <xf numFmtId="0" fontId="11" fillId="10" borderId="59" xfId="2" applyFont="1" applyFill="1" applyBorder="1" applyAlignment="1">
      <alignment horizontal="center" vertical="center" wrapText="1"/>
    </xf>
    <xf numFmtId="49" fontId="0" fillId="0" borderId="0" xfId="0" applyNumberFormat="1" applyProtection="1">
      <protection locked="0"/>
    </xf>
    <xf numFmtId="0" fontId="26" fillId="24" borderId="10" xfId="2" applyFont="1" applyFill="1" applyBorder="1" applyAlignment="1">
      <alignment vertical="center" wrapText="1"/>
    </xf>
    <xf numFmtId="0" fontId="26" fillId="24" borderId="11" xfId="2" applyFont="1" applyFill="1" applyBorder="1" applyAlignment="1">
      <alignment vertical="center" wrapText="1"/>
    </xf>
    <xf numFmtId="0" fontId="26" fillId="18" borderId="11" xfId="2" applyFont="1" applyFill="1" applyBorder="1" applyAlignment="1">
      <alignment horizontal="center"/>
    </xf>
    <xf numFmtId="0" fontId="26" fillId="18" borderId="12" xfId="2" applyFont="1" applyFill="1" applyBorder="1" applyAlignment="1">
      <alignment horizontal="center"/>
    </xf>
    <xf numFmtId="0" fontId="0" fillId="0" borderId="0" xfId="0" applyProtection="1">
      <protection locked="0"/>
    </xf>
    <xf numFmtId="0" fontId="12" fillId="0" borderId="28" xfId="0" applyNumberFormat="1" applyFont="1" applyBorder="1" applyAlignment="1" applyProtection="1">
      <alignment horizontal="center"/>
      <protection locked="0"/>
    </xf>
    <xf numFmtId="0" fontId="14" fillId="11" borderId="34" xfId="2" applyFont="1" applyFill="1" applyBorder="1" applyAlignment="1">
      <alignment horizontal="left" vertical="center" wrapText="1"/>
    </xf>
    <xf numFmtId="0" fontId="12" fillId="0" borderId="53" xfId="2" applyFont="1" applyBorder="1" applyAlignment="1">
      <alignment horizontal="center"/>
    </xf>
    <xf numFmtId="0" fontId="12" fillId="0" borderId="31" xfId="0" applyNumberFormat="1" applyFont="1" applyBorder="1" applyAlignment="1" applyProtection="1">
      <alignment horizontal="center"/>
      <protection locked="0"/>
    </xf>
    <xf numFmtId="0" fontId="14" fillId="0" borderId="63" xfId="2" applyFont="1" applyBorder="1"/>
    <xf numFmtId="0" fontId="2" fillId="0" borderId="27" xfId="2" applyBorder="1"/>
    <xf numFmtId="0" fontId="2" fillId="0" borderId="45" xfId="2" applyBorder="1" applyAlignment="1">
      <alignment horizontal="center"/>
    </xf>
    <xf numFmtId="0" fontId="2" fillId="0" borderId="64" xfId="2" applyBorder="1"/>
    <xf numFmtId="0" fontId="8" fillId="0" borderId="0" xfId="2" applyFont="1" applyAlignment="1" applyProtection="1">
      <alignment horizontal="right" vertical="center"/>
    </xf>
    <xf numFmtId="0" fontId="14" fillId="18" borderId="42" xfId="2" applyFont="1" applyFill="1" applyBorder="1" applyAlignment="1">
      <alignment horizontal="center"/>
    </xf>
    <xf numFmtId="0" fontId="2" fillId="18" borderId="32" xfId="2" applyFont="1" applyFill="1" applyBorder="1" applyAlignment="1">
      <alignment horizontal="center"/>
    </xf>
    <xf numFmtId="0" fontId="50" fillId="21" borderId="31" xfId="2" applyFont="1" applyFill="1" applyBorder="1" applyAlignment="1">
      <alignment horizontal="center"/>
    </xf>
    <xf numFmtId="0" fontId="50" fillId="21" borderId="34" xfId="2" applyFont="1" applyFill="1" applyBorder="1" applyAlignment="1">
      <alignment horizontal="center"/>
    </xf>
    <xf numFmtId="0" fontId="12" fillId="0" borderId="0" xfId="2" applyFont="1"/>
    <xf numFmtId="0" fontId="12" fillId="0" borderId="64" xfId="2" applyFont="1" applyBorder="1" applyAlignment="1">
      <alignment horizontal="center"/>
    </xf>
    <xf numFmtId="0" fontId="2" fillId="10" borderId="30" xfId="2" applyFill="1" applyBorder="1" applyAlignment="1">
      <alignment horizontal="center"/>
    </xf>
    <xf numFmtId="49" fontId="0" fillId="0" borderId="5" xfId="0" applyNumberFormat="1" applyFill="1" applyBorder="1" applyAlignment="1" applyProtection="1">
      <alignment horizontal="center"/>
      <protection locked="0"/>
    </xf>
    <xf numFmtId="0" fontId="2" fillId="24" borderId="34" xfId="2" applyFill="1" applyBorder="1" applyAlignment="1">
      <alignment horizontal="center"/>
    </xf>
    <xf numFmtId="0" fontId="2" fillId="0" borderId="0" xfId="2" applyFont="1" applyAlignment="1">
      <alignment horizontal="center"/>
    </xf>
    <xf numFmtId="0" fontId="2" fillId="0" borderId="64" xfId="2" applyBorder="1" applyAlignment="1">
      <alignment horizontal="center"/>
    </xf>
    <xf numFmtId="0" fontId="2" fillId="0" borderId="40" xfId="2" applyBorder="1" applyAlignment="1">
      <alignment horizontal="center"/>
    </xf>
    <xf numFmtId="0" fontId="29" fillId="0" borderId="0" xfId="2" applyFont="1"/>
    <xf numFmtId="0" fontId="2" fillId="25" borderId="65" xfId="2" applyFill="1" applyBorder="1" applyAlignment="1">
      <alignment horizontal="center" vertical="center"/>
    </xf>
    <xf numFmtId="0" fontId="2" fillId="26" borderId="66" xfId="2" applyFill="1" applyBorder="1" applyAlignment="1">
      <alignment horizontal="center" vertical="center"/>
    </xf>
    <xf numFmtId="170" fontId="2" fillId="26" borderId="66" xfId="1" applyNumberFormat="1" applyFont="1" applyFill="1" applyBorder="1" applyAlignment="1">
      <alignment horizontal="center" vertical="center"/>
    </xf>
    <xf numFmtId="0" fontId="2" fillId="26" borderId="67" xfId="2" applyFill="1" applyBorder="1" applyAlignment="1">
      <alignment horizontal="center" vertical="center"/>
    </xf>
    <xf numFmtId="170" fontId="2" fillId="26" borderId="67" xfId="1" applyNumberFormat="1" applyFont="1" applyFill="1" applyBorder="1" applyAlignment="1">
      <alignment horizontal="center" vertical="center"/>
    </xf>
    <xf numFmtId="0" fontId="2" fillId="10" borderId="41" xfId="2" applyFill="1" applyBorder="1" applyAlignment="1">
      <alignment horizontal="center"/>
    </xf>
    <xf numFmtId="0" fontId="2" fillId="24" borderId="37" xfId="2" applyFill="1" applyBorder="1" applyAlignment="1">
      <alignment horizontal="center"/>
    </xf>
    <xf numFmtId="0" fontId="14" fillId="29" borderId="65" xfId="2" applyFont="1" applyFill="1" applyBorder="1" applyAlignment="1">
      <alignment horizontal="center"/>
    </xf>
    <xf numFmtId="166" fontId="22" fillId="13" borderId="65" xfId="2" applyNumberFormat="1" applyFont="1" applyFill="1" applyBorder="1" applyAlignment="1">
      <alignment horizontal="center"/>
    </xf>
    <xf numFmtId="0" fontId="2" fillId="0" borderId="0" xfId="2" applyFill="1" applyBorder="1" applyAlignment="1">
      <alignment horizontal="center"/>
    </xf>
    <xf numFmtId="0" fontId="24" fillId="10" borderId="65" xfId="2" applyFont="1" applyFill="1" applyBorder="1" applyAlignment="1">
      <alignment horizontal="center"/>
    </xf>
    <xf numFmtId="0" fontId="2" fillId="0" borderId="0" xfId="2" applyAlignment="1" applyProtection="1">
      <alignment horizontal="center"/>
      <protection locked="0"/>
    </xf>
    <xf numFmtId="0" fontId="24" fillId="0" borderId="65" xfId="0" applyFont="1" applyBorder="1" applyAlignment="1" applyProtection="1">
      <alignment horizontal="center"/>
      <protection locked="0"/>
    </xf>
    <xf numFmtId="0" fontId="22" fillId="13" borderId="65" xfId="2" applyFont="1" applyFill="1" applyBorder="1" applyAlignment="1">
      <alignment horizontal="center"/>
    </xf>
    <xf numFmtId="0" fontId="39" fillId="10" borderId="65" xfId="2" applyFont="1" applyFill="1" applyBorder="1" applyAlignment="1">
      <alignment horizontal="right"/>
    </xf>
    <xf numFmtId="0" fontId="24" fillId="10" borderId="53" xfId="2" applyFont="1" applyFill="1" applyBorder="1" applyAlignment="1">
      <alignment horizontal="center"/>
    </xf>
    <xf numFmtId="0" fontId="39" fillId="10" borderId="13" xfId="2" applyFont="1" applyFill="1" applyBorder="1" applyAlignment="1">
      <alignment horizontal="right"/>
    </xf>
    <xf numFmtId="0" fontId="22" fillId="10" borderId="53" xfId="2" applyFont="1" applyFill="1" applyBorder="1" applyAlignment="1">
      <alignment horizontal="center"/>
    </xf>
    <xf numFmtId="0" fontId="2" fillId="0" borderId="62" xfId="2" applyBorder="1" applyAlignment="1">
      <alignment horizontal="center"/>
    </xf>
    <xf numFmtId="0" fontId="2" fillId="0" borderId="0" xfId="2" applyFont="1" applyAlignment="1" applyProtection="1">
      <alignment vertical="top"/>
    </xf>
    <xf numFmtId="0" fontId="12" fillId="0" borderId="0" xfId="2" applyFont="1" applyFill="1" applyBorder="1" applyAlignment="1">
      <alignment horizontal="left" vertical="center" wrapText="1"/>
    </xf>
    <xf numFmtId="0" fontId="43" fillId="31" borderId="42" xfId="2" applyFont="1" applyFill="1" applyBorder="1"/>
    <xf numFmtId="10" fontId="2" fillId="0" borderId="32" xfId="5" applyNumberFormat="1" applyBorder="1" applyAlignment="1" applyProtection="1">
      <alignment horizontal="center"/>
      <protection locked="0"/>
    </xf>
    <xf numFmtId="0" fontId="2" fillId="32" borderId="59" xfId="2" applyFill="1" applyBorder="1" applyAlignment="1">
      <alignment horizontal="center"/>
    </xf>
    <xf numFmtId="0" fontId="43" fillId="31" borderId="30" xfId="2" applyFont="1" applyFill="1" applyBorder="1"/>
    <xf numFmtId="0" fontId="50" fillId="31" borderId="5" xfId="2" applyFont="1" applyFill="1" applyBorder="1" applyAlignment="1">
      <alignment horizontal="center"/>
    </xf>
    <xf numFmtId="0" fontId="2" fillId="32" borderId="33" xfId="2" applyFill="1" applyBorder="1" applyAlignment="1">
      <alignment horizontal="center"/>
    </xf>
    <xf numFmtId="0" fontId="2" fillId="13" borderId="5" xfId="2" applyFont="1" applyFill="1" applyBorder="1" applyAlignment="1">
      <alignment horizontal="center"/>
    </xf>
    <xf numFmtId="0" fontId="43" fillId="31" borderId="34" xfId="2" applyFont="1" applyFill="1" applyBorder="1" applyAlignment="1">
      <alignment horizontal="center"/>
    </xf>
    <xf numFmtId="0" fontId="43" fillId="31" borderId="41" xfId="2" applyFont="1" applyFill="1" applyBorder="1"/>
    <xf numFmtId="0" fontId="2" fillId="13" borderId="68" xfId="2" applyFont="1" applyFill="1" applyBorder="1" applyAlignment="1">
      <alignment horizontal="center"/>
    </xf>
    <xf numFmtId="0" fontId="43" fillId="31" borderId="69" xfId="2" applyFont="1" applyFill="1" applyBorder="1" applyAlignment="1">
      <alignment horizontal="center"/>
    </xf>
    <xf numFmtId="0" fontId="2" fillId="0" borderId="16" xfId="2" applyBorder="1"/>
    <xf numFmtId="0" fontId="2" fillId="0" borderId="29" xfId="2" applyBorder="1"/>
    <xf numFmtId="0" fontId="2" fillId="0" borderId="30" xfId="2" applyNumberFormat="1" applyBorder="1" applyAlignment="1">
      <alignment horizontal="center"/>
    </xf>
    <xf numFmtId="0" fontId="2" fillId="0" borderId="0" xfId="2" applyFont="1" applyBorder="1"/>
    <xf numFmtId="0" fontId="27" fillId="34" borderId="10" xfId="2" applyFont="1" applyFill="1" applyBorder="1" applyAlignment="1">
      <alignment horizontal="center" vertical="center"/>
    </xf>
    <xf numFmtId="0" fontId="27" fillId="34" borderId="11" xfId="2" applyFont="1" applyFill="1" applyBorder="1" applyAlignment="1">
      <alignment horizontal="center" vertical="center"/>
    </xf>
    <xf numFmtId="0" fontId="27" fillId="34" borderId="12" xfId="2" applyFont="1" applyFill="1" applyBorder="1" applyAlignment="1">
      <alignment horizontal="center" vertical="center"/>
    </xf>
    <xf numFmtId="0" fontId="2" fillId="26" borderId="13" xfId="2" applyFill="1" applyBorder="1" applyAlignment="1">
      <alignment horizontal="center" vertical="center"/>
    </xf>
    <xf numFmtId="9" fontId="2" fillId="26" borderId="14" xfId="1" applyFont="1" applyFill="1" applyBorder="1" applyAlignment="1">
      <alignment horizontal="center" vertical="center"/>
    </xf>
    <xf numFmtId="170" fontId="2" fillId="26" borderId="15" xfId="1" applyNumberFormat="1" applyFont="1" applyFill="1" applyBorder="1" applyAlignment="1">
      <alignment horizontal="center" vertical="center"/>
    </xf>
    <xf numFmtId="1" fontId="2" fillId="0" borderId="30" xfId="2" applyNumberFormat="1" applyBorder="1" applyAlignment="1">
      <alignment horizontal="center"/>
    </xf>
    <xf numFmtId="0" fontId="2" fillId="26" borderId="16" xfId="2" applyFill="1" applyBorder="1" applyAlignment="1">
      <alignment horizontal="center" vertical="center"/>
    </xf>
    <xf numFmtId="9" fontId="2" fillId="26" borderId="0" xfId="1" applyFont="1" applyFill="1" applyBorder="1" applyAlignment="1">
      <alignment horizontal="center" vertical="center"/>
    </xf>
    <xf numFmtId="170" fontId="2" fillId="26" borderId="29" xfId="1" applyNumberFormat="1" applyFont="1" applyFill="1" applyBorder="1" applyAlignment="1">
      <alignment horizontal="center" vertical="center"/>
    </xf>
    <xf numFmtId="0" fontId="2" fillId="0" borderId="16" xfId="2" applyFont="1" applyBorder="1" applyAlignment="1">
      <alignment horizontal="center"/>
    </xf>
    <xf numFmtId="0" fontId="2" fillId="0" borderId="0" xfId="2" applyFont="1" applyBorder="1" applyAlignment="1">
      <alignment horizontal="center" vertical="center"/>
    </xf>
    <xf numFmtId="0" fontId="2" fillId="0" borderId="29" xfId="2" applyFont="1" applyBorder="1" applyAlignment="1">
      <alignment horizontal="center" vertical="center"/>
    </xf>
    <xf numFmtId="0" fontId="2" fillId="0" borderId="16" xfId="2" applyBorder="1" applyAlignment="1">
      <alignment horizontal="center"/>
    </xf>
    <xf numFmtId="0" fontId="2" fillId="0" borderId="0" xfId="2" applyFont="1" applyBorder="1" applyAlignment="1">
      <alignment horizontal="center"/>
    </xf>
    <xf numFmtId="0" fontId="2" fillId="0" borderId="0" xfId="2" applyBorder="1" applyAlignment="1">
      <alignment horizontal="center"/>
    </xf>
    <xf numFmtId="0" fontId="2" fillId="0" borderId="16" xfId="2" applyBorder="1" applyAlignment="1">
      <alignment horizontal="center" vertical="center"/>
    </xf>
    <xf numFmtId="0" fontId="2" fillId="26" borderId="19" xfId="2" applyFill="1" applyBorder="1" applyAlignment="1">
      <alignment horizontal="center" vertical="center"/>
    </xf>
    <xf numFmtId="9" fontId="2" fillId="26" borderId="17" xfId="1" applyFont="1" applyFill="1" applyBorder="1" applyAlignment="1">
      <alignment horizontal="center" vertical="center"/>
    </xf>
    <xf numFmtId="170" fontId="2" fillId="26" borderId="18" xfId="1" applyNumberFormat="1" applyFont="1" applyFill="1" applyBorder="1" applyAlignment="1">
      <alignment horizontal="center" vertical="center"/>
    </xf>
    <xf numFmtId="0" fontId="12" fillId="18" borderId="16" xfId="2" applyFont="1" applyFill="1" applyBorder="1" applyAlignment="1" applyProtection="1">
      <alignment horizontal="center"/>
    </xf>
    <xf numFmtId="0" fontId="12" fillId="18" borderId="0" xfId="2" applyFont="1" applyFill="1" applyBorder="1" applyAlignment="1" applyProtection="1">
      <alignment horizontal="center" vertical="center"/>
    </xf>
    <xf numFmtId="0" fontId="12" fillId="18" borderId="29" xfId="2" applyFont="1" applyFill="1" applyBorder="1" applyAlignment="1" applyProtection="1">
      <alignment horizontal="center" vertical="center"/>
    </xf>
    <xf numFmtId="0" fontId="2" fillId="18" borderId="16" xfId="2" applyFill="1" applyBorder="1" applyAlignment="1" applyProtection="1">
      <alignment horizontal="center" vertical="center"/>
    </xf>
    <xf numFmtId="0" fontId="2" fillId="18" borderId="0" xfId="2" applyFill="1" applyBorder="1" applyAlignment="1" applyProtection="1">
      <alignment horizontal="center" vertical="center"/>
    </xf>
    <xf numFmtId="0" fontId="2" fillId="18" borderId="29" xfId="2" applyFill="1" applyBorder="1" applyAlignment="1" applyProtection="1">
      <alignment horizontal="center" vertical="center"/>
    </xf>
    <xf numFmtId="0" fontId="2" fillId="18" borderId="19" xfId="2" applyFill="1" applyBorder="1" applyAlignment="1" applyProtection="1">
      <alignment horizontal="center" vertical="center"/>
    </xf>
    <xf numFmtId="0" fontId="2" fillId="18" borderId="17" xfId="2" applyFill="1" applyBorder="1" applyAlignment="1" applyProtection="1">
      <alignment horizontal="center" vertical="center"/>
    </xf>
    <xf numFmtId="0" fontId="2" fillId="18" borderId="18" xfId="2" applyFill="1" applyBorder="1" applyAlignment="1" applyProtection="1">
      <alignment horizontal="center" vertical="center"/>
    </xf>
    <xf numFmtId="0" fontId="2" fillId="0" borderId="0" xfId="2" applyAlignment="1">
      <alignment horizontal="center" vertical="center"/>
    </xf>
    <xf numFmtId="2" fontId="52" fillId="17" borderId="33" xfId="5" applyNumberFormat="1" applyFont="1" applyFill="1" applyBorder="1" applyAlignment="1">
      <alignment horizontal="center"/>
    </xf>
    <xf numFmtId="2" fontId="52" fillId="17" borderId="34" xfId="5" applyNumberFormat="1" applyFont="1" applyFill="1" applyBorder="1" applyAlignment="1">
      <alignment horizontal="center"/>
    </xf>
    <xf numFmtId="1" fontId="2" fillId="4" borderId="4" xfId="2" applyNumberFormat="1" applyFill="1" applyBorder="1" applyAlignment="1" applyProtection="1">
      <alignment horizontal="left"/>
      <protection locked="0"/>
    </xf>
    <xf numFmtId="0" fontId="57" fillId="0" borderId="0" xfId="0" applyFont="1" applyAlignment="1">
      <alignment horizontal="left" vertical="center" indent="2"/>
    </xf>
    <xf numFmtId="0" fontId="55" fillId="0" borderId="0" xfId="0" applyFont="1" applyAlignment="1">
      <alignment horizontal="left" vertical="center"/>
    </xf>
    <xf numFmtId="0" fontId="0" fillId="0" borderId="0" xfId="0" applyAlignment="1">
      <alignment horizontal="left"/>
    </xf>
    <xf numFmtId="0" fontId="56" fillId="0" borderId="0" xfId="0" applyFont="1" applyAlignment="1">
      <alignment horizontal="left" vertical="center"/>
    </xf>
    <xf numFmtId="0" fontId="54" fillId="0" borderId="0" xfId="0" applyFont="1" applyAlignment="1">
      <alignment horizontal="left" vertical="center"/>
    </xf>
    <xf numFmtId="0" fontId="59" fillId="0" borderId="0" xfId="0" applyFont="1" applyAlignment="1">
      <alignment horizontal="left" vertical="center"/>
    </xf>
    <xf numFmtId="0" fontId="62" fillId="0" borderId="65" xfId="0" applyFont="1" applyBorder="1" applyAlignment="1">
      <alignment horizontal="left" vertical="center" wrapText="1"/>
    </xf>
    <xf numFmtId="0" fontId="62" fillId="0" borderId="12" xfId="0" applyFont="1" applyBorder="1" applyAlignment="1">
      <alignment horizontal="left" vertical="center" wrapText="1"/>
    </xf>
    <xf numFmtId="0" fontId="54" fillId="0" borderId="40" xfId="0" applyFont="1" applyBorder="1" applyAlignment="1">
      <alignment horizontal="left" vertical="center" wrapText="1"/>
    </xf>
    <xf numFmtId="0" fontId="54" fillId="0" borderId="18" xfId="0" applyFont="1" applyBorder="1" applyAlignment="1">
      <alignment horizontal="left" vertical="center" wrapText="1"/>
    </xf>
    <xf numFmtId="15" fontId="54" fillId="0" borderId="18" xfId="0" applyNumberFormat="1" applyFont="1" applyBorder="1" applyAlignment="1">
      <alignment horizontal="left" vertical="center" wrapText="1"/>
    </xf>
    <xf numFmtId="0" fontId="57" fillId="0" borderId="0" xfId="0" applyFont="1" applyAlignment="1">
      <alignment horizontal="left" vertical="center"/>
    </xf>
    <xf numFmtId="0" fontId="57" fillId="0" borderId="65" xfId="0" applyFont="1" applyBorder="1" applyAlignment="1">
      <alignment horizontal="left" vertical="center" wrapText="1"/>
    </xf>
    <xf numFmtId="0" fontId="57" fillId="0" borderId="12" xfId="0" applyFont="1" applyBorder="1" applyAlignment="1">
      <alignment horizontal="left" vertical="center" wrapText="1"/>
    </xf>
    <xf numFmtId="0" fontId="0" fillId="0" borderId="0" xfId="0" applyAlignment="1">
      <alignment horizontal="center"/>
    </xf>
    <xf numFmtId="0" fontId="0" fillId="0" borderId="0" xfId="0" applyAlignment="1" applyProtection="1">
      <alignment horizontal="center"/>
      <protection locked="0"/>
    </xf>
    <xf numFmtId="0" fontId="27" fillId="0" borderId="5" xfId="5" applyNumberFormat="1" applyFont="1" applyBorder="1" applyAlignment="1" applyProtection="1">
      <alignment horizontal="center"/>
      <protection locked="0"/>
    </xf>
    <xf numFmtId="1" fontId="2" fillId="4" borderId="4" xfId="2" applyNumberFormat="1" applyFill="1" applyBorder="1" applyAlignment="1" applyProtection="1">
      <alignment horizontal="center"/>
      <protection locked="0"/>
    </xf>
    <xf numFmtId="168" fontId="0" fillId="0" borderId="0" xfId="0" applyNumberFormat="1" applyAlignment="1">
      <alignment horizontal="center"/>
    </xf>
    <xf numFmtId="168" fontId="0" fillId="0" borderId="5" xfId="0" applyNumberFormat="1" applyBorder="1" applyAlignment="1" applyProtection="1">
      <alignment horizontal="center"/>
      <protection locked="0"/>
    </xf>
    <xf numFmtId="168" fontId="2" fillId="4" borderId="0" xfId="2" applyNumberFormat="1" applyFill="1"/>
    <xf numFmtId="168" fontId="27" fillId="0" borderId="5" xfId="2" applyNumberFormat="1" applyFont="1" applyBorder="1" applyAlignment="1" applyProtection="1">
      <alignment horizontal="center"/>
      <protection locked="0"/>
    </xf>
    <xf numFmtId="168" fontId="27" fillId="0" borderId="5" xfId="2" applyNumberFormat="1" applyFont="1" applyBorder="1" applyAlignment="1" applyProtection="1">
      <alignment horizontal="left"/>
      <protection locked="0"/>
    </xf>
    <xf numFmtId="164" fontId="27" fillId="0" borderId="5" xfId="2" applyNumberFormat="1" applyFont="1" applyBorder="1" applyAlignment="1" applyProtection="1">
      <alignment horizontal="center"/>
      <protection locked="0"/>
    </xf>
    <xf numFmtId="171" fontId="27" fillId="0" borderId="5" xfId="2" applyNumberFormat="1" applyFont="1" applyBorder="1" applyAlignment="1" applyProtection="1">
      <alignment horizontal="center"/>
      <protection locked="0"/>
    </xf>
    <xf numFmtId="168" fontId="54" fillId="0" borderId="0" xfId="0" applyNumberFormat="1" applyFont="1" applyAlignment="1">
      <alignment horizontal="left" vertical="center"/>
    </xf>
    <xf numFmtId="0" fontId="3" fillId="2" borderId="7" xfId="2" applyFont="1" applyFill="1" applyBorder="1" applyAlignment="1">
      <alignment horizontal="left" vertical="center" wrapText="1"/>
    </xf>
    <xf numFmtId="0" fontId="2" fillId="4" borderId="1" xfId="2" applyFill="1" applyBorder="1" applyAlignment="1">
      <alignment horizontal="center"/>
    </xf>
    <xf numFmtId="0" fontId="2" fillId="0" borderId="2" xfId="2" applyFill="1" applyBorder="1" applyAlignment="1">
      <alignment horizontal="center"/>
    </xf>
    <xf numFmtId="0" fontId="4" fillId="4" borderId="0" xfId="2" applyFont="1" applyFill="1" applyAlignment="1">
      <alignment horizontal="center"/>
    </xf>
    <xf numFmtId="0" fontId="5" fillId="4" borderId="0" xfId="2" applyFont="1" applyFill="1" applyAlignment="1">
      <alignment horizontal="center"/>
    </xf>
    <xf numFmtId="0" fontId="6" fillId="2" borderId="0" xfId="2" applyFont="1" applyFill="1" applyAlignment="1">
      <alignment horizontal="center"/>
    </xf>
    <xf numFmtId="0" fontId="6" fillId="2" borderId="3" xfId="2" applyFont="1" applyFill="1" applyBorder="1" applyAlignment="1">
      <alignment horizontal="center"/>
    </xf>
    <xf numFmtId="1" fontId="8" fillId="4" borderId="4" xfId="2" applyNumberFormat="1" applyFont="1" applyFill="1" applyBorder="1" applyAlignment="1" applyProtection="1">
      <alignment horizontal="left" vertical="center"/>
      <protection locked="0"/>
    </xf>
    <xf numFmtId="0" fontId="9" fillId="5" borderId="5" xfId="2" applyFont="1" applyFill="1" applyBorder="1" applyAlignment="1">
      <alignment horizontal="center" vertical="center"/>
    </xf>
    <xf numFmtId="0" fontId="2" fillId="4" borderId="0" xfId="2" applyFill="1" applyBorder="1" applyAlignment="1">
      <alignment horizontal="center"/>
    </xf>
    <xf numFmtId="0" fontId="7" fillId="4" borderId="6" xfId="2" applyFont="1" applyFill="1" applyBorder="1" applyAlignment="1" applyProtection="1">
      <alignment horizontal="left" vertical="center"/>
      <protection locked="0"/>
    </xf>
    <xf numFmtId="0" fontId="12" fillId="4" borderId="0" xfId="2" applyFont="1" applyFill="1" applyAlignment="1">
      <alignment horizontal="center"/>
    </xf>
    <xf numFmtId="0" fontId="2" fillId="4" borderId="4" xfId="2" applyNumberFormat="1" applyFont="1" applyFill="1" applyBorder="1" applyAlignment="1" applyProtection="1">
      <alignment horizontal="left"/>
      <protection locked="0"/>
    </xf>
    <xf numFmtId="0" fontId="2" fillId="4" borderId="4" xfId="2" applyFont="1" applyFill="1" applyBorder="1" applyAlignment="1" applyProtection="1">
      <alignment horizontal="left"/>
      <protection locked="0"/>
    </xf>
    <xf numFmtId="0" fontId="14" fillId="4" borderId="0" xfId="2" applyNumberFormat="1" applyFont="1" applyFill="1" applyAlignment="1" applyProtection="1">
      <alignment horizontal="center" vertical="top"/>
      <protection locked="0"/>
    </xf>
    <xf numFmtId="0" fontId="14" fillId="4" borderId="0" xfId="2" applyFont="1" applyFill="1" applyAlignment="1" applyProtection="1">
      <alignment horizontal="center" vertical="top"/>
      <protection locked="0"/>
    </xf>
    <xf numFmtId="0" fontId="2" fillId="4" borderId="0" xfId="2" applyFill="1" applyBorder="1" applyAlignment="1" applyProtection="1">
      <alignment horizontal="left" vertical="top" wrapText="1"/>
      <protection locked="0"/>
    </xf>
    <xf numFmtId="0" fontId="14" fillId="4" borderId="4" xfId="2" applyFont="1" applyFill="1" applyBorder="1" applyAlignment="1" applyProtection="1">
      <alignment horizontal="left"/>
      <protection locked="0"/>
    </xf>
    <xf numFmtId="0" fontId="15" fillId="4" borderId="0" xfId="2" applyFont="1" applyFill="1" applyAlignment="1">
      <alignment horizontal="center"/>
    </xf>
    <xf numFmtId="0" fontId="2" fillId="0" borderId="4" xfId="2" applyFont="1" applyFill="1" applyBorder="1" applyAlignment="1" applyProtection="1">
      <alignment horizontal="center"/>
      <protection locked="0"/>
    </xf>
    <xf numFmtId="0" fontId="2" fillId="4" borderId="4" xfId="2" applyFill="1" applyBorder="1" applyAlignment="1" applyProtection="1">
      <alignment horizontal="center"/>
      <protection locked="0"/>
    </xf>
    <xf numFmtId="1" fontId="2" fillId="0" borderId="4" xfId="2" applyNumberFormat="1" applyFont="1" applyFill="1" applyBorder="1" applyAlignment="1" applyProtection="1">
      <alignment horizontal="center"/>
      <protection locked="0"/>
    </xf>
    <xf numFmtId="0" fontId="15" fillId="4" borderId="0" xfId="2" applyFont="1" applyFill="1" applyBorder="1" applyAlignment="1">
      <alignment horizontal="center"/>
    </xf>
    <xf numFmtId="0" fontId="2" fillId="4" borderId="0" xfId="2" applyFill="1" applyBorder="1" applyAlignment="1" applyProtection="1">
      <alignment horizontal="center"/>
      <protection locked="0"/>
    </xf>
    <xf numFmtId="0" fontId="2" fillId="4" borderId="4" xfId="2" applyFill="1" applyBorder="1" applyAlignment="1" applyProtection="1">
      <protection locked="0"/>
    </xf>
    <xf numFmtId="0" fontId="14" fillId="4" borderId="8" xfId="2" applyFont="1" applyFill="1" applyBorder="1" applyAlignment="1">
      <alignment horizontal="right"/>
    </xf>
    <xf numFmtId="0" fontId="16" fillId="4" borderId="0" xfId="2" applyFont="1" applyFill="1" applyAlignment="1">
      <alignment horizontal="center"/>
    </xf>
    <xf numFmtId="0" fontId="2" fillId="4" borderId="0" xfId="2" applyFill="1" applyAlignment="1">
      <alignment horizontal="center"/>
    </xf>
    <xf numFmtId="0" fontId="24" fillId="4" borderId="16" xfId="2" applyFont="1" applyFill="1" applyBorder="1" applyAlignment="1" applyProtection="1">
      <alignment horizontal="right"/>
    </xf>
    <xf numFmtId="0" fontId="24" fillId="4" borderId="0" xfId="2" applyFont="1" applyFill="1" applyBorder="1" applyAlignment="1" applyProtection="1">
      <alignment horizontal="right"/>
    </xf>
    <xf numFmtId="49" fontId="7" fillId="4" borderId="17" xfId="2" applyNumberFormat="1" applyFont="1" applyFill="1" applyBorder="1" applyAlignment="1" applyProtection="1">
      <alignment horizontal="center"/>
      <protection locked="0"/>
    </xf>
    <xf numFmtId="0" fontId="24" fillId="4" borderId="14" xfId="2" applyFont="1" applyFill="1" applyBorder="1" applyAlignment="1" applyProtection="1">
      <alignment horizontal="right"/>
    </xf>
    <xf numFmtId="167" fontId="22" fillId="10" borderId="11" xfId="2" applyNumberFormat="1" applyFont="1" applyFill="1" applyBorder="1" applyAlignment="1" applyProtection="1">
      <alignment horizontal="left" vertical="center" wrapText="1" indent="2"/>
    </xf>
    <xf numFmtId="167" fontId="22" fillId="10" borderId="12" xfId="2" applyNumberFormat="1" applyFont="1" applyFill="1" applyBorder="1" applyAlignment="1" applyProtection="1">
      <alignment horizontal="left" vertical="center" wrapText="1" indent="2"/>
    </xf>
    <xf numFmtId="168" fontId="20" fillId="9" borderId="10" xfId="2" applyNumberFormat="1" applyFont="1" applyFill="1" applyBorder="1" applyAlignment="1">
      <alignment horizontal="center" vertical="center"/>
    </xf>
    <xf numFmtId="168" fontId="20" fillId="9" borderId="11" xfId="2" applyNumberFormat="1" applyFont="1" applyFill="1" applyBorder="1" applyAlignment="1">
      <alignment horizontal="center" vertical="center"/>
    </xf>
    <xf numFmtId="168" fontId="20" fillId="9" borderId="12" xfId="2" applyNumberFormat="1" applyFont="1" applyFill="1" applyBorder="1" applyAlignment="1">
      <alignment horizontal="center" vertical="center"/>
    </xf>
    <xf numFmtId="0" fontId="14" fillId="10" borderId="10" xfId="2" applyFont="1" applyFill="1" applyBorder="1" applyAlignment="1">
      <alignment horizontal="center" vertical="center" wrapText="1"/>
    </xf>
    <xf numFmtId="0" fontId="14" fillId="10" borderId="11" xfId="2" applyFont="1" applyFill="1" applyBorder="1" applyAlignment="1">
      <alignment horizontal="center" vertical="center" wrapText="1"/>
    </xf>
    <xf numFmtId="0" fontId="14" fillId="10" borderId="12" xfId="2" applyFont="1" applyFill="1" applyBorder="1" applyAlignment="1">
      <alignment horizontal="center" vertical="center" wrapText="1"/>
    </xf>
    <xf numFmtId="0" fontId="21" fillId="0" borderId="10" xfId="2" applyFont="1" applyFill="1" applyBorder="1" applyAlignment="1" applyProtection="1">
      <alignment horizontal="center"/>
      <protection locked="0"/>
    </xf>
    <xf numFmtId="0" fontId="21" fillId="0" borderId="11" xfId="2" applyFont="1" applyFill="1" applyBorder="1" applyAlignment="1" applyProtection="1">
      <alignment horizontal="center"/>
      <protection locked="0"/>
    </xf>
    <xf numFmtId="0" fontId="21" fillId="0" borderId="12" xfId="2" applyFont="1" applyFill="1" applyBorder="1" applyAlignment="1" applyProtection="1">
      <alignment horizontal="center"/>
      <protection locked="0"/>
    </xf>
    <xf numFmtId="0" fontId="24" fillId="4" borderId="13" xfId="2" applyFont="1" applyFill="1" applyBorder="1" applyAlignment="1" applyProtection="1">
      <alignment horizontal="right"/>
    </xf>
    <xf numFmtId="0" fontId="25" fillId="0" borderId="11" xfId="2" applyFont="1" applyFill="1" applyBorder="1" applyAlignment="1" applyProtection="1">
      <alignment horizontal="left"/>
      <protection locked="0"/>
    </xf>
    <xf numFmtId="0" fontId="26" fillId="0" borderId="11" xfId="2" applyFont="1" applyFill="1" applyBorder="1" applyAlignment="1" applyProtection="1">
      <alignment horizontal="left"/>
      <protection locked="0"/>
    </xf>
    <xf numFmtId="0" fontId="26" fillId="0" borderId="14" xfId="2" applyFont="1" applyFill="1" applyBorder="1" applyAlignment="1" applyProtection="1">
      <alignment horizontal="left"/>
      <protection locked="0"/>
    </xf>
    <xf numFmtId="0" fontId="26" fillId="0" borderId="15" xfId="2" applyFont="1" applyFill="1" applyBorder="1" applyAlignment="1" applyProtection="1">
      <alignment horizontal="left"/>
      <protection locked="0"/>
    </xf>
    <xf numFmtId="0" fontId="28" fillId="8" borderId="0" xfId="2" applyFont="1" applyFill="1" applyAlignment="1">
      <alignment horizontal="center"/>
    </xf>
    <xf numFmtId="15" fontId="7" fillId="4" borderId="11" xfId="2" applyNumberFormat="1" applyFont="1" applyFill="1" applyBorder="1" applyAlignment="1" applyProtection="1">
      <alignment horizontal="center"/>
      <protection locked="0"/>
    </xf>
    <xf numFmtId="0" fontId="2" fillId="4" borderId="11" xfId="2" applyFont="1" applyFill="1" applyBorder="1" applyAlignment="1" applyProtection="1">
      <alignment horizontal="center"/>
      <protection locked="0"/>
    </xf>
    <xf numFmtId="0" fontId="10" fillId="0" borderId="17" xfId="2" applyFont="1" applyFill="1" applyBorder="1" applyAlignment="1" applyProtection="1">
      <alignment horizontal="center"/>
      <protection locked="0"/>
    </xf>
    <xf numFmtId="0" fontId="10" fillId="0" borderId="18" xfId="2" applyFont="1" applyFill="1" applyBorder="1" applyAlignment="1" applyProtection="1">
      <alignment horizontal="center"/>
      <protection locked="0"/>
    </xf>
    <xf numFmtId="49" fontId="30" fillId="0" borderId="20" xfId="2" applyNumberFormat="1" applyFont="1" applyBorder="1" applyAlignment="1">
      <alignment horizontal="center" vertical="center"/>
    </xf>
    <xf numFmtId="49" fontId="30" fillId="0" borderId="21" xfId="2" applyNumberFormat="1" applyFont="1" applyBorder="1" applyAlignment="1">
      <alignment horizontal="center" vertical="center"/>
    </xf>
    <xf numFmtId="49" fontId="30" fillId="0" borderId="22" xfId="2" applyNumberFormat="1" applyFont="1" applyBorder="1" applyAlignment="1">
      <alignment horizontal="center" vertical="center"/>
    </xf>
    <xf numFmtId="49" fontId="30" fillId="0" borderId="23" xfId="2" applyNumberFormat="1" applyFont="1" applyBorder="1" applyAlignment="1">
      <alignment horizontal="center" vertical="center"/>
    </xf>
    <xf numFmtId="49" fontId="30" fillId="0" borderId="24" xfId="2" applyNumberFormat="1" applyFont="1" applyBorder="1" applyAlignment="1">
      <alignment horizontal="center" vertical="center"/>
    </xf>
    <xf numFmtId="49" fontId="30" fillId="0" borderId="25" xfId="2" applyNumberFormat="1" applyFont="1" applyBorder="1" applyAlignment="1">
      <alignment horizontal="center" vertical="center"/>
    </xf>
    <xf numFmtId="49" fontId="32" fillId="0" borderId="23" xfId="2" applyNumberFormat="1" applyFont="1" applyBorder="1" applyAlignment="1">
      <alignment horizontal="center" vertical="center" wrapText="1"/>
    </xf>
    <xf numFmtId="49" fontId="32" fillId="0" borderId="25" xfId="2" applyNumberFormat="1" applyFont="1" applyBorder="1" applyAlignment="1">
      <alignment horizontal="center" vertical="center" wrapText="1"/>
    </xf>
    <xf numFmtId="0" fontId="27" fillId="12" borderId="38" xfId="2" applyFont="1" applyFill="1" applyBorder="1" applyAlignment="1" applyProtection="1">
      <alignment horizontal="center"/>
    </xf>
    <xf numFmtId="0" fontId="27" fillId="12" borderId="0" xfId="2" applyFont="1" applyFill="1" applyBorder="1" applyAlignment="1" applyProtection="1">
      <alignment horizontal="center"/>
    </xf>
    <xf numFmtId="0" fontId="27" fillId="12" borderId="29" xfId="2" applyFont="1" applyFill="1" applyBorder="1" applyAlignment="1" applyProtection="1">
      <alignment horizontal="center"/>
    </xf>
    <xf numFmtId="0" fontId="27" fillId="18" borderId="19" xfId="2" applyFont="1" applyFill="1" applyBorder="1" applyAlignment="1" applyProtection="1">
      <alignment horizontal="center"/>
    </xf>
    <xf numFmtId="0" fontId="27" fillId="18" borderId="17" xfId="2" applyFont="1" applyFill="1" applyBorder="1" applyAlignment="1" applyProtection="1">
      <alignment horizontal="center"/>
    </xf>
    <xf numFmtId="0" fontId="27" fillId="18" borderId="18" xfId="2" applyFont="1" applyFill="1" applyBorder="1" applyAlignment="1" applyProtection="1">
      <alignment horizontal="center"/>
    </xf>
    <xf numFmtId="168" fontId="38" fillId="18" borderId="16" xfId="2" applyNumberFormat="1" applyFont="1" applyFill="1" applyBorder="1" applyAlignment="1" applyProtection="1">
      <alignment horizontal="center" vertical="center" wrapText="1"/>
    </xf>
    <xf numFmtId="168" fontId="38" fillId="18" borderId="29" xfId="2" applyNumberFormat="1" applyFont="1" applyFill="1" applyBorder="1" applyAlignment="1" applyProtection="1">
      <alignment horizontal="center" vertical="center" wrapText="1"/>
    </xf>
    <xf numFmtId="168" fontId="38" fillId="18" borderId="19" xfId="2" applyNumberFormat="1" applyFont="1" applyFill="1" applyBorder="1" applyAlignment="1" applyProtection="1">
      <alignment horizontal="center" vertical="center" wrapText="1"/>
    </xf>
    <xf numFmtId="168" fontId="38" fillId="18" borderId="18" xfId="2" applyNumberFormat="1" applyFont="1" applyFill="1" applyBorder="1" applyAlignment="1" applyProtection="1">
      <alignment horizontal="center" vertical="center" wrapText="1"/>
    </xf>
    <xf numFmtId="49" fontId="12" fillId="17" borderId="41" xfId="2" applyNumberFormat="1" applyFont="1" applyFill="1" applyBorder="1" applyAlignment="1" applyProtection="1">
      <alignment horizontal="center" vertical="center" wrapText="1"/>
    </xf>
    <xf numFmtId="49" fontId="12" fillId="17" borderId="44" xfId="2" applyNumberFormat="1" applyFont="1" applyFill="1" applyBorder="1" applyAlignment="1" applyProtection="1">
      <alignment horizontal="center" vertical="center" wrapText="1"/>
    </xf>
    <xf numFmtId="49" fontId="12" fillId="17" borderId="47" xfId="2" applyNumberFormat="1" applyFont="1" applyFill="1" applyBorder="1" applyAlignment="1" applyProtection="1">
      <alignment horizontal="center" vertical="center" wrapText="1"/>
    </xf>
    <xf numFmtId="2" fontId="14" fillId="17" borderId="39" xfId="5" applyNumberFormat="1" applyFont="1" applyFill="1" applyBorder="1" applyAlignment="1" applyProtection="1">
      <alignment horizontal="center" vertical="center" wrapText="1"/>
    </xf>
    <xf numFmtId="2" fontId="14" fillId="17" borderId="29" xfId="5" applyNumberFormat="1" applyFont="1" applyFill="1" applyBorder="1" applyAlignment="1" applyProtection="1">
      <alignment horizontal="center" vertical="center" wrapText="1"/>
    </xf>
    <xf numFmtId="2" fontId="14" fillId="17" borderId="18" xfId="5" applyNumberFormat="1" applyFont="1" applyFill="1" applyBorder="1" applyAlignment="1" applyProtection="1">
      <alignment horizontal="center" vertical="center" wrapText="1"/>
    </xf>
    <xf numFmtId="0" fontId="8" fillId="0" borderId="19" xfId="2" applyFont="1" applyFill="1" applyBorder="1" applyAlignment="1" applyProtection="1">
      <alignment horizontal="center" vertical="center"/>
      <protection locked="0"/>
    </xf>
    <xf numFmtId="0" fontId="8" fillId="0" borderId="17" xfId="2" applyFont="1" applyFill="1" applyBorder="1" applyAlignment="1" applyProtection="1">
      <alignment horizontal="center" vertical="center"/>
      <protection locked="0"/>
    </xf>
    <xf numFmtId="0" fontId="8" fillId="0" borderId="0" xfId="2" applyFont="1" applyFill="1" applyBorder="1" applyAlignment="1" applyProtection="1">
      <alignment horizontal="center" vertical="center"/>
      <protection locked="0"/>
    </xf>
    <xf numFmtId="0" fontId="8" fillId="0" borderId="18" xfId="2" applyFont="1" applyFill="1" applyBorder="1" applyAlignment="1" applyProtection="1">
      <alignment horizontal="center" vertical="center"/>
      <protection locked="0"/>
    </xf>
    <xf numFmtId="0" fontId="2" fillId="0" borderId="30" xfId="2" applyBorder="1" applyAlignment="1" applyProtection="1">
      <alignment horizontal="center" vertical="center" wrapText="1"/>
    </xf>
    <xf numFmtId="0" fontId="2" fillId="0" borderId="5" xfId="2" applyBorder="1" applyAlignment="1" applyProtection="1">
      <alignment horizontal="center" vertical="center" wrapText="1"/>
    </xf>
    <xf numFmtId="0" fontId="2" fillId="0" borderId="5" xfId="2" applyBorder="1" applyAlignment="1" applyProtection="1">
      <alignment horizontal="left" vertical="center" wrapText="1"/>
      <protection locked="0"/>
    </xf>
    <xf numFmtId="0" fontId="2" fillId="0" borderId="34" xfId="2" applyBorder="1" applyAlignment="1" applyProtection="1">
      <alignment horizontal="left" vertical="center" wrapText="1"/>
      <protection locked="0"/>
    </xf>
    <xf numFmtId="0" fontId="27" fillId="19" borderId="10" xfId="2" applyFont="1" applyFill="1" applyBorder="1" applyAlignment="1" applyProtection="1">
      <alignment horizontal="right"/>
    </xf>
    <xf numFmtId="0" fontId="27" fillId="19" borderId="11" xfId="2" applyFont="1" applyFill="1" applyBorder="1" applyAlignment="1" applyProtection="1">
      <alignment horizontal="right"/>
    </xf>
    <xf numFmtId="0" fontId="2" fillId="19" borderId="11" xfId="2" applyFont="1" applyFill="1" applyBorder="1" applyAlignment="1" applyProtection="1">
      <alignment horizontal="left" vertical="center"/>
    </xf>
    <xf numFmtId="0" fontId="2" fillId="19" borderId="12" xfId="2" applyFont="1" applyFill="1" applyBorder="1" applyAlignment="1" applyProtection="1">
      <alignment horizontal="left" vertical="center"/>
    </xf>
    <xf numFmtId="0" fontId="2" fillId="12" borderId="10" xfId="2" applyFont="1" applyFill="1" applyBorder="1" applyAlignment="1" applyProtection="1">
      <alignment horizontal="right" vertical="center"/>
    </xf>
    <xf numFmtId="0" fontId="2" fillId="12" borderId="11" xfId="2" applyFont="1" applyFill="1" applyBorder="1" applyAlignment="1" applyProtection="1">
      <alignment horizontal="right" vertical="center"/>
    </xf>
    <xf numFmtId="0" fontId="7" fillId="22" borderId="13" xfId="2" applyFont="1" applyFill="1" applyBorder="1" applyAlignment="1" applyProtection="1">
      <alignment horizontal="center"/>
    </xf>
    <xf numFmtId="0" fontId="2" fillId="0" borderId="15" xfId="2" applyBorder="1" applyAlignment="1">
      <alignment horizontal="center"/>
    </xf>
    <xf numFmtId="0" fontId="2" fillId="0" borderId="19" xfId="2" applyBorder="1" applyAlignment="1">
      <alignment horizontal="center"/>
    </xf>
    <xf numFmtId="0" fontId="2" fillId="0" borderId="18" xfId="2" applyBorder="1" applyAlignment="1">
      <alignment horizontal="center"/>
    </xf>
    <xf numFmtId="0" fontId="2" fillId="22" borderId="11" xfId="2" applyFont="1" applyFill="1" applyBorder="1" applyAlignment="1" applyProtection="1">
      <alignment horizontal="right" vertical="center" wrapText="1"/>
    </xf>
    <xf numFmtId="0" fontId="2" fillId="11" borderId="11" xfId="2" applyFont="1" applyFill="1" applyBorder="1" applyAlignment="1" applyProtection="1">
      <alignment horizontal="right" vertical="center" wrapText="1"/>
    </xf>
    <xf numFmtId="0" fontId="22" fillId="17" borderId="23" xfId="2" applyFont="1" applyFill="1" applyBorder="1" applyAlignment="1" applyProtection="1">
      <alignment horizontal="center" vertical="center" wrapText="1"/>
      <protection locked="0"/>
    </xf>
    <xf numFmtId="0" fontId="22" fillId="17" borderId="57" xfId="2" applyFont="1" applyFill="1" applyBorder="1" applyAlignment="1" applyProtection="1">
      <alignment horizontal="center" vertical="center" wrapText="1"/>
      <protection locked="0"/>
    </xf>
    <xf numFmtId="0" fontId="44" fillId="17" borderId="24" xfId="2" applyFont="1" applyFill="1" applyBorder="1" applyAlignment="1" applyProtection="1">
      <alignment horizontal="center" vertical="center" wrapText="1"/>
      <protection locked="0"/>
    </xf>
    <xf numFmtId="0" fontId="45" fillId="17" borderId="24" xfId="2" applyFont="1" applyFill="1" applyBorder="1" applyAlignment="1" applyProtection="1">
      <alignment horizontal="center" vertical="center" wrapText="1"/>
    </xf>
    <xf numFmtId="0" fontId="45" fillId="17" borderId="25" xfId="2" applyFont="1" applyFill="1" applyBorder="1" applyAlignment="1" applyProtection="1">
      <alignment horizontal="center" vertical="center" wrapText="1"/>
    </xf>
    <xf numFmtId="0" fontId="2" fillId="0" borderId="45" xfId="2" applyFont="1" applyBorder="1" applyAlignment="1" applyProtection="1">
      <alignment horizontal="left" vertical="center" wrapText="1"/>
      <protection locked="0"/>
    </xf>
    <xf numFmtId="0" fontId="2" fillId="0" borderId="70" xfId="2" applyFont="1" applyBorder="1" applyAlignment="1" applyProtection="1">
      <alignment horizontal="left" vertical="center" wrapText="1"/>
      <protection locked="0"/>
    </xf>
    <xf numFmtId="0" fontId="2" fillId="0" borderId="71" xfId="2" applyFont="1" applyBorder="1" applyAlignment="1" applyProtection="1">
      <alignment horizontal="left" vertical="center" wrapText="1"/>
      <protection locked="0"/>
    </xf>
    <xf numFmtId="168" fontId="2" fillId="0" borderId="45" xfId="2" applyNumberFormat="1" applyFont="1" applyBorder="1" applyAlignment="1" applyProtection="1">
      <alignment horizontal="left" vertical="center" wrapText="1"/>
      <protection locked="0"/>
    </xf>
    <xf numFmtId="168" fontId="2" fillId="0" borderId="70" xfId="2" applyNumberFormat="1" applyFont="1" applyBorder="1" applyAlignment="1" applyProtection="1">
      <alignment horizontal="left" vertical="center" wrapText="1"/>
      <protection locked="0"/>
    </xf>
    <xf numFmtId="168" fontId="2" fillId="0" borderId="71" xfId="2" applyNumberFormat="1" applyFont="1" applyBorder="1" applyAlignment="1" applyProtection="1">
      <alignment horizontal="left" vertical="center" wrapText="1"/>
      <protection locked="0"/>
    </xf>
    <xf numFmtId="0" fontId="22" fillId="18" borderId="10" xfId="2" applyFont="1" applyFill="1" applyBorder="1" applyAlignment="1">
      <alignment horizontal="center"/>
    </xf>
    <xf numFmtId="0" fontId="22" fillId="18" borderId="11" xfId="2" applyFont="1" applyFill="1" applyBorder="1" applyAlignment="1">
      <alignment horizontal="center"/>
    </xf>
    <xf numFmtId="0" fontId="22" fillId="18" borderId="12" xfId="2" applyFont="1" applyFill="1" applyBorder="1" applyAlignment="1">
      <alignment horizontal="center"/>
    </xf>
    <xf numFmtId="0" fontId="39" fillId="33" borderId="10" xfId="2" applyFont="1" applyFill="1" applyBorder="1" applyAlignment="1">
      <alignment horizontal="center"/>
    </xf>
    <xf numFmtId="0" fontId="39" fillId="33" borderId="11" xfId="2" applyFont="1" applyFill="1" applyBorder="1" applyAlignment="1">
      <alignment horizontal="center"/>
    </xf>
    <xf numFmtId="0" fontId="39" fillId="33" borderId="12" xfId="2" applyFont="1" applyFill="1" applyBorder="1" applyAlignment="1">
      <alignment horizontal="center"/>
    </xf>
    <xf numFmtId="0" fontId="39" fillId="30" borderId="16" xfId="2" applyFont="1" applyFill="1" applyBorder="1" applyAlignment="1">
      <alignment horizontal="right"/>
    </xf>
    <xf numFmtId="0" fontId="39" fillId="30" borderId="0" xfId="2" applyFont="1" applyFill="1" applyBorder="1" applyAlignment="1">
      <alignment horizontal="right"/>
    </xf>
    <xf numFmtId="0" fontId="39" fillId="11" borderId="10" xfId="2" applyFont="1" applyFill="1" applyBorder="1" applyAlignment="1">
      <alignment horizontal="right"/>
    </xf>
    <xf numFmtId="0" fontId="39" fillId="11" borderId="11" xfId="2" applyFont="1" applyFill="1" applyBorder="1" applyAlignment="1">
      <alignment horizontal="right"/>
    </xf>
    <xf numFmtId="0" fontId="39" fillId="11" borderId="12" xfId="2" applyFont="1" applyFill="1" applyBorder="1" applyAlignment="1">
      <alignment horizontal="right"/>
    </xf>
    <xf numFmtId="0" fontId="12" fillId="11" borderId="19" xfId="2" applyFont="1" applyFill="1" applyBorder="1" applyAlignment="1">
      <alignment horizontal="left" vertical="center" wrapText="1"/>
    </xf>
    <xf numFmtId="0" fontId="12" fillId="11" borderId="61" xfId="2" applyFont="1" applyFill="1" applyBorder="1" applyAlignment="1">
      <alignment horizontal="left" vertical="center" wrapText="1"/>
    </xf>
    <xf numFmtId="0" fontId="12" fillId="11" borderId="62" xfId="2" applyFont="1" applyFill="1" applyBorder="1" applyAlignment="1">
      <alignment horizontal="left" vertical="center" wrapText="1"/>
    </xf>
    <xf numFmtId="0" fontId="12" fillId="12" borderId="10" xfId="2" applyFont="1" applyFill="1" applyBorder="1" applyAlignment="1">
      <alignment horizontal="center" vertical="center"/>
    </xf>
    <xf numFmtId="0" fontId="12" fillId="12" borderId="11" xfId="2" applyFont="1" applyFill="1" applyBorder="1" applyAlignment="1">
      <alignment horizontal="center" vertical="center"/>
    </xf>
    <xf numFmtId="0" fontId="12" fillId="12" borderId="12" xfId="2" applyFont="1" applyFill="1" applyBorder="1" applyAlignment="1">
      <alignment horizontal="center" vertical="center"/>
    </xf>
    <xf numFmtId="0" fontId="2" fillId="0" borderId="20" xfId="2" applyBorder="1" applyAlignment="1">
      <alignment horizontal="left" vertical="center" wrapText="1"/>
    </xf>
    <xf numFmtId="0" fontId="2" fillId="0" borderId="21" xfId="2" applyBorder="1" applyAlignment="1">
      <alignment horizontal="left" vertical="center" wrapText="1"/>
    </xf>
    <xf numFmtId="0" fontId="2" fillId="0" borderId="22" xfId="2" applyBorder="1" applyAlignment="1">
      <alignment horizontal="left" vertical="center" wrapText="1"/>
    </xf>
    <xf numFmtId="0" fontId="2" fillId="0" borderId="35" xfId="2" applyBorder="1" applyAlignment="1">
      <alignment horizontal="left" vertical="center" wrapText="1"/>
    </xf>
    <xf numFmtId="0" fontId="2" fillId="0" borderId="36" xfId="2" applyBorder="1" applyAlignment="1">
      <alignment horizontal="left" vertical="center" wrapText="1"/>
    </xf>
    <xf numFmtId="0" fontId="2" fillId="0" borderId="37" xfId="2" applyBorder="1" applyAlignment="1">
      <alignment horizontal="left" vertical="center" wrapText="1"/>
    </xf>
    <xf numFmtId="0" fontId="39" fillId="10" borderId="10" xfId="2" applyFont="1" applyFill="1" applyBorder="1" applyAlignment="1">
      <alignment horizontal="right"/>
    </xf>
    <xf numFmtId="0" fontId="39" fillId="10" borderId="11" xfId="2" applyFont="1" applyFill="1" applyBorder="1" applyAlignment="1">
      <alignment horizontal="right"/>
    </xf>
    <xf numFmtId="0" fontId="39" fillId="10" borderId="12" xfId="2" applyFont="1" applyFill="1" applyBorder="1" applyAlignment="1">
      <alignment horizontal="right"/>
    </xf>
    <xf numFmtId="0" fontId="14" fillId="0" borderId="0" xfId="2" applyFont="1" applyAlignment="1">
      <alignment horizontal="center"/>
    </xf>
    <xf numFmtId="0" fontId="14" fillId="18" borderId="13" xfId="2" applyFont="1" applyFill="1" applyBorder="1" applyAlignment="1">
      <alignment horizontal="left" vertical="center" wrapText="1"/>
    </xf>
    <xf numFmtId="0" fontId="14" fillId="18" borderId="14" xfId="2" applyFont="1" applyFill="1" applyBorder="1" applyAlignment="1">
      <alignment horizontal="left" vertical="center" wrapText="1"/>
    </xf>
    <xf numFmtId="0" fontId="14" fillId="18" borderId="15" xfId="2" applyFont="1" applyFill="1" applyBorder="1" applyAlignment="1">
      <alignment horizontal="left" vertical="center" wrapText="1"/>
    </xf>
    <xf numFmtId="0" fontId="14" fillId="18" borderId="16" xfId="2" applyFont="1" applyFill="1" applyBorder="1" applyAlignment="1">
      <alignment horizontal="left" vertical="center" wrapText="1"/>
    </xf>
    <xf numFmtId="0" fontId="14" fillId="18" borderId="0" xfId="2" applyFont="1" applyFill="1" applyBorder="1" applyAlignment="1">
      <alignment horizontal="left" vertical="center" wrapText="1"/>
    </xf>
    <xf numFmtId="0" fontId="14" fillId="18" borderId="29" xfId="2" applyFont="1" applyFill="1" applyBorder="1" applyAlignment="1">
      <alignment horizontal="left" vertical="center" wrapText="1"/>
    </xf>
    <xf numFmtId="0" fontId="14" fillId="18" borderId="16" xfId="2" applyFont="1" applyFill="1" applyBorder="1" applyAlignment="1">
      <alignment horizontal="center" vertical="center" wrapText="1"/>
    </xf>
    <xf numFmtId="0" fontId="14" fillId="18" borderId="0" xfId="2" applyFont="1" applyFill="1" applyBorder="1" applyAlignment="1">
      <alignment horizontal="center" vertical="center" wrapText="1"/>
    </xf>
    <xf numFmtId="0" fontId="14" fillId="18" borderId="29" xfId="2" applyFont="1" applyFill="1" applyBorder="1" applyAlignment="1">
      <alignment horizontal="center" vertical="center" wrapText="1"/>
    </xf>
    <xf numFmtId="0" fontId="14" fillId="18" borderId="19" xfId="2" applyFont="1" applyFill="1" applyBorder="1" applyAlignment="1">
      <alignment horizontal="center" vertical="center" wrapText="1"/>
    </xf>
    <xf numFmtId="0" fontId="14" fillId="18" borderId="17" xfId="2" applyFont="1" applyFill="1" applyBorder="1" applyAlignment="1">
      <alignment horizontal="center" vertical="center" wrapText="1"/>
    </xf>
    <xf numFmtId="0" fontId="14" fillId="18" borderId="18" xfId="2" applyFont="1" applyFill="1" applyBorder="1" applyAlignment="1">
      <alignment horizontal="center" vertical="center" wrapText="1"/>
    </xf>
    <xf numFmtId="0" fontId="11" fillId="27" borderId="52" xfId="2" applyFont="1" applyFill="1" applyBorder="1" applyAlignment="1">
      <alignment horizontal="center"/>
    </xf>
    <xf numFmtId="0" fontId="11" fillId="27" borderId="54" xfId="2" applyFont="1" applyFill="1" applyBorder="1" applyAlignment="1">
      <alignment horizontal="center"/>
    </xf>
    <xf numFmtId="0" fontId="11" fillId="27" borderId="27" xfId="2" applyFont="1" applyFill="1" applyBorder="1" applyAlignment="1">
      <alignment horizontal="center"/>
    </xf>
    <xf numFmtId="0" fontId="11" fillId="27" borderId="28" xfId="2" applyFont="1" applyFill="1" applyBorder="1" applyAlignment="1">
      <alignment horizontal="center"/>
    </xf>
    <xf numFmtId="0" fontId="11" fillId="28" borderId="49" xfId="2" applyFont="1" applyFill="1" applyBorder="1" applyAlignment="1">
      <alignment horizontal="center"/>
    </xf>
    <xf numFmtId="0" fontId="11" fillId="28" borderId="48" xfId="2" applyFont="1" applyFill="1" applyBorder="1" applyAlignment="1">
      <alignment horizontal="center"/>
    </xf>
    <xf numFmtId="0" fontId="11" fillId="28" borderId="27" xfId="2" applyFont="1" applyFill="1" applyBorder="1" applyAlignment="1">
      <alignment horizontal="center"/>
    </xf>
    <xf numFmtId="0" fontId="11" fillId="28" borderId="28" xfId="2" applyFont="1" applyFill="1" applyBorder="1" applyAlignment="1">
      <alignment horizontal="center"/>
    </xf>
    <xf numFmtId="0" fontId="39" fillId="10" borderId="61" xfId="2" applyFont="1" applyFill="1" applyBorder="1" applyAlignment="1">
      <alignment horizontal="right"/>
    </xf>
    <xf numFmtId="0" fontId="39" fillId="10" borderId="62" xfId="2" applyFont="1" applyFill="1" applyBorder="1" applyAlignment="1">
      <alignment horizontal="right"/>
    </xf>
    <xf numFmtId="0" fontId="29" fillId="0" borderId="0" xfId="2" applyFont="1" applyAlignment="1">
      <alignment horizontal="center" vertical="center"/>
    </xf>
    <xf numFmtId="0" fontId="2" fillId="0" borderId="17" xfId="2" applyBorder="1" applyAlignment="1">
      <alignment horizontal="left"/>
    </xf>
    <xf numFmtId="0" fontId="23" fillId="10" borderId="10" xfId="2" applyFont="1" applyFill="1" applyBorder="1" applyAlignment="1">
      <alignment horizontal="center" vertical="center" wrapText="1"/>
    </xf>
    <xf numFmtId="0" fontId="23" fillId="10" borderId="11" xfId="2" applyFont="1" applyFill="1" applyBorder="1" applyAlignment="1">
      <alignment horizontal="center" vertical="center" wrapText="1"/>
    </xf>
    <xf numFmtId="0" fontId="23" fillId="10" borderId="12" xfId="2" applyFont="1" applyFill="1" applyBorder="1" applyAlignment="1">
      <alignment horizontal="center" vertical="center" wrapText="1"/>
    </xf>
    <xf numFmtId="0" fontId="25" fillId="0" borderId="23" xfId="0" applyFont="1" applyFill="1" applyBorder="1" applyAlignment="1" applyProtection="1">
      <alignment horizontal="center" vertical="center"/>
      <protection locked="0"/>
    </xf>
    <xf numFmtId="0" fontId="25" fillId="0" borderId="24" xfId="0" applyFont="1" applyFill="1" applyBorder="1" applyAlignment="1" applyProtection="1">
      <alignment horizontal="center" vertical="center"/>
      <protection locked="0"/>
    </xf>
    <xf numFmtId="0" fontId="25" fillId="0" borderId="25" xfId="0" applyFont="1" applyFill="1" applyBorder="1" applyAlignment="1" applyProtection="1">
      <alignment horizontal="center" vertical="center"/>
      <protection locked="0"/>
    </xf>
    <xf numFmtId="0" fontId="44" fillId="0" borderId="60" xfId="0" applyFont="1" applyFill="1" applyBorder="1" applyAlignment="1" applyProtection="1">
      <alignment horizontal="center" vertical="center"/>
      <protection locked="0"/>
    </xf>
    <xf numFmtId="0" fontId="44" fillId="0" borderId="61" xfId="0" applyFont="1" applyFill="1" applyBorder="1" applyAlignment="1" applyProtection="1">
      <alignment horizontal="center" vertical="center"/>
      <protection locked="0"/>
    </xf>
    <xf numFmtId="0" fontId="44" fillId="0" borderId="62" xfId="0" applyFont="1" applyFill="1" applyBorder="1" applyAlignment="1" applyProtection="1">
      <alignment horizontal="center" vertical="center"/>
      <protection locked="0"/>
    </xf>
    <xf numFmtId="0" fontId="14" fillId="0" borderId="13" xfId="2" applyFont="1" applyFill="1" applyBorder="1" applyAlignment="1" applyProtection="1">
      <alignment horizontal="left" vertical="top" wrapText="1"/>
      <protection locked="0"/>
    </xf>
    <xf numFmtId="0" fontId="14" fillId="0" borderId="15" xfId="2" applyFont="1" applyFill="1" applyBorder="1" applyAlignment="1" applyProtection="1">
      <alignment horizontal="left" vertical="top" wrapText="1"/>
      <protection locked="0"/>
    </xf>
    <xf numFmtId="0" fontId="14" fillId="0" borderId="19" xfId="2" applyFont="1" applyFill="1" applyBorder="1" applyAlignment="1" applyProtection="1">
      <alignment horizontal="left" vertical="top" wrapText="1"/>
      <protection locked="0"/>
    </xf>
    <xf numFmtId="0" fontId="14" fillId="0" borderId="18" xfId="2" applyFont="1" applyFill="1" applyBorder="1" applyAlignment="1" applyProtection="1">
      <alignment horizontal="left" vertical="top" wrapText="1"/>
      <protection locked="0"/>
    </xf>
    <xf numFmtId="0" fontId="57" fillId="0" borderId="53" xfId="0" applyFont="1" applyBorder="1" applyAlignment="1">
      <alignment horizontal="left" vertical="center" wrapText="1"/>
    </xf>
    <xf numFmtId="0" fontId="57" fillId="0" borderId="40" xfId="0" applyFont="1" applyBorder="1" applyAlignment="1">
      <alignment horizontal="left" vertical="center" wrapText="1"/>
    </xf>
    <xf numFmtId="15" fontId="57" fillId="0" borderId="53" xfId="0" applyNumberFormat="1" applyFont="1" applyBorder="1" applyAlignment="1">
      <alignment horizontal="center" vertical="center" wrapText="1"/>
    </xf>
    <xf numFmtId="15" fontId="57" fillId="0" borderId="40" xfId="0" applyNumberFormat="1" applyFont="1" applyBorder="1" applyAlignment="1">
      <alignment horizontal="center" vertical="center" wrapText="1"/>
    </xf>
  </cellXfs>
  <cellStyles count="6">
    <cellStyle name="Comma 2" xfId="3"/>
    <cellStyle name="Normal" xfId="0" builtinId="0"/>
    <cellStyle name="Normal 2" xfId="2"/>
    <cellStyle name="Normal 2 2" xfId="4"/>
    <cellStyle name="Percent" xfId="1" builtinId="5"/>
    <cellStyle name="Percent 2" xfId="5"/>
  </cellStyles>
  <dxfs count="13">
    <dxf>
      <font>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bgColor indexed="13"/>
        </patternFill>
      </fill>
    </dxf>
    <dxf>
      <fill>
        <patternFill>
          <bgColor indexed="10"/>
        </patternFill>
      </fill>
    </dxf>
    <dxf>
      <font>
        <condense val="0"/>
        <extend val="0"/>
        <color indexed="10"/>
      </font>
      <fill>
        <patternFill patternType="none">
          <bgColor indexed="65"/>
        </patternFill>
      </fill>
    </dxf>
    <dxf>
      <fill>
        <patternFill>
          <bgColor indexed="46"/>
        </patternFill>
      </fill>
    </dxf>
    <dxf>
      <font>
        <condense val="0"/>
        <extend val="0"/>
        <color auto="1"/>
      </font>
      <fill>
        <patternFill>
          <bgColor indexed="15"/>
        </patternFill>
      </fill>
    </dxf>
    <dxf>
      <font>
        <b/>
        <i val="0"/>
        <condense val="0"/>
        <extend val="0"/>
        <color indexed="10"/>
      </font>
    </dxf>
    <dxf>
      <font>
        <b/>
        <i val="0"/>
        <condense val="0"/>
        <extend val="0"/>
      </font>
      <fill>
        <patternFill>
          <bgColor indexed="13"/>
        </patternFill>
      </fill>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79176FB0-B7F2-11CE-97EF-00AA006D2776}"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79176FB0-B7F2-11CE-97EF-00AA006D2776}"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
          <c:y val="0"/>
        </c:manualLayout>
      </c:layout>
      <c:overlay val="0"/>
      <c:spPr>
        <a:noFill/>
        <a:ln w="25400">
          <a:noFill/>
        </a:ln>
      </c:spPr>
      <c:txPr>
        <a:bodyPr/>
        <a:lstStyle/>
        <a:p>
          <a:pPr>
            <a:defRPr sz="275" b="1"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0"/>
        <c:ser>
          <c:idx val="0"/>
          <c:order val="0"/>
          <c:tx>
            <c:v>Frequency</c:v>
          </c:tx>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167430016"/>
        <c:axId val="172467712"/>
      </c:barChart>
      <c:lineChart>
        <c:grouping val="standard"/>
        <c:varyColors val="0"/>
        <c:ser>
          <c:idx val="1"/>
          <c:order val="1"/>
          <c:tx>
            <c:v>Cumulative %</c:v>
          </c:tx>
          <c:spPr>
            <a:ln w="12700">
              <a:solidFill>
                <a:srgbClr val="FF00FF"/>
              </a:solidFill>
              <a:prstDash val="solid"/>
            </a:ln>
          </c:spPr>
          <c:marker>
            <c:symbol val="square"/>
            <c:size val="5"/>
            <c:spPr>
              <a:solidFill>
                <a:srgbClr val="FF00FF"/>
              </a:solidFill>
              <a:ln>
                <a:solidFill>
                  <a:srgbClr val="FF00FF"/>
                </a:solidFill>
                <a:prstDash val="solid"/>
              </a:ln>
            </c:spPr>
          </c:marker>
          <c:val>
            <c:numLit>
              <c:formatCode>General</c:formatCode>
              <c:ptCount val="1"/>
              <c:pt idx="0">
                <c:v>0</c:v>
              </c:pt>
            </c:numLit>
          </c:val>
          <c:smooth val="0"/>
        </c:ser>
        <c:dLbls>
          <c:showLegendKey val="0"/>
          <c:showVal val="0"/>
          <c:showCatName val="0"/>
          <c:showSerName val="0"/>
          <c:showPercent val="0"/>
          <c:showBubbleSize val="0"/>
        </c:dLbls>
        <c:marker val="1"/>
        <c:smooth val="0"/>
        <c:axId val="174080384"/>
        <c:axId val="180531200"/>
      </c:lineChart>
      <c:catAx>
        <c:axId val="16743001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72467712"/>
        <c:crosses val="autoZero"/>
        <c:auto val="1"/>
        <c:lblAlgn val="ctr"/>
        <c:lblOffset val="100"/>
        <c:tickLblSkip val="1"/>
        <c:tickMarkSkip val="1"/>
        <c:noMultiLvlLbl val="0"/>
      </c:catAx>
      <c:valAx>
        <c:axId val="172467712"/>
        <c:scaling>
          <c:orientation val="minMax"/>
        </c:scaling>
        <c:delete val="0"/>
        <c:axPos val="l"/>
        <c:numFmt formatCode="General" sourceLinked="1"/>
        <c:majorTickMark val="cross"/>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67430016"/>
        <c:crosses val="autoZero"/>
        <c:crossBetween val="between"/>
      </c:valAx>
      <c:catAx>
        <c:axId val="174080384"/>
        <c:scaling>
          <c:orientation val="minMax"/>
        </c:scaling>
        <c:delete val="1"/>
        <c:axPos val="b"/>
        <c:majorTickMark val="out"/>
        <c:minorTickMark val="none"/>
        <c:tickLblPos val="nextTo"/>
        <c:crossAx val="180531200"/>
        <c:crosses val="autoZero"/>
        <c:auto val="1"/>
        <c:lblAlgn val="ctr"/>
        <c:lblOffset val="100"/>
        <c:noMultiLvlLbl val="0"/>
      </c:catAx>
      <c:valAx>
        <c:axId val="180531200"/>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74080384"/>
        <c:crosses val="max"/>
        <c:crossBetween val="between"/>
      </c:valAx>
      <c:spPr>
        <a:noFill/>
        <a:ln w="25400">
          <a:noFill/>
        </a:ln>
      </c:spPr>
    </c:plotArea>
    <c:legend>
      <c:legendPos val="r"/>
      <c:overlay val="0"/>
      <c:spPr>
        <a:solidFill>
          <a:srgbClr val="FFFFFF"/>
        </a:solidFill>
        <a:ln w="3175">
          <a:solidFill>
            <a:srgbClr val="000000"/>
          </a:solidFill>
          <a:prstDash val="solid"/>
        </a:ln>
      </c:spPr>
      <c:txPr>
        <a:bodyPr/>
        <a:lstStyle/>
        <a:p>
          <a:pPr>
            <a:defRPr sz="1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orientation="landscape" horizontalDpi="1200" verticalDpi="12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Data Histogram</a:t>
            </a:r>
          </a:p>
        </c:rich>
      </c:tx>
      <c:layout>
        <c:manualLayout>
          <c:xMode val="edge"/>
          <c:yMode val="edge"/>
          <c:x val="0.252089931066309"/>
          <c:y val="2.0710155133047393E-2"/>
        </c:manualLayout>
      </c:layout>
      <c:overlay val="0"/>
      <c:spPr>
        <a:noFill/>
        <a:ln w="25400">
          <a:noFill/>
        </a:ln>
      </c:spPr>
    </c:title>
    <c:autoTitleDeleted val="0"/>
    <c:view3D>
      <c:rotX val="15"/>
      <c:rotY val="20"/>
      <c:depthPercent val="100"/>
      <c:rAngAx val="1"/>
    </c:view3D>
    <c:floor>
      <c:thickness val="0"/>
    </c:floor>
    <c:sideWall>
      <c:thickness val="0"/>
    </c:sideWall>
    <c:backWall>
      <c:thickness val="0"/>
    </c:backWall>
    <c:plotArea>
      <c:layout>
        <c:manualLayout>
          <c:layoutTarget val="inner"/>
          <c:xMode val="edge"/>
          <c:yMode val="edge"/>
          <c:x val="0.12888548480048001"/>
          <c:y val="0.17190981048628798"/>
          <c:w val="0.84193267657829396"/>
          <c:h val="0.56149296298592488"/>
        </c:manualLayout>
      </c:layout>
      <c:bar3DChart>
        <c:barDir val="col"/>
        <c:grouping val="stacked"/>
        <c:varyColors val="0"/>
        <c:ser>
          <c:idx val="0"/>
          <c:order val="0"/>
          <c:tx>
            <c:v>Repeatability Data</c:v>
          </c:tx>
          <c:invertIfNegative val="0"/>
          <c:cat>
            <c:numRef>
              <c:f>repeat_A!$C$106:$C$108</c:f>
              <c:numCache>
                <c:formatCode>General</c:formatCode>
                <c:ptCount val="3"/>
                <c:pt idx="0">
                  <c:v>90.499999999981995</c:v>
                </c:pt>
                <c:pt idx="1">
                  <c:v>92.299999999981992</c:v>
                </c:pt>
                <c:pt idx="2">
                  <c:v>93.2</c:v>
                </c:pt>
              </c:numCache>
            </c:numRef>
          </c:cat>
          <c:val>
            <c:numRef>
              <c:f>repeat_A!$D$106:$D$108</c:f>
              <c:numCache>
                <c:formatCode>General</c:formatCode>
                <c:ptCount val="3"/>
                <c:pt idx="0">
                  <c:v>4</c:v>
                </c:pt>
                <c:pt idx="1">
                  <c:v>5</c:v>
                </c:pt>
                <c:pt idx="2">
                  <c:v>1</c:v>
                </c:pt>
              </c:numCache>
            </c:numRef>
          </c:val>
        </c:ser>
        <c:dLbls>
          <c:showLegendKey val="0"/>
          <c:showVal val="0"/>
          <c:showCatName val="0"/>
          <c:showSerName val="0"/>
          <c:showPercent val="0"/>
          <c:showBubbleSize val="0"/>
        </c:dLbls>
        <c:gapWidth val="13"/>
        <c:gapDepth val="100"/>
        <c:shape val="box"/>
        <c:axId val="190023936"/>
        <c:axId val="198236800"/>
        <c:axId val="0"/>
      </c:bar3DChart>
      <c:catAx>
        <c:axId val="1900239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98236800"/>
        <c:crosses val="autoZero"/>
        <c:auto val="1"/>
        <c:lblAlgn val="ctr"/>
        <c:lblOffset val="100"/>
        <c:noMultiLvlLbl val="0"/>
      </c:catAx>
      <c:valAx>
        <c:axId val="198236800"/>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90023936"/>
        <c:crosses val="autoZero"/>
        <c:crossBetween val="between"/>
      </c:valAx>
      <c:spPr>
        <a:noFill/>
        <a:ln w="25400">
          <a:noFill/>
        </a:ln>
      </c:spPr>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22" l="0.70000000000000062" r="0.70000000000000062" t="0.750000000000001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
          <c:y val="0"/>
        </c:manualLayout>
      </c:layout>
      <c:overlay val="0"/>
      <c:spPr>
        <a:noFill/>
        <a:ln w="25400">
          <a:noFill/>
        </a:ln>
      </c:spPr>
      <c:txPr>
        <a:bodyPr/>
        <a:lstStyle/>
        <a:p>
          <a:pPr>
            <a:defRPr sz="275" b="1" i="0" u="none" strike="noStrike" baseline="0">
              <a:solidFill>
                <a:srgbClr val="000000"/>
              </a:solidFill>
              <a:latin typeface="Arial"/>
              <a:ea typeface="Arial"/>
              <a:cs typeface="Arial"/>
            </a:defRPr>
          </a:pPr>
          <a:endParaRPr lang="en-US"/>
        </a:p>
      </c:txPr>
    </c:title>
    <c:autoTitleDeleted val="0"/>
    <c:plotArea>
      <c:layout/>
      <c:barChart>
        <c:barDir val="col"/>
        <c:grouping val="clustered"/>
        <c:varyColors val="0"/>
        <c:ser>
          <c:idx val="0"/>
          <c:order val="0"/>
          <c:tx>
            <c:v>Frequency</c:v>
          </c:tx>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35730944"/>
        <c:axId val="35732864"/>
      </c:barChart>
      <c:lineChart>
        <c:grouping val="standard"/>
        <c:varyColors val="0"/>
        <c:ser>
          <c:idx val="1"/>
          <c:order val="1"/>
          <c:tx>
            <c:v>Cumulative %</c:v>
          </c:tx>
          <c:spPr>
            <a:ln w="12700">
              <a:solidFill>
                <a:srgbClr val="FF00FF"/>
              </a:solidFill>
              <a:prstDash val="solid"/>
            </a:ln>
          </c:spPr>
          <c:marker>
            <c:symbol val="square"/>
            <c:size val="5"/>
            <c:spPr>
              <a:solidFill>
                <a:srgbClr val="FF00FF"/>
              </a:solidFill>
              <a:ln>
                <a:solidFill>
                  <a:srgbClr val="FF00FF"/>
                </a:solidFill>
                <a:prstDash val="solid"/>
              </a:ln>
            </c:spPr>
          </c:marker>
          <c:val>
            <c:numLit>
              <c:formatCode>General</c:formatCode>
              <c:ptCount val="1"/>
              <c:pt idx="0">
                <c:v>0</c:v>
              </c:pt>
            </c:numLit>
          </c:val>
          <c:smooth val="0"/>
        </c:ser>
        <c:dLbls>
          <c:showLegendKey val="0"/>
          <c:showVal val="0"/>
          <c:showCatName val="0"/>
          <c:showSerName val="0"/>
          <c:showPercent val="0"/>
          <c:showBubbleSize val="0"/>
        </c:dLbls>
        <c:marker val="1"/>
        <c:smooth val="0"/>
        <c:axId val="35751040"/>
        <c:axId val="35752576"/>
      </c:lineChart>
      <c:catAx>
        <c:axId val="3573094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35732864"/>
        <c:crosses val="autoZero"/>
        <c:auto val="1"/>
        <c:lblAlgn val="ctr"/>
        <c:lblOffset val="100"/>
        <c:tickLblSkip val="1"/>
        <c:tickMarkSkip val="1"/>
        <c:noMultiLvlLbl val="0"/>
      </c:catAx>
      <c:valAx>
        <c:axId val="35732864"/>
        <c:scaling>
          <c:orientation val="minMax"/>
        </c:scaling>
        <c:delete val="0"/>
        <c:axPos val="l"/>
        <c:numFmt formatCode="General" sourceLinked="1"/>
        <c:majorTickMark val="cross"/>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35730944"/>
        <c:crosses val="autoZero"/>
        <c:crossBetween val="between"/>
      </c:valAx>
      <c:catAx>
        <c:axId val="35751040"/>
        <c:scaling>
          <c:orientation val="minMax"/>
        </c:scaling>
        <c:delete val="1"/>
        <c:axPos val="b"/>
        <c:majorTickMark val="out"/>
        <c:minorTickMark val="none"/>
        <c:tickLblPos val="nextTo"/>
        <c:crossAx val="35752576"/>
        <c:crosses val="autoZero"/>
        <c:auto val="1"/>
        <c:lblAlgn val="ctr"/>
        <c:lblOffset val="100"/>
        <c:noMultiLvlLbl val="0"/>
      </c:catAx>
      <c:valAx>
        <c:axId val="35752576"/>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35751040"/>
        <c:crosses val="max"/>
        <c:crossBetween val="between"/>
      </c:valAx>
      <c:spPr>
        <a:noFill/>
        <a:ln w="25400">
          <a:noFill/>
        </a:ln>
      </c:spPr>
    </c:plotArea>
    <c:legend>
      <c:legendPos val="r"/>
      <c:overlay val="0"/>
      <c:spPr>
        <a:solidFill>
          <a:srgbClr val="FFFFFF"/>
        </a:solidFill>
        <a:ln w="3175">
          <a:solidFill>
            <a:srgbClr val="000000"/>
          </a:solidFill>
          <a:prstDash val="solid"/>
        </a:ln>
      </c:spPr>
      <c:txPr>
        <a:bodyPr/>
        <a:lstStyle/>
        <a:p>
          <a:pPr>
            <a:defRPr sz="1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orientation="landscape" horizontalDpi="1200" verticalDpi="1200"/>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Data Histogram</a:t>
            </a:r>
          </a:p>
        </c:rich>
      </c:tx>
      <c:layout>
        <c:manualLayout>
          <c:xMode val="edge"/>
          <c:yMode val="edge"/>
          <c:x val="0.252089931066309"/>
          <c:y val="2.0710155133047393E-2"/>
        </c:manualLayout>
      </c:layout>
      <c:overlay val="0"/>
      <c:spPr>
        <a:noFill/>
        <a:ln w="25400">
          <a:noFill/>
        </a:ln>
      </c:spPr>
    </c:title>
    <c:autoTitleDeleted val="0"/>
    <c:view3D>
      <c:rotX val="15"/>
      <c:rotY val="20"/>
      <c:depthPercent val="100"/>
      <c:rAngAx val="1"/>
    </c:view3D>
    <c:floor>
      <c:thickness val="0"/>
    </c:floor>
    <c:sideWall>
      <c:thickness val="0"/>
    </c:sideWall>
    <c:backWall>
      <c:thickness val="0"/>
    </c:backWall>
    <c:plotArea>
      <c:layout>
        <c:manualLayout>
          <c:layoutTarget val="inner"/>
          <c:xMode val="edge"/>
          <c:yMode val="edge"/>
          <c:x val="0.12888548480048001"/>
          <c:y val="0.17190981048628798"/>
          <c:w val="0.84193267657829396"/>
          <c:h val="0.56149296298592488"/>
        </c:manualLayout>
      </c:layout>
      <c:bar3DChart>
        <c:barDir val="col"/>
        <c:grouping val="stacked"/>
        <c:varyColors val="0"/>
        <c:ser>
          <c:idx val="0"/>
          <c:order val="0"/>
          <c:tx>
            <c:v>Repeatability Data</c:v>
          </c:tx>
          <c:invertIfNegative val="0"/>
          <c:cat>
            <c:numRef>
              <c:f>repro_A!$C$106:$C$108</c:f>
              <c:numCache>
                <c:formatCode>General</c:formatCode>
                <c:ptCount val="3"/>
                <c:pt idx="0">
                  <c:v>90.824999999999505</c:v>
                </c:pt>
                <c:pt idx="1">
                  <c:v>90.874999999999517</c:v>
                </c:pt>
                <c:pt idx="2">
                  <c:v>90.9</c:v>
                </c:pt>
              </c:numCache>
            </c:numRef>
          </c:cat>
          <c:val>
            <c:numRef>
              <c:f>repro_A!$D$106:$D$108</c:f>
              <c:numCache>
                <c:formatCode>General</c:formatCode>
                <c:ptCount val="3"/>
                <c:pt idx="0">
                  <c:v>1</c:v>
                </c:pt>
                <c:pt idx="1">
                  <c:v>0</c:v>
                </c:pt>
                <c:pt idx="2">
                  <c:v>2</c:v>
                </c:pt>
              </c:numCache>
            </c:numRef>
          </c:val>
        </c:ser>
        <c:dLbls>
          <c:showLegendKey val="0"/>
          <c:showVal val="0"/>
          <c:showCatName val="0"/>
          <c:showSerName val="0"/>
          <c:showPercent val="0"/>
          <c:showBubbleSize val="0"/>
        </c:dLbls>
        <c:gapWidth val="13"/>
        <c:gapDepth val="100"/>
        <c:shape val="box"/>
        <c:axId val="35765632"/>
        <c:axId val="36017280"/>
        <c:axId val="0"/>
      </c:bar3DChart>
      <c:catAx>
        <c:axId val="357656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6017280"/>
        <c:crosses val="autoZero"/>
        <c:auto val="1"/>
        <c:lblAlgn val="ctr"/>
        <c:lblOffset val="100"/>
        <c:noMultiLvlLbl val="0"/>
      </c:catAx>
      <c:valAx>
        <c:axId val="36017280"/>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5765632"/>
        <c:crosses val="autoZero"/>
        <c:crossBetween val="between"/>
      </c:valAx>
      <c:spPr>
        <a:noFill/>
        <a:ln w="25400">
          <a:noFill/>
        </a:ln>
      </c:spPr>
    </c:plotArea>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22" l="0.70000000000000062" r="0.70000000000000062" t="0.75000000000000122" header="0.30000000000000032" footer="0.30000000000000032"/>
    <c:pageSetup/>
  </c:printSettings>
</c:chartSpace>
</file>

<file path=xl/ctrlProps/ctrlProp1.xml><?xml version="1.0" encoding="utf-8"?>
<formControlPr xmlns="http://schemas.microsoft.com/office/spreadsheetml/2009/9/main" objectType="Radio" firstButton="1" fmlaLink="$H$5" lockText="1"/>
</file>

<file path=xl/ctrlProps/ctrlProp2.xml><?xml version="1.0" encoding="utf-8"?>
<formControlPr xmlns="http://schemas.microsoft.com/office/spreadsheetml/2009/9/main" objectType="Radio" checked="Checked" lockText="1"/>
</file>

<file path=xl/ctrlProps/ctrlProp3.xml><?xml version="1.0" encoding="utf-8"?>
<formControlPr xmlns="http://schemas.microsoft.com/office/spreadsheetml/2009/9/main" objectType="Radio" firstButton="1" fmlaLink="$H$5" lockText="1"/>
</file>

<file path=xl/ctrlProps/ctrlProp4.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9.emf"/><Relationship Id="rId3" Type="http://schemas.openxmlformats.org/officeDocument/2006/relationships/image" Target="../media/image17.emf"/><Relationship Id="rId7" Type="http://schemas.openxmlformats.org/officeDocument/2006/relationships/image" Target="../media/image14.emf"/><Relationship Id="rId12" Type="http://schemas.openxmlformats.org/officeDocument/2006/relationships/image" Target="../media/image10.emf"/><Relationship Id="rId2" Type="http://schemas.openxmlformats.org/officeDocument/2006/relationships/image" Target="../media/image18.emf"/><Relationship Id="rId1" Type="http://schemas.openxmlformats.org/officeDocument/2006/relationships/image" Target="../media/image19.emf"/><Relationship Id="rId6" Type="http://schemas.openxmlformats.org/officeDocument/2006/relationships/image" Target="../media/image7.emf"/><Relationship Id="rId11" Type="http://schemas.openxmlformats.org/officeDocument/2006/relationships/image" Target="../media/image11.emf"/><Relationship Id="rId5" Type="http://schemas.openxmlformats.org/officeDocument/2006/relationships/image" Target="../media/image15.emf"/><Relationship Id="rId10" Type="http://schemas.openxmlformats.org/officeDocument/2006/relationships/image" Target="../media/image8.wmf"/><Relationship Id="rId4" Type="http://schemas.openxmlformats.org/officeDocument/2006/relationships/image" Target="../media/image16.emf"/><Relationship Id="rId9"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2.emf"/><Relationship Id="rId7" Type="http://schemas.openxmlformats.org/officeDocument/2006/relationships/image" Target="../media/image26.emf"/><Relationship Id="rId2" Type="http://schemas.openxmlformats.org/officeDocument/2006/relationships/image" Target="../media/image21.wmf"/><Relationship Id="rId1" Type="http://schemas.openxmlformats.org/officeDocument/2006/relationships/image" Target="../media/image20.wmf"/><Relationship Id="rId6" Type="http://schemas.openxmlformats.org/officeDocument/2006/relationships/image" Target="../media/image25.emf"/><Relationship Id="rId5" Type="http://schemas.openxmlformats.org/officeDocument/2006/relationships/image" Target="../media/image24.emf"/><Relationship Id="rId4" Type="http://schemas.openxmlformats.org/officeDocument/2006/relationships/image" Target="../media/image2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6.emf"/><Relationship Id="rId2" Type="http://schemas.openxmlformats.org/officeDocument/2006/relationships/image" Target="../media/image21.wmf"/><Relationship Id="rId1" Type="http://schemas.openxmlformats.org/officeDocument/2006/relationships/image" Target="../media/image20.w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2</xdr:col>
      <xdr:colOff>200025</xdr:colOff>
      <xdr:row>10</xdr:row>
      <xdr:rowOff>104775</xdr:rowOff>
    </xdr:from>
    <xdr:to>
      <xdr:col>5</xdr:col>
      <xdr:colOff>104775</xdr:colOff>
      <xdr:row>15</xdr:row>
      <xdr:rowOff>66675</xdr:rowOff>
    </xdr:to>
    <xdr:sp macro="" textlink="">
      <xdr:nvSpPr>
        <xdr:cNvPr id="2" name="PORDB1"/>
        <xdr:cNvSpPr>
          <a:spLocks noChangeArrowheads="1"/>
        </xdr:cNvSpPr>
      </xdr:nvSpPr>
      <xdr:spPr bwMode="auto">
        <a:xfrm>
          <a:off x="333375" y="1495425"/>
          <a:ext cx="2667000" cy="771525"/>
        </a:xfrm>
        <a:prstGeom prst="roundRect">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400050</xdr:colOff>
      <xdr:row>10</xdr:row>
      <xdr:rowOff>104775</xdr:rowOff>
    </xdr:from>
    <xdr:to>
      <xdr:col>8</xdr:col>
      <xdr:colOff>76200</xdr:colOff>
      <xdr:row>15</xdr:row>
      <xdr:rowOff>66675</xdr:rowOff>
    </xdr:to>
    <xdr:sp macro="" textlink="">
      <xdr:nvSpPr>
        <xdr:cNvPr id="3" name="PORDB1"/>
        <xdr:cNvSpPr>
          <a:spLocks noChangeArrowheads="1"/>
        </xdr:cNvSpPr>
      </xdr:nvSpPr>
      <xdr:spPr bwMode="auto">
        <a:xfrm>
          <a:off x="3295650" y="1495425"/>
          <a:ext cx="2571750" cy="771525"/>
        </a:xfrm>
        <a:prstGeom prst="roundRect">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180975</xdr:colOff>
      <xdr:row>17</xdr:row>
      <xdr:rowOff>95250</xdr:rowOff>
    </xdr:from>
    <xdr:to>
      <xdr:col>8</xdr:col>
      <xdr:colOff>76200</xdr:colOff>
      <xdr:row>21</xdr:row>
      <xdr:rowOff>0</xdr:rowOff>
    </xdr:to>
    <xdr:sp macro="" textlink="">
      <xdr:nvSpPr>
        <xdr:cNvPr id="4" name="PORDB1"/>
        <xdr:cNvSpPr>
          <a:spLocks noChangeArrowheads="1"/>
        </xdr:cNvSpPr>
      </xdr:nvSpPr>
      <xdr:spPr bwMode="auto">
        <a:xfrm>
          <a:off x="314325" y="2619375"/>
          <a:ext cx="5553075" cy="1114425"/>
        </a:xfrm>
        <a:prstGeom prst="roundRect">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409575</xdr:colOff>
      <xdr:row>3</xdr:row>
      <xdr:rowOff>19050</xdr:rowOff>
    </xdr:from>
    <xdr:to>
      <xdr:col>7</xdr:col>
      <xdr:colOff>561975</xdr:colOff>
      <xdr:row>5</xdr:row>
      <xdr:rowOff>142875</xdr:rowOff>
    </xdr:to>
    <xdr:sp macro="" textlink="">
      <xdr:nvSpPr>
        <xdr:cNvPr id="5" name="LBL"/>
        <xdr:cNvSpPr txBox="1">
          <a:spLocks noChangeArrowheads="1"/>
        </xdr:cNvSpPr>
      </xdr:nvSpPr>
      <xdr:spPr bwMode="auto">
        <a:xfrm>
          <a:off x="790575" y="304800"/>
          <a:ext cx="4619625" cy="371475"/>
        </a:xfrm>
        <a:prstGeom prst="rect">
          <a:avLst/>
        </a:prstGeom>
        <a:solidFill>
          <a:srgbClr val="FFFFFF"/>
        </a:solidFill>
        <a:ln w="1">
          <a:noFill/>
          <a:miter lim="800000"/>
          <a:headEnd/>
          <a:tailEnd/>
        </a:ln>
      </xdr:spPr>
      <xdr:txBody>
        <a:bodyPr vertOverflow="clip" wrap="square" lIns="45720" tIns="36576" rIns="45720" bIns="36576" anchor="ctr" upright="1"/>
        <a:lstStyle/>
        <a:p>
          <a:pPr algn="ctr" rtl="0">
            <a:defRPr sz="1000"/>
          </a:pPr>
          <a:r>
            <a:rPr lang="en-US" sz="1800" b="1" i="1" strike="noStrike">
              <a:solidFill>
                <a:srgbClr val="000000"/>
              </a:solidFill>
              <a:latin typeface="Arial"/>
              <a:cs typeface="Arial"/>
            </a:rPr>
            <a:t>Measurement Uncertainty Summary</a:t>
          </a:r>
        </a:p>
      </xdr:txBody>
    </xdr:sp>
    <xdr:clientData/>
  </xdr:twoCellAnchor>
  <mc:AlternateContent xmlns:mc="http://schemas.openxmlformats.org/markup-compatibility/2006">
    <mc:Choice xmlns:a14="http://schemas.microsoft.com/office/drawing/2010/main" Requires="a14">
      <xdr:twoCellAnchor>
        <xdr:from>
          <xdr:col>6</xdr:col>
          <xdr:colOff>1257300</xdr:colOff>
          <xdr:row>10</xdr:row>
          <xdr:rowOff>152400</xdr:rowOff>
        </xdr:from>
        <xdr:to>
          <xdr:col>6</xdr:col>
          <xdr:colOff>1438275</xdr:colOff>
          <xdr:row>11</xdr:row>
          <xdr:rowOff>142875</xdr:rowOff>
        </xdr:to>
        <xdr:sp macro="" textlink="">
          <xdr:nvSpPr>
            <xdr:cNvPr id="1025" name="Today1"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1257300</xdr:colOff>
          <xdr:row>12</xdr:row>
          <xdr:rowOff>19050</xdr:rowOff>
        </xdr:from>
        <xdr:to>
          <xdr:col>6</xdr:col>
          <xdr:colOff>1438275</xdr:colOff>
          <xdr:row>13</xdr:row>
          <xdr:rowOff>9525</xdr:rowOff>
        </xdr:to>
        <xdr:sp macro="" textlink="">
          <xdr:nvSpPr>
            <xdr:cNvPr id="1026" name="Today2" hidden="1">
              <a:extLst>
                <a:ext uri="{63B3BB69-23CF-44E3-9099-C40C66FF867C}">
                  <a14:compatExt spid="_x0000_s102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1257300</xdr:colOff>
          <xdr:row>13</xdr:row>
          <xdr:rowOff>152400</xdr:rowOff>
        </xdr:from>
        <xdr:to>
          <xdr:col>6</xdr:col>
          <xdr:colOff>1438275</xdr:colOff>
          <xdr:row>14</xdr:row>
          <xdr:rowOff>142875</xdr:rowOff>
        </xdr:to>
        <xdr:sp macro="" textlink="">
          <xdr:nvSpPr>
            <xdr:cNvPr id="1027" name="Today4" hidden="1">
              <a:extLst>
                <a:ext uri="{63B3BB69-23CF-44E3-9099-C40C66FF867C}">
                  <a14:compatExt spid="_x0000_s102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16</xdr:row>
          <xdr:rowOff>0</xdr:rowOff>
        </xdr:from>
        <xdr:to>
          <xdr:col>8</xdr:col>
          <xdr:colOff>200025</xdr:colOff>
          <xdr:row>16</xdr:row>
          <xdr:rowOff>152400</xdr:rowOff>
        </xdr:to>
        <xdr:sp macro="" textlink="">
          <xdr:nvSpPr>
            <xdr:cNvPr id="1028" name="updateLinkbtn" hidden="1">
              <a:extLst>
                <a:ext uri="{63B3BB69-23CF-44E3-9099-C40C66FF867C}">
                  <a14:compatExt spid="_x0000_s102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23</xdr:row>
          <xdr:rowOff>85725</xdr:rowOff>
        </xdr:from>
        <xdr:to>
          <xdr:col>4</xdr:col>
          <xdr:colOff>342900</xdr:colOff>
          <xdr:row>25</xdr:row>
          <xdr:rowOff>85725</xdr:rowOff>
        </xdr:to>
        <xdr:sp macro="" textlink="">
          <xdr:nvSpPr>
            <xdr:cNvPr id="1029" name="UpdateInfo" hidden="1">
              <a:extLst>
                <a:ext uri="{63B3BB69-23CF-44E3-9099-C40C66FF867C}">
                  <a14:compatExt spid="_x0000_s102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19050</xdr:rowOff>
        </xdr:from>
        <xdr:to>
          <xdr:col>8</xdr:col>
          <xdr:colOff>9525</xdr:colOff>
          <xdr:row>20</xdr:row>
          <xdr:rowOff>76200</xdr:rowOff>
        </xdr:to>
        <xdr:sp macro="" textlink="">
          <xdr:nvSpPr>
            <xdr:cNvPr id="1030" name="Notes" hidden="1">
              <a:extLst>
                <a:ext uri="{63B3BB69-23CF-44E3-9099-C40C66FF867C}">
                  <a14:compatExt spid="_x0000_s1030"/>
                </a:ext>
              </a:extLst>
            </xdr:cNvPr>
            <xdr:cNvSpPr/>
          </xdr:nvSpPr>
          <xdr:spPr>
            <a:xfrm>
              <a:off x="0" y="0"/>
              <a:ext cx="0" cy="0"/>
            </a:xfrm>
            <a:prstGeom prst="rect">
              <a:avLst/>
            </a:prstGeom>
          </xdr:spPr>
        </xdr:sp>
        <xdr:clientData fLocksWithSheet="0"/>
      </xdr:twoCellAnchor>
    </mc:Choice>
    <mc:Fallback/>
  </mc:AlternateContent>
  <xdr:twoCellAnchor editAs="absolute">
    <xdr:from>
      <xdr:col>7</xdr:col>
      <xdr:colOff>561975</xdr:colOff>
      <xdr:row>49</xdr:row>
      <xdr:rowOff>3175</xdr:rowOff>
    </xdr:from>
    <xdr:to>
      <xdr:col>7</xdr:col>
      <xdr:colOff>688975</xdr:colOff>
      <xdr:row>49</xdr:row>
      <xdr:rowOff>130175</xdr:rowOff>
    </xdr:to>
    <xdr:sp macro="" textlink="">
      <xdr:nvSpPr>
        <xdr:cNvPr id="12" name="Rectangle 11"/>
        <xdr:cNvSpPr/>
      </xdr:nvSpPr>
      <xdr:spPr>
        <a:xfrm>
          <a:off x="5410200" y="8128000"/>
          <a:ext cx="127000" cy="127000"/>
        </a:xfrm>
        <a:prstGeom prst="rect">
          <a:avLst/>
        </a:prstGeom>
        <a:blipFill>
          <a:blip xmlns:r="http://schemas.openxmlformats.org/officeDocument/2006/relationships" r:embed="rId1"/>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4</xdr:row>
          <xdr:rowOff>28575</xdr:rowOff>
        </xdr:from>
        <xdr:to>
          <xdr:col>11</xdr:col>
          <xdr:colOff>361950</xdr:colOff>
          <xdr:row>7</xdr:row>
          <xdr:rowOff>66675</xdr:rowOff>
        </xdr:to>
        <xdr:sp macro="" textlink="">
          <xdr:nvSpPr>
            <xdr:cNvPr id="1031" name="cmbAutoSizeSum" hidden="1">
              <a:extLst>
                <a:ext uri="{63B3BB69-23CF-44E3-9099-C40C66FF867C}">
                  <a14:compatExt spid="_x0000_s103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19</xdr:row>
          <xdr:rowOff>152400</xdr:rowOff>
        </xdr:from>
        <xdr:to>
          <xdr:col>10</xdr:col>
          <xdr:colOff>333375</xdr:colOff>
          <xdr:row>19</xdr:row>
          <xdr:rowOff>571500</xdr:rowOff>
        </xdr:to>
        <xdr:sp macro="" textlink="">
          <xdr:nvSpPr>
            <xdr:cNvPr id="1032" name="cmbCopyScope" hidden="1">
              <a:extLst>
                <a:ext uri="{63B3BB69-23CF-44E3-9099-C40C66FF867C}">
                  <a14:compatExt spid="_x0000_s1032"/>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2</xdr:col>
          <xdr:colOff>400050</xdr:colOff>
          <xdr:row>4</xdr:row>
          <xdr:rowOff>66675</xdr:rowOff>
        </xdr:to>
        <xdr:sp macro="" textlink="">
          <xdr:nvSpPr>
            <xdr:cNvPr id="2049" name="AutosizeBudget"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104775</xdr:rowOff>
        </xdr:from>
        <xdr:to>
          <xdr:col>2</xdr:col>
          <xdr:colOff>400050</xdr:colOff>
          <xdr:row>5</xdr:row>
          <xdr:rowOff>180975</xdr:rowOff>
        </xdr:to>
        <xdr:sp macro="" textlink="">
          <xdr:nvSpPr>
            <xdr:cNvPr id="2050" name="btnHideDisplayComments" hidden="1">
              <a:extLst>
                <a:ext uri="{63B3BB69-23CF-44E3-9099-C40C66FF867C}">
                  <a14:compatExt spid="_x0000_s20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219075</xdr:rowOff>
        </xdr:from>
        <xdr:to>
          <xdr:col>2</xdr:col>
          <xdr:colOff>400050</xdr:colOff>
          <xdr:row>6</xdr:row>
          <xdr:rowOff>314325</xdr:rowOff>
        </xdr:to>
        <xdr:sp macro="" textlink="">
          <xdr:nvSpPr>
            <xdr:cNvPr id="2051" name="FullScreen" hidden="1">
              <a:extLst>
                <a:ext uri="{63B3BB69-23CF-44E3-9099-C40C66FF867C}">
                  <a14:compatExt spid="_x0000_s20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5</xdr:row>
          <xdr:rowOff>47625</xdr:rowOff>
        </xdr:from>
        <xdr:to>
          <xdr:col>2</xdr:col>
          <xdr:colOff>1495425</xdr:colOff>
          <xdr:row>6</xdr:row>
          <xdr:rowOff>314325</xdr:rowOff>
        </xdr:to>
        <xdr:sp macro="" textlink="">
          <xdr:nvSpPr>
            <xdr:cNvPr id="2052" name="cmbEntry" hidden="1">
              <a:extLst>
                <a:ext uri="{63B3BB69-23CF-44E3-9099-C40C66FF867C}">
                  <a14:compatExt spid="_x0000_s20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xdr:row>
          <xdr:rowOff>38100</xdr:rowOff>
        </xdr:from>
        <xdr:to>
          <xdr:col>5</xdr:col>
          <xdr:colOff>419100</xdr:colOff>
          <xdr:row>5</xdr:row>
          <xdr:rowOff>276225</xdr:rowOff>
        </xdr:to>
        <xdr:sp macro="" textlink="">
          <xdr:nvSpPr>
            <xdr:cNvPr id="2053" name="cmdInsertDate" hidden="1">
              <a:extLst>
                <a:ext uri="{63B3BB69-23CF-44E3-9099-C40C66FF867C}">
                  <a14:compatExt spid="_x0000_s205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37</xdr:row>
          <xdr:rowOff>19050</xdr:rowOff>
        </xdr:from>
        <xdr:to>
          <xdr:col>2</xdr:col>
          <xdr:colOff>1990725</xdr:colOff>
          <xdr:row>38</xdr:row>
          <xdr:rowOff>209550</xdr:rowOff>
        </xdr:to>
        <xdr:sp macro="" textlink="">
          <xdr:nvSpPr>
            <xdr:cNvPr id="2054" name="Object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37</xdr:row>
          <xdr:rowOff>152400</xdr:rowOff>
        </xdr:from>
        <xdr:to>
          <xdr:col>11</xdr:col>
          <xdr:colOff>190500</xdr:colOff>
          <xdr:row>37</xdr:row>
          <xdr:rowOff>323850</xdr:rowOff>
        </xdr:to>
        <xdr:sp macro="" textlink="">
          <xdr:nvSpPr>
            <xdr:cNvPr id="2055" name="optbtn_t_Dist"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38</xdr:row>
          <xdr:rowOff>209550</xdr:rowOff>
        </xdr:from>
        <xdr:to>
          <xdr:col>11</xdr:col>
          <xdr:colOff>190500</xdr:colOff>
          <xdr:row>38</xdr:row>
          <xdr:rowOff>381000</xdr:rowOff>
        </xdr:to>
        <xdr:sp macro="" textlink="">
          <xdr:nvSpPr>
            <xdr:cNvPr id="2056" name="optbtn_Normal"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33</xdr:row>
          <xdr:rowOff>28575</xdr:rowOff>
        </xdr:from>
        <xdr:to>
          <xdr:col>18</xdr:col>
          <xdr:colOff>0</xdr:colOff>
          <xdr:row>35</xdr:row>
          <xdr:rowOff>180975</xdr:rowOff>
        </xdr:to>
        <xdr:sp macro="" textlink="">
          <xdr:nvSpPr>
            <xdr:cNvPr id="2057" name="btnUpdateCalc" hidden="1">
              <a:extLst>
                <a:ext uri="{63B3BB69-23CF-44E3-9099-C40C66FF867C}">
                  <a14:compatExt spid="_x0000_s20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914400</xdr:colOff>
          <xdr:row>37</xdr:row>
          <xdr:rowOff>47625</xdr:rowOff>
        </xdr:from>
        <xdr:to>
          <xdr:col>18</xdr:col>
          <xdr:colOff>533400</xdr:colOff>
          <xdr:row>38</xdr:row>
          <xdr:rowOff>371475</xdr:rowOff>
        </xdr:to>
        <xdr:sp macro="" textlink="">
          <xdr:nvSpPr>
            <xdr:cNvPr id="2058" name="Object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180975</xdr:rowOff>
        </xdr:from>
        <xdr:to>
          <xdr:col>5</xdr:col>
          <xdr:colOff>9525</xdr:colOff>
          <xdr:row>35</xdr:row>
          <xdr:rowOff>9525</xdr:rowOff>
        </xdr:to>
        <xdr:sp macro="" textlink="">
          <xdr:nvSpPr>
            <xdr:cNvPr id="2059" name="ComboBox1" hidden="1">
              <a:extLst>
                <a:ext uri="{63B3BB69-23CF-44E3-9099-C40C66FF867C}">
                  <a14:compatExt spid="_x0000_s205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180975</xdr:rowOff>
        </xdr:from>
        <xdr:to>
          <xdr:col>6</xdr:col>
          <xdr:colOff>0</xdr:colOff>
          <xdr:row>35</xdr:row>
          <xdr:rowOff>9525</xdr:rowOff>
        </xdr:to>
        <xdr:sp macro="" textlink="">
          <xdr:nvSpPr>
            <xdr:cNvPr id="2060" name="ComboBox2" hidden="1">
              <a:extLst>
                <a:ext uri="{63B3BB69-23CF-44E3-9099-C40C66FF867C}">
                  <a14:compatExt spid="_x0000_s206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180975</xdr:rowOff>
        </xdr:from>
        <xdr:to>
          <xdr:col>5</xdr:col>
          <xdr:colOff>9525</xdr:colOff>
          <xdr:row>36</xdr:row>
          <xdr:rowOff>0</xdr:rowOff>
        </xdr:to>
        <xdr:sp macro="" textlink="">
          <xdr:nvSpPr>
            <xdr:cNvPr id="2061" name="ComboBox3" hidden="1">
              <a:extLst>
                <a:ext uri="{63B3BB69-23CF-44E3-9099-C40C66FF867C}">
                  <a14:compatExt spid="_x0000_s20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180975</xdr:rowOff>
        </xdr:from>
        <xdr:to>
          <xdr:col>6</xdr:col>
          <xdr:colOff>0</xdr:colOff>
          <xdr:row>36</xdr:row>
          <xdr:rowOff>0</xdr:rowOff>
        </xdr:to>
        <xdr:sp macro="" textlink="">
          <xdr:nvSpPr>
            <xdr:cNvPr id="2062" name="ComboBox4" hidden="1">
              <a:extLst>
                <a:ext uri="{63B3BB69-23CF-44E3-9099-C40C66FF867C}">
                  <a14:compatExt spid="_x0000_s206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39</xdr:row>
          <xdr:rowOff>238125</xdr:rowOff>
        </xdr:from>
        <xdr:to>
          <xdr:col>5</xdr:col>
          <xdr:colOff>619125</xdr:colOff>
          <xdr:row>39</xdr:row>
          <xdr:rowOff>638175</xdr:rowOff>
        </xdr:to>
        <xdr:sp macro="" textlink="">
          <xdr:nvSpPr>
            <xdr:cNvPr id="2063" name="cmdBtnNotes" hidden="1">
              <a:extLst>
                <a:ext uri="{63B3BB69-23CF-44E3-9099-C40C66FF867C}">
                  <a14:compatExt spid="_x0000_s206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33</xdr:row>
          <xdr:rowOff>66675</xdr:rowOff>
        </xdr:from>
        <xdr:to>
          <xdr:col>3</xdr:col>
          <xdr:colOff>257175</xdr:colOff>
          <xdr:row>35</xdr:row>
          <xdr:rowOff>95250</xdr:rowOff>
        </xdr:to>
        <xdr:sp macro="" textlink="">
          <xdr:nvSpPr>
            <xdr:cNvPr id="2064" name="Object 16"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51</xdr:row>
      <xdr:rowOff>0</xdr:rowOff>
    </xdr:from>
    <xdr:to>
      <xdr:col>1</xdr:col>
      <xdr:colOff>0</xdr:colOff>
      <xdr:row>51</xdr:row>
      <xdr:rowOff>0</xdr:rowOff>
    </xdr:to>
    <xdr:graphicFrame macro="">
      <xdr:nvGraphicFramePr>
        <xdr:cNvPr id="2"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85725</xdr:rowOff>
    </xdr:from>
    <xdr:to>
      <xdr:col>12</xdr:col>
      <xdr:colOff>838200</xdr:colOff>
      <xdr:row>4</xdr:row>
      <xdr:rowOff>1009650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1066800</xdr:colOff>
          <xdr:row>4</xdr:row>
          <xdr:rowOff>133350</xdr:rowOff>
        </xdr:from>
        <xdr:to>
          <xdr:col>3</xdr:col>
          <xdr:colOff>0</xdr:colOff>
          <xdr:row>4</xdr:row>
          <xdr:rowOff>923925</xdr:rowOff>
        </xdr:to>
        <xdr:sp macro="" textlink="">
          <xdr:nvSpPr>
            <xdr:cNvPr id="6145" name="Object 1"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43</xdr:row>
          <xdr:rowOff>9525</xdr:rowOff>
        </xdr:from>
        <xdr:to>
          <xdr:col>4</xdr:col>
          <xdr:colOff>1323975</xdr:colOff>
          <xdr:row>43</xdr:row>
          <xdr:rowOff>666750</xdr:rowOff>
        </xdr:to>
        <xdr:sp macro="" textlink="">
          <xdr:nvSpPr>
            <xdr:cNvPr id="6146" name="Object 2" hidden="1">
              <a:extLst>
                <a:ext uri="{63B3BB69-23CF-44E3-9099-C40C66FF867C}">
                  <a14:compatExt spid="_x0000_s6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4</xdr:row>
          <xdr:rowOff>285750</xdr:rowOff>
        </xdr:from>
        <xdr:to>
          <xdr:col>4</xdr:col>
          <xdr:colOff>1190625</xdr:colOff>
          <xdr:row>4</xdr:row>
          <xdr:rowOff>762000</xdr:rowOff>
        </xdr:to>
        <xdr:sp macro="" textlink="">
          <xdr:nvSpPr>
            <xdr:cNvPr id="6147" name="CommandButton1" hidden="1">
              <a:extLst>
                <a:ext uri="{63B3BB69-23CF-44E3-9099-C40C66FF867C}">
                  <a14:compatExt spid="_x0000_s61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161925</xdr:colOff>
          <xdr:row>9</xdr:row>
          <xdr:rowOff>76200</xdr:rowOff>
        </xdr:from>
        <xdr:to>
          <xdr:col>9</xdr:col>
          <xdr:colOff>1666875</xdr:colOff>
          <xdr:row>10</xdr:row>
          <xdr:rowOff>171450</xdr:rowOff>
        </xdr:to>
        <xdr:sp macro="" textlink="">
          <xdr:nvSpPr>
            <xdr:cNvPr id="6148" name="Option 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Deviations from Nominal</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161925</xdr:colOff>
          <xdr:row>7</xdr:row>
          <xdr:rowOff>47625</xdr:rowOff>
        </xdr:from>
        <xdr:to>
          <xdr:col>9</xdr:col>
          <xdr:colOff>1666875</xdr:colOff>
          <xdr:row>8</xdr:row>
          <xdr:rowOff>171450</xdr:rowOff>
        </xdr:to>
        <xdr:sp macro="" textlink="">
          <xdr:nvSpPr>
            <xdr:cNvPr id="6149" name="Option 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Measured Values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xdr:row>
          <xdr:rowOff>9525</xdr:rowOff>
        </xdr:from>
        <xdr:to>
          <xdr:col>1</xdr:col>
          <xdr:colOff>838200</xdr:colOff>
          <xdr:row>1</xdr:row>
          <xdr:rowOff>390525</xdr:rowOff>
        </xdr:to>
        <xdr:sp macro="" textlink="">
          <xdr:nvSpPr>
            <xdr:cNvPr id="6150" name="AutosizeA" hidden="1">
              <a:extLst>
                <a:ext uri="{63B3BB69-23CF-44E3-9099-C40C66FF867C}">
                  <a14:compatExt spid="_x0000_s61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476250</xdr:rowOff>
        </xdr:from>
        <xdr:to>
          <xdr:col>3</xdr:col>
          <xdr:colOff>1266825</xdr:colOff>
          <xdr:row>4</xdr:row>
          <xdr:rowOff>695325</xdr:rowOff>
        </xdr:to>
        <xdr:sp macro="" textlink="">
          <xdr:nvSpPr>
            <xdr:cNvPr id="6151" name="ComboBox1" hidden="1">
              <a:extLst>
                <a:ext uri="{63B3BB69-23CF-44E3-9099-C40C66FF867C}">
                  <a14:compatExt spid="_x0000_s61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228600</xdr:rowOff>
        </xdr:from>
        <xdr:to>
          <xdr:col>3</xdr:col>
          <xdr:colOff>1266825</xdr:colOff>
          <xdr:row>4</xdr:row>
          <xdr:rowOff>428625</xdr:rowOff>
        </xdr:to>
        <xdr:sp macro="" textlink="">
          <xdr:nvSpPr>
            <xdr:cNvPr id="6152" name="TextBox1" hidden="1">
              <a:extLst>
                <a:ext uri="{63B3BB69-23CF-44E3-9099-C40C66FF867C}">
                  <a14:compatExt spid="_x0000_s61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5</xdr:row>
          <xdr:rowOff>142875</xdr:rowOff>
        </xdr:from>
        <xdr:to>
          <xdr:col>12</xdr:col>
          <xdr:colOff>428625</xdr:colOff>
          <xdr:row>7</xdr:row>
          <xdr:rowOff>104775</xdr:rowOff>
        </xdr:to>
        <xdr:sp macro="" textlink="">
          <xdr:nvSpPr>
            <xdr:cNvPr id="6153" name="spbBins" hidden="1">
              <a:extLst>
                <a:ext uri="{63B3BB69-23CF-44E3-9099-C40C66FF867C}">
                  <a14:compatExt spid="_x0000_s61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0.33185</cdr:x>
      <cdr:y>0.45845</cdr:y>
    </cdr:from>
    <cdr:to>
      <cdr:x>0.35491</cdr:x>
      <cdr:y>0.56004</cdr:y>
    </cdr:to>
    <cdr:sp macro="" textlink="">
      <cdr:nvSpPr>
        <cdr:cNvPr id="63489" name="Text Box 1"/>
        <cdr:cNvSpPr txBox="1">
          <a:spLocks xmlns:a="http://schemas.openxmlformats.org/drawingml/2006/main" noChangeArrowheads="1"/>
        </cdr:cNvSpPr>
      </cdr:nvSpPr>
      <cdr:spPr bwMode="auto">
        <a:xfrm xmlns:a="http://schemas.openxmlformats.org/drawingml/2006/main">
          <a:off x="246560" y="339415"/>
          <a:ext cx="16912" cy="7450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18288" tIns="18288" rIns="18288" bIns="18288" anchor="ctr" upright="1"/>
        <a:lstStyle xmlns:a="http://schemas.openxmlformats.org/drawingml/2006/main"/>
        <a:p xmlns:a="http://schemas.openxmlformats.org/drawingml/2006/main">
          <a:pPr algn="ctr" rtl="1">
            <a:defRPr sz="1000"/>
          </a:pPr>
          <a:r>
            <a:rPr lang="en-US" sz="250" b="0" i="0" strike="noStrike">
              <a:solidFill>
                <a:srgbClr val="000000"/>
              </a:solidFill>
              <a:latin typeface="Arial"/>
              <a:cs typeface="Arial"/>
            </a:rPr>
            <a:t>Bin</a:t>
          </a:r>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0</xdr:colOff>
      <xdr:row>51</xdr:row>
      <xdr:rowOff>0</xdr:rowOff>
    </xdr:from>
    <xdr:to>
      <xdr:col>1</xdr:col>
      <xdr:colOff>0</xdr:colOff>
      <xdr:row>51</xdr:row>
      <xdr:rowOff>0</xdr:rowOff>
    </xdr:to>
    <xdr:graphicFrame macro="">
      <xdr:nvGraphicFramePr>
        <xdr:cNvPr id="2"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85725</xdr:rowOff>
    </xdr:from>
    <xdr:to>
      <xdr:col>12</xdr:col>
      <xdr:colOff>838200</xdr:colOff>
      <xdr:row>4</xdr:row>
      <xdr:rowOff>1009650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1066800</xdr:colOff>
          <xdr:row>4</xdr:row>
          <xdr:rowOff>133350</xdr:rowOff>
        </xdr:from>
        <xdr:to>
          <xdr:col>3</xdr:col>
          <xdr:colOff>0</xdr:colOff>
          <xdr:row>4</xdr:row>
          <xdr:rowOff>923925</xdr:rowOff>
        </xdr:to>
        <xdr:sp macro="" textlink="">
          <xdr:nvSpPr>
            <xdr:cNvPr id="7169" name="Object 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43</xdr:row>
          <xdr:rowOff>9525</xdr:rowOff>
        </xdr:from>
        <xdr:to>
          <xdr:col>4</xdr:col>
          <xdr:colOff>1323975</xdr:colOff>
          <xdr:row>43</xdr:row>
          <xdr:rowOff>666750</xdr:rowOff>
        </xdr:to>
        <xdr:sp macro="" textlink="">
          <xdr:nvSpPr>
            <xdr:cNvPr id="7170" name="Object 2" hidden="1">
              <a:extLst>
                <a:ext uri="{63B3BB69-23CF-44E3-9099-C40C66FF867C}">
                  <a14:compatExt spid="_x0000_s7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4</xdr:row>
          <xdr:rowOff>285750</xdr:rowOff>
        </xdr:from>
        <xdr:to>
          <xdr:col>4</xdr:col>
          <xdr:colOff>1190625</xdr:colOff>
          <xdr:row>4</xdr:row>
          <xdr:rowOff>762000</xdr:rowOff>
        </xdr:to>
        <xdr:sp macro="" textlink="">
          <xdr:nvSpPr>
            <xdr:cNvPr id="7171" name="CommandButton1" hidden="1">
              <a:extLst>
                <a:ext uri="{63B3BB69-23CF-44E3-9099-C40C66FF867C}">
                  <a14:compatExt spid="_x0000_s71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161925</xdr:colOff>
          <xdr:row>9</xdr:row>
          <xdr:rowOff>76200</xdr:rowOff>
        </xdr:from>
        <xdr:to>
          <xdr:col>9</xdr:col>
          <xdr:colOff>1666875</xdr:colOff>
          <xdr:row>10</xdr:row>
          <xdr:rowOff>171450</xdr:rowOff>
        </xdr:to>
        <xdr:sp macro="" textlink="">
          <xdr:nvSpPr>
            <xdr:cNvPr id="7172" name="Option 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Deviations from Nominal</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161925</xdr:colOff>
          <xdr:row>7</xdr:row>
          <xdr:rowOff>47625</xdr:rowOff>
        </xdr:from>
        <xdr:to>
          <xdr:col>9</xdr:col>
          <xdr:colOff>1666875</xdr:colOff>
          <xdr:row>8</xdr:row>
          <xdr:rowOff>171450</xdr:rowOff>
        </xdr:to>
        <xdr:sp macro="" textlink="">
          <xdr:nvSpPr>
            <xdr:cNvPr id="7173" name="Option 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Measured Values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xdr:row>
          <xdr:rowOff>9525</xdr:rowOff>
        </xdr:from>
        <xdr:to>
          <xdr:col>1</xdr:col>
          <xdr:colOff>838200</xdr:colOff>
          <xdr:row>1</xdr:row>
          <xdr:rowOff>390525</xdr:rowOff>
        </xdr:to>
        <xdr:sp macro="" textlink="">
          <xdr:nvSpPr>
            <xdr:cNvPr id="7174" name="AutosizeA" hidden="1">
              <a:extLst>
                <a:ext uri="{63B3BB69-23CF-44E3-9099-C40C66FF867C}">
                  <a14:compatExt spid="_x0000_s71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476250</xdr:rowOff>
        </xdr:from>
        <xdr:to>
          <xdr:col>3</xdr:col>
          <xdr:colOff>1266825</xdr:colOff>
          <xdr:row>4</xdr:row>
          <xdr:rowOff>695325</xdr:rowOff>
        </xdr:to>
        <xdr:sp macro="" textlink="">
          <xdr:nvSpPr>
            <xdr:cNvPr id="7175" name="ComboBox1" hidden="1">
              <a:extLst>
                <a:ext uri="{63B3BB69-23CF-44E3-9099-C40C66FF867C}">
                  <a14:compatExt spid="_x0000_s71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228600</xdr:rowOff>
        </xdr:from>
        <xdr:to>
          <xdr:col>3</xdr:col>
          <xdr:colOff>1266825</xdr:colOff>
          <xdr:row>4</xdr:row>
          <xdr:rowOff>428625</xdr:rowOff>
        </xdr:to>
        <xdr:sp macro="" textlink="">
          <xdr:nvSpPr>
            <xdr:cNvPr id="7176" name="TextBox1" hidden="1">
              <a:extLst>
                <a:ext uri="{63B3BB69-23CF-44E3-9099-C40C66FF867C}">
                  <a14:compatExt spid="_x0000_s71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5</xdr:row>
          <xdr:rowOff>142875</xdr:rowOff>
        </xdr:from>
        <xdr:to>
          <xdr:col>12</xdr:col>
          <xdr:colOff>428625</xdr:colOff>
          <xdr:row>7</xdr:row>
          <xdr:rowOff>104775</xdr:rowOff>
        </xdr:to>
        <xdr:sp macro="" textlink="">
          <xdr:nvSpPr>
            <xdr:cNvPr id="7177" name="spbBins" hidden="1">
              <a:extLst>
                <a:ext uri="{63B3BB69-23CF-44E3-9099-C40C66FF867C}">
                  <a14:compatExt spid="_x0000_s7177"/>
                </a:ext>
              </a:extLst>
            </xdr:cNvPr>
            <xdr:cNvSpPr/>
          </xdr:nvSpPr>
          <xdr:spPr>
            <a:xfrm>
              <a:off x="0" y="0"/>
              <a:ext cx="0" cy="0"/>
            </a:xfrm>
            <a:prstGeom prst="rect">
              <a:avLst/>
            </a:prstGeom>
          </xdr:spPr>
        </xdr:sp>
        <xdr:clientData/>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0.33185</cdr:x>
      <cdr:y>0.45845</cdr:y>
    </cdr:from>
    <cdr:to>
      <cdr:x>0.35491</cdr:x>
      <cdr:y>0.56004</cdr:y>
    </cdr:to>
    <cdr:sp macro="" textlink="">
      <cdr:nvSpPr>
        <cdr:cNvPr id="63489" name="Text Box 1"/>
        <cdr:cNvSpPr txBox="1">
          <a:spLocks xmlns:a="http://schemas.openxmlformats.org/drawingml/2006/main" noChangeArrowheads="1"/>
        </cdr:cNvSpPr>
      </cdr:nvSpPr>
      <cdr:spPr bwMode="auto">
        <a:xfrm xmlns:a="http://schemas.openxmlformats.org/drawingml/2006/main">
          <a:off x="246560" y="339415"/>
          <a:ext cx="16912" cy="7450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18288" tIns="18288" rIns="18288" bIns="18288" anchor="ctr" upright="1"/>
        <a:lstStyle xmlns:a="http://schemas.openxmlformats.org/drawingml/2006/main"/>
        <a:p xmlns:a="http://schemas.openxmlformats.org/drawingml/2006/main">
          <a:pPr algn="ctr" rtl="1">
            <a:defRPr sz="1000"/>
          </a:pPr>
          <a:r>
            <a:rPr lang="en-US" sz="250" b="0" i="0" strike="noStrike">
              <a:solidFill>
                <a:srgbClr val="000000"/>
              </a:solidFill>
              <a:latin typeface="Arial"/>
              <a:cs typeface="Arial"/>
            </a:rPr>
            <a:t>Bin</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ontrol" Target="../activeX/activeX8.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ntrol" Target="../activeX/activeX7.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11.emf"/><Relationship Id="rId18" Type="http://schemas.openxmlformats.org/officeDocument/2006/relationships/image" Target="../media/image12.emf"/><Relationship Id="rId26" Type="http://schemas.openxmlformats.org/officeDocument/2006/relationships/image" Target="../media/image16.emf"/><Relationship Id="rId3" Type="http://schemas.openxmlformats.org/officeDocument/2006/relationships/vmlDrawing" Target="../drawings/vmlDrawing2.vml"/><Relationship Id="rId21" Type="http://schemas.openxmlformats.org/officeDocument/2006/relationships/control" Target="../activeX/activeX16.xml"/><Relationship Id="rId7" Type="http://schemas.openxmlformats.org/officeDocument/2006/relationships/image" Target="../media/image8.wmf"/><Relationship Id="rId12" Type="http://schemas.openxmlformats.org/officeDocument/2006/relationships/control" Target="../activeX/activeX10.xml"/><Relationship Id="rId17" Type="http://schemas.openxmlformats.org/officeDocument/2006/relationships/control" Target="../activeX/activeX14.xml"/><Relationship Id="rId25" Type="http://schemas.openxmlformats.org/officeDocument/2006/relationships/control" Target="../activeX/activeX18.xml"/><Relationship Id="rId33"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ontrol" Target="../activeX/activeX13.xml"/><Relationship Id="rId20" Type="http://schemas.openxmlformats.org/officeDocument/2006/relationships/image" Target="../media/image13.emf"/><Relationship Id="rId29" Type="http://schemas.openxmlformats.org/officeDocument/2006/relationships/control" Target="../activeX/activeX20.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10.emf"/><Relationship Id="rId24" Type="http://schemas.openxmlformats.org/officeDocument/2006/relationships/image" Target="../media/image15.emf"/><Relationship Id="rId32" Type="http://schemas.openxmlformats.org/officeDocument/2006/relationships/image" Target="../media/image19.emf"/><Relationship Id="rId5" Type="http://schemas.openxmlformats.org/officeDocument/2006/relationships/image" Target="../media/image7.emf"/><Relationship Id="rId15" Type="http://schemas.openxmlformats.org/officeDocument/2006/relationships/control" Target="../activeX/activeX12.xml"/><Relationship Id="rId23" Type="http://schemas.openxmlformats.org/officeDocument/2006/relationships/control" Target="../activeX/activeX17.xml"/><Relationship Id="rId28" Type="http://schemas.openxmlformats.org/officeDocument/2006/relationships/image" Target="../media/image17.emf"/><Relationship Id="rId10" Type="http://schemas.openxmlformats.org/officeDocument/2006/relationships/control" Target="../activeX/activeX9.xml"/><Relationship Id="rId19" Type="http://schemas.openxmlformats.org/officeDocument/2006/relationships/control" Target="../activeX/activeX15.xml"/><Relationship Id="rId31" Type="http://schemas.openxmlformats.org/officeDocument/2006/relationships/control" Target="../activeX/activeX21.xml"/><Relationship Id="rId4" Type="http://schemas.openxmlformats.org/officeDocument/2006/relationships/oleObject" Target="../embeddings/oleObject1.bin"/><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image" Target="../media/image14.emf"/><Relationship Id="rId27" Type="http://schemas.openxmlformats.org/officeDocument/2006/relationships/control" Target="../activeX/activeX19.xml"/><Relationship Id="rId30"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1.w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26.xml"/><Relationship Id="rId20" Type="http://schemas.openxmlformats.org/officeDocument/2006/relationships/comments" Target="../comments3.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11" Type="http://schemas.openxmlformats.org/officeDocument/2006/relationships/image" Target="../media/image23.emf"/><Relationship Id="rId5" Type="http://schemas.openxmlformats.org/officeDocument/2006/relationships/image" Target="../media/image20.wmf"/><Relationship Id="rId15" Type="http://schemas.openxmlformats.org/officeDocument/2006/relationships/image" Target="../media/image25.emf"/><Relationship Id="rId10" Type="http://schemas.openxmlformats.org/officeDocument/2006/relationships/control" Target="../activeX/activeX23.xml"/><Relationship Id="rId19" Type="http://schemas.openxmlformats.org/officeDocument/2006/relationships/ctrlProp" Target="../ctrlProps/ctrlProp2.xml"/><Relationship Id="rId4" Type="http://schemas.openxmlformats.org/officeDocument/2006/relationships/oleObject" Target="../embeddings/oleObject4.bin"/><Relationship Id="rId9" Type="http://schemas.openxmlformats.org/officeDocument/2006/relationships/image" Target="../media/image22.emf"/><Relationship Id="rId14" Type="http://schemas.openxmlformats.org/officeDocument/2006/relationships/control" Target="../activeX/activeX2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29.emf"/><Relationship Id="rId18" Type="http://schemas.openxmlformats.org/officeDocument/2006/relationships/ctrlProp" Target="../ctrlProps/ctrlProp3.xml"/><Relationship Id="rId3" Type="http://schemas.openxmlformats.org/officeDocument/2006/relationships/vmlDrawing" Target="../drawings/vmlDrawing4.vml"/><Relationship Id="rId7" Type="http://schemas.openxmlformats.org/officeDocument/2006/relationships/image" Target="../media/image21.wmf"/><Relationship Id="rId12" Type="http://schemas.openxmlformats.org/officeDocument/2006/relationships/control" Target="../activeX/activeX29.xml"/><Relationship Id="rId1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1.xml"/><Relationship Id="rId20" Type="http://schemas.openxmlformats.org/officeDocument/2006/relationships/comments" Target="../comments4.xml"/><Relationship Id="rId1" Type="http://schemas.openxmlformats.org/officeDocument/2006/relationships/printerSettings" Target="../printerSettings/printerSettings4.bin"/><Relationship Id="rId6" Type="http://schemas.openxmlformats.org/officeDocument/2006/relationships/oleObject" Target="../embeddings/oleObject7.bin"/><Relationship Id="rId11" Type="http://schemas.openxmlformats.org/officeDocument/2006/relationships/image" Target="../media/image28.emf"/><Relationship Id="rId5" Type="http://schemas.openxmlformats.org/officeDocument/2006/relationships/image" Target="../media/image20.wmf"/><Relationship Id="rId15" Type="http://schemas.openxmlformats.org/officeDocument/2006/relationships/image" Target="../media/image30.emf"/><Relationship Id="rId10" Type="http://schemas.openxmlformats.org/officeDocument/2006/relationships/control" Target="../activeX/activeX28.xml"/><Relationship Id="rId19" Type="http://schemas.openxmlformats.org/officeDocument/2006/relationships/ctrlProp" Target="../ctrlProps/ctrlProp4.xml"/><Relationship Id="rId4" Type="http://schemas.openxmlformats.org/officeDocument/2006/relationships/oleObject" Target="../embeddings/oleObject6.bin"/><Relationship Id="rId9" Type="http://schemas.openxmlformats.org/officeDocument/2006/relationships/image" Target="../media/image27.emf"/><Relationship Id="rId14" Type="http://schemas.openxmlformats.org/officeDocument/2006/relationships/control" Target="../activeX/activeX3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CB59"/>
  <sheetViews>
    <sheetView zoomScaleNormal="100" zoomScaleSheetLayoutView="100" workbookViewId="0">
      <selection activeCell="C3" sqref="C3"/>
    </sheetView>
  </sheetViews>
  <sheetFormatPr defaultRowHeight="12.75" x14ac:dyDescent="0.2"/>
  <cols>
    <col min="1" max="1" width="1.28515625" style="3" customWidth="1"/>
    <col min="2" max="2" width="0.7109375" style="3" customWidth="1"/>
    <col min="3" max="3" width="3.7109375" style="3" customWidth="1"/>
    <col min="4" max="4" width="14.5703125" style="3" customWidth="1"/>
    <col min="5" max="5" width="23.140625" style="3" customWidth="1"/>
    <col min="6" max="6" width="6.7109375" style="3" customWidth="1"/>
    <col min="7" max="7" width="22.5703125" style="3" customWidth="1"/>
    <col min="8" max="8" width="14.140625" style="3" customWidth="1"/>
    <col min="9" max="9" width="4.140625" style="3" customWidth="1"/>
    <col min="10" max="10" width="0.7109375" style="3" customWidth="1"/>
    <col min="11" max="11" width="7" style="3" customWidth="1"/>
    <col min="12" max="12" width="34" style="3" customWidth="1"/>
    <col min="13" max="13" width="20" style="3" bestFit="1" customWidth="1"/>
    <col min="14" max="14" width="17.85546875" style="3" customWidth="1"/>
    <col min="15" max="18" width="21.42578125" style="3" customWidth="1"/>
    <col min="19" max="19" width="20" style="3" bestFit="1" customWidth="1"/>
    <col min="20" max="20" width="9.140625" style="3"/>
    <col min="21" max="21" width="2.85546875" style="3" customWidth="1"/>
    <col min="22" max="22" width="2.5703125" style="3" customWidth="1"/>
    <col min="23" max="23" width="2.42578125" style="3" customWidth="1"/>
    <col min="24" max="24" width="3" style="3" customWidth="1"/>
    <col min="25" max="26" width="9.140625" style="3" hidden="1" customWidth="1"/>
    <col min="27" max="27" width="22.5703125" style="3" customWidth="1"/>
    <col min="28" max="28" width="18.7109375" style="3" customWidth="1"/>
    <col min="29" max="29" width="15.5703125" style="3" customWidth="1"/>
    <col min="30" max="34" width="21.42578125" style="3" customWidth="1"/>
    <col min="35" max="36" width="9.140625" style="3"/>
    <col min="37" max="37" width="20.7109375" style="3" customWidth="1"/>
    <col min="38" max="38" width="33.140625" style="3" customWidth="1"/>
    <col min="39" max="39" width="23.28515625" style="3" customWidth="1"/>
    <col min="40" max="44" width="21.42578125" style="3" customWidth="1"/>
    <col min="45" max="45" width="9.85546875" style="3" customWidth="1"/>
    <col min="46" max="16384" width="9.140625" style="3"/>
  </cols>
  <sheetData>
    <row r="1" spans="1:80" ht="5.25" customHeight="1" x14ac:dyDescent="0.2">
      <c r="A1" s="1"/>
      <c r="B1" s="1"/>
      <c r="C1" s="1"/>
      <c r="D1" s="1"/>
      <c r="E1" s="1"/>
      <c r="F1" s="1"/>
      <c r="G1" s="1"/>
      <c r="H1" s="1"/>
      <c r="I1" s="1"/>
      <c r="J1" s="1"/>
      <c r="K1" s="1"/>
      <c r="L1" s="1"/>
      <c r="M1" s="1"/>
      <c r="N1" s="1"/>
      <c r="O1" s="1"/>
      <c r="P1" s="1"/>
      <c r="Q1" s="1"/>
      <c r="R1" s="1"/>
      <c r="S1" s="1"/>
      <c r="T1" s="1"/>
      <c r="U1" s="1"/>
      <c r="V1" s="1"/>
      <c r="W1" s="1"/>
      <c r="X1" s="1"/>
      <c r="Y1" s="2" t="s">
        <v>0</v>
      </c>
      <c r="Z1" s="2" t="s">
        <v>1</v>
      </c>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2" spans="1:80" ht="3.75" customHeight="1" x14ac:dyDescent="0.2">
      <c r="A2" s="1"/>
      <c r="B2" s="4"/>
      <c r="C2" s="4"/>
      <c r="D2" s="4"/>
      <c r="E2" s="4"/>
      <c r="F2" s="4"/>
      <c r="G2" s="4"/>
      <c r="H2" s="4"/>
      <c r="I2" s="4"/>
      <c r="J2" s="4"/>
      <c r="K2" s="1"/>
      <c r="L2" s="1"/>
      <c r="M2" s="1"/>
      <c r="N2" s="1"/>
      <c r="O2" s="1"/>
      <c r="P2" s="1"/>
      <c r="Q2" s="1"/>
      <c r="R2" s="1"/>
      <c r="S2" s="1"/>
      <c r="T2" s="1"/>
      <c r="U2" s="1"/>
      <c r="V2" s="1"/>
      <c r="W2" s="1"/>
      <c r="X2" s="1"/>
      <c r="Y2" s="2" t="s">
        <v>2</v>
      </c>
      <c r="Z2" s="2" t="s">
        <v>3</v>
      </c>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row>
    <row r="3" spans="1:80" ht="13.5" thickBot="1" x14ac:dyDescent="0.25">
      <c r="A3" s="1"/>
      <c r="B3" s="4"/>
      <c r="C3" s="289"/>
      <c r="D3" s="5"/>
      <c r="E3" s="5"/>
      <c r="F3" s="5"/>
      <c r="G3" s="5"/>
      <c r="H3" s="5"/>
      <c r="I3" s="5"/>
      <c r="J3" s="4"/>
      <c r="K3" s="1"/>
      <c r="L3" s="2" t="s">
        <v>4</v>
      </c>
      <c r="M3" s="1"/>
      <c r="N3" s="1"/>
      <c r="O3" s="1"/>
      <c r="P3" s="1"/>
      <c r="Q3" s="1"/>
      <c r="R3" s="1"/>
      <c r="S3" s="1"/>
      <c r="T3" s="1"/>
      <c r="U3" s="1"/>
      <c r="V3" s="1"/>
      <c r="W3" s="1"/>
      <c r="X3" s="1"/>
      <c r="Y3" s="2" t="s">
        <v>5</v>
      </c>
      <c r="Z3" s="2" t="s">
        <v>6</v>
      </c>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row>
    <row r="4" spans="1:80" ht="13.5" customHeight="1" x14ac:dyDescent="0.2">
      <c r="A4" s="1"/>
      <c r="B4" s="4"/>
      <c r="C4" s="5"/>
      <c r="D4" s="296"/>
      <c r="E4" s="296"/>
      <c r="F4" s="296"/>
      <c r="G4" s="296"/>
      <c r="H4" s="296"/>
      <c r="I4" s="5"/>
      <c r="J4" s="4"/>
      <c r="K4" s="1"/>
      <c r="L4" s="2" t="s">
        <v>7</v>
      </c>
      <c r="M4" s="1"/>
      <c r="N4" s="1"/>
      <c r="O4" s="1"/>
      <c r="P4" s="1"/>
      <c r="Q4" s="1"/>
      <c r="R4" s="1"/>
      <c r="S4" s="1"/>
      <c r="T4" s="1"/>
      <c r="U4" s="1"/>
      <c r="V4" s="1"/>
      <c r="W4" s="1"/>
      <c r="X4" s="1"/>
      <c r="Y4" s="2" t="s">
        <v>8</v>
      </c>
      <c r="Z4" s="2" t="s">
        <v>9</v>
      </c>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row>
    <row r="5" spans="1:80" ht="6" customHeight="1" x14ac:dyDescent="0.2">
      <c r="A5" s="1"/>
      <c r="B5" s="4"/>
      <c r="C5" s="5"/>
      <c r="D5" s="4"/>
      <c r="E5" s="4"/>
      <c r="F5" s="4"/>
      <c r="G5" s="4"/>
      <c r="H5" s="4"/>
      <c r="I5" s="5"/>
      <c r="J5" s="4"/>
      <c r="K5" s="1"/>
      <c r="L5" s="1"/>
      <c r="M5" s="1"/>
      <c r="N5" s="1"/>
      <c r="O5" s="1"/>
      <c r="P5" s="1"/>
      <c r="Q5" s="1"/>
      <c r="R5" s="1"/>
      <c r="S5" s="1"/>
      <c r="T5" s="1"/>
      <c r="U5" s="1"/>
      <c r="V5" s="1"/>
      <c r="W5" s="1"/>
      <c r="X5" s="1"/>
      <c r="Y5" s="2"/>
      <c r="Z5" s="2"/>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row>
    <row r="6" spans="1:80" ht="12.75" customHeight="1" thickBot="1" x14ac:dyDescent="0.25">
      <c r="A6" s="1"/>
      <c r="B6" s="4"/>
      <c r="C6" s="5"/>
      <c r="D6" s="297"/>
      <c r="E6" s="297"/>
      <c r="F6" s="297"/>
      <c r="G6" s="297"/>
      <c r="H6" s="297"/>
      <c r="I6" s="5"/>
      <c r="J6" s="4"/>
      <c r="K6" s="1"/>
      <c r="L6" s="1"/>
      <c r="M6" s="1"/>
      <c r="N6" s="1"/>
      <c r="O6" s="1"/>
      <c r="P6" s="1"/>
      <c r="Q6" s="1"/>
      <c r="R6" s="1"/>
      <c r="S6" s="1"/>
      <c r="T6" s="1"/>
      <c r="U6" s="1"/>
      <c r="V6" s="1"/>
      <c r="W6" s="1"/>
      <c r="X6" s="1"/>
      <c r="Y6" s="2" t="s">
        <v>10</v>
      </c>
      <c r="Z6" s="2">
        <v>4</v>
      </c>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row>
    <row r="7" spans="1:80" ht="9" customHeight="1" x14ac:dyDescent="0.25">
      <c r="A7" s="1"/>
      <c r="B7" s="4"/>
      <c r="C7" s="5"/>
      <c r="D7" s="298"/>
      <c r="E7" s="299"/>
      <c r="F7" s="299"/>
      <c r="G7" s="299"/>
      <c r="H7" s="299"/>
      <c r="I7" s="5"/>
      <c r="J7" s="4"/>
      <c r="K7" s="1"/>
      <c r="L7" s="300" t="s">
        <v>11</v>
      </c>
      <c r="M7" s="300"/>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row>
    <row r="8" spans="1:80" ht="9.75" customHeight="1" x14ac:dyDescent="0.25">
      <c r="A8" s="1"/>
      <c r="B8" s="4"/>
      <c r="C8" s="5"/>
      <c r="D8" s="6"/>
      <c r="E8" s="7"/>
      <c r="F8" s="7"/>
      <c r="G8" s="7"/>
      <c r="H8" s="7"/>
      <c r="I8" s="5"/>
      <c r="J8" s="4"/>
      <c r="K8" s="1"/>
      <c r="L8" s="301"/>
      <c r="M8" s="30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row>
    <row r="9" spans="1:80" ht="18" x14ac:dyDescent="0.2">
      <c r="A9" s="1"/>
      <c r="B9" s="4"/>
      <c r="C9" s="5"/>
      <c r="D9" s="8" t="s">
        <v>12</v>
      </c>
      <c r="E9" s="302" t="s">
        <v>45</v>
      </c>
      <c r="F9" s="302"/>
      <c r="G9" s="302"/>
      <c r="H9" s="302"/>
      <c r="I9" s="5"/>
      <c r="J9" s="4"/>
      <c r="K9" s="1"/>
      <c r="L9" s="303" t="s">
        <v>13</v>
      </c>
      <c r="M9" s="303"/>
      <c r="N9" s="1"/>
      <c r="O9" s="1"/>
      <c r="P9" s="1"/>
      <c r="Q9" s="1"/>
      <c r="R9" s="1"/>
      <c r="S9" s="1"/>
      <c r="T9" s="1"/>
      <c r="U9" s="1"/>
      <c r="V9" s="1"/>
      <c r="W9" s="1"/>
      <c r="X9" s="1"/>
      <c r="Y9" s="9" t="s">
        <v>14</v>
      </c>
      <c r="Z9" s="10">
        <v>20</v>
      </c>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row>
    <row r="10" spans="1:80" ht="15" x14ac:dyDescent="0.2">
      <c r="A10" s="1"/>
      <c r="B10" s="4"/>
      <c r="C10" s="5"/>
      <c r="D10" s="11" t="s">
        <v>15</v>
      </c>
      <c r="E10" s="305" t="s">
        <v>336</v>
      </c>
      <c r="F10" s="305"/>
      <c r="G10" s="305"/>
      <c r="H10" s="305"/>
      <c r="I10" s="5"/>
      <c r="J10" s="4"/>
      <c r="K10" s="1"/>
      <c r="L10" s="12" t="s">
        <v>16</v>
      </c>
      <c r="M10" s="13" t="s">
        <v>307</v>
      </c>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row>
    <row r="11" spans="1:80" x14ac:dyDescent="0.2">
      <c r="A11" s="1"/>
      <c r="B11" s="4"/>
      <c r="C11" s="5"/>
      <c r="D11" s="5"/>
      <c r="E11" s="5"/>
      <c r="F11" s="14"/>
      <c r="G11" s="5"/>
      <c r="H11" s="5"/>
      <c r="I11" s="5"/>
      <c r="J11" s="4"/>
      <c r="K11" s="1"/>
      <c r="L11" s="15" t="s">
        <v>17</v>
      </c>
      <c r="M11" s="16">
        <f ca="1">Vpk_Budget!$K$5</f>
        <v>2.0432693161006417</v>
      </c>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row>
    <row r="12" spans="1:80" x14ac:dyDescent="0.2">
      <c r="A12" s="1"/>
      <c r="B12" s="4"/>
      <c r="C12" s="5"/>
      <c r="D12" s="5" t="s">
        <v>18</v>
      </c>
      <c r="E12" s="268" t="s">
        <v>357</v>
      </c>
      <c r="F12" s="18"/>
      <c r="G12" s="19" t="s">
        <v>19</v>
      </c>
      <c r="H12" s="20">
        <v>40977.416516203702</v>
      </c>
      <c r="I12" s="5"/>
      <c r="J12" s="4"/>
      <c r="K12" s="1"/>
      <c r="L12" s="15" t="s">
        <v>20</v>
      </c>
      <c r="M12" s="21">
        <f>Vpk_Budget!$D$38</f>
        <v>0.95450000000000002</v>
      </c>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row>
    <row r="13" spans="1:80" x14ac:dyDescent="0.2">
      <c r="A13" s="1"/>
      <c r="B13" s="4"/>
      <c r="C13" s="5"/>
      <c r="D13" s="5" t="s">
        <v>21</v>
      </c>
      <c r="E13" s="268" t="s">
        <v>333</v>
      </c>
      <c r="F13" s="18"/>
      <c r="G13" s="22" t="s">
        <v>22</v>
      </c>
      <c r="H13" s="20">
        <v>40977</v>
      </c>
      <c r="I13" s="5"/>
      <c r="J13" s="4"/>
      <c r="K13" s="1"/>
      <c r="L13" s="15" t="s">
        <v>23</v>
      </c>
      <c r="M13" s="23" t="str">
        <f ca="1">Vpk_Budget!$L$5</f>
        <v>Student's t-Distribution</v>
      </c>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row>
    <row r="14" spans="1:80" x14ac:dyDescent="0.2">
      <c r="A14" s="1"/>
      <c r="B14" s="4"/>
      <c r="C14" s="5"/>
      <c r="D14" s="5" t="s">
        <v>24</v>
      </c>
      <c r="E14" s="17" t="s">
        <v>360</v>
      </c>
      <c r="F14" s="18"/>
      <c r="G14" s="22" t="s">
        <v>25</v>
      </c>
      <c r="H14" s="24">
        <f>IF(H13="","",IF(H15="",EDATE(H13,E15),EDATE(H15,E15)))</f>
        <v>41342</v>
      </c>
      <c r="I14" s="5"/>
      <c r="J14" s="4"/>
      <c r="K14" s="1"/>
      <c r="L14" s="15" t="str">
        <f>IF($M$10="2nd Order Polynomial","xSQR Multiplier",IF($M$10="Single Budget","Expanded Uncertainty Value","'b' Offset Value"))</f>
        <v>Expanded Uncertainty Value</v>
      </c>
      <c r="M14" s="23">
        <f ca="1">Vpk_Budget!$M$5</f>
        <v>2.8742180972458531</v>
      </c>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row>
    <row r="15" spans="1:80" x14ac:dyDescent="0.2">
      <c r="A15" s="1"/>
      <c r="B15" s="4"/>
      <c r="C15" s="5"/>
      <c r="D15" s="25" t="s">
        <v>26</v>
      </c>
      <c r="E15" s="286">
        <v>12</v>
      </c>
      <c r="F15" s="18"/>
      <c r="G15" s="22" t="s">
        <v>27</v>
      </c>
      <c r="H15" s="20"/>
      <c r="I15" s="5"/>
      <c r="J15" s="4"/>
      <c r="K15" s="1"/>
      <c r="L15" s="15" t="str">
        <f>IF($M$10="2nd Order Polynomial","xSQR Label",IF($M$10="Single Budget","Uncertainty Units","'b' Offset Units"))</f>
        <v>Uncertainty Units</v>
      </c>
      <c r="M15" s="23" t="str">
        <f>Vpk_Budget!$N$5</f>
        <v>Vpk</v>
      </c>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row>
    <row r="16" spans="1:80" x14ac:dyDescent="0.2">
      <c r="A16" s="1"/>
      <c r="B16" s="4"/>
      <c r="C16" s="5"/>
      <c r="D16" s="5"/>
      <c r="E16" s="5"/>
      <c r="F16" s="14"/>
      <c r="G16" s="5"/>
      <c r="H16" s="5"/>
      <c r="I16" s="5"/>
      <c r="J16" s="4"/>
      <c r="K16" s="1"/>
      <c r="L16" s="15" t="str">
        <f>IF($M$10="2nd Order Polynomial","x Multiplier",IF($M$10="Single Budget","Total Eff. Degrees of Freedom","Measured Value Multiplier 'm'"))</f>
        <v>Total Eff. Degrees of Freedom</v>
      </c>
      <c r="M16" s="23">
        <f ca="1">Vpk_Budget!$K$37</f>
        <v>59.715247512143925</v>
      </c>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row>
    <row r="17" spans="1:80" x14ac:dyDescent="0.2">
      <c r="A17" s="1"/>
      <c r="B17" s="4"/>
      <c r="C17" s="5"/>
      <c r="D17" s="306" t="s">
        <v>28</v>
      </c>
      <c r="E17" s="306"/>
      <c r="F17" s="307" t="str">
        <f ca="1">Vpk_Budget!$X$13</f>
        <v>2.9 Vpk</v>
      </c>
      <c r="G17" s="308"/>
      <c r="H17" s="308"/>
      <c r="I17" s="5"/>
      <c r="J17" s="4"/>
      <c r="K17" s="2" t="s">
        <v>29</v>
      </c>
      <c r="L17" s="15" t="str">
        <f>IF($M$10="2nd Order Polynomial","x Label",IF($M$10="Single Budget","","'m' Multiplier Units"))</f>
        <v/>
      </c>
      <c r="M17" s="23"/>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row>
    <row r="18" spans="1:80" ht="12.75" customHeight="1" x14ac:dyDescent="0.2">
      <c r="A18" s="1"/>
      <c r="B18" s="4"/>
      <c r="C18" s="5"/>
      <c r="D18" s="26"/>
      <c r="E18" s="5"/>
      <c r="F18" s="5"/>
      <c r="G18" s="5"/>
      <c r="H18" s="5"/>
      <c r="I18" s="5"/>
      <c r="J18" s="4"/>
      <c r="K18" s="27"/>
      <c r="L18" s="15" t="str">
        <f>IF($M$10="2nd Order Polynomial","Offset Value",IF($M$10="Single Budget","",IF($M$10="b + mX","'X' Measured Value Units","")))</f>
        <v/>
      </c>
      <c r="M18" s="23"/>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row>
    <row r="19" spans="1:80" ht="12.75" customHeight="1" x14ac:dyDescent="0.2">
      <c r="A19" s="1"/>
      <c r="B19" s="4"/>
      <c r="C19" s="5"/>
      <c r="D19" s="28" t="s">
        <v>30</v>
      </c>
      <c r="E19" s="5"/>
      <c r="F19" s="309"/>
      <c r="G19" s="310"/>
      <c r="H19" s="310"/>
      <c r="I19" s="5"/>
      <c r="J19" s="4"/>
      <c r="K19" s="27"/>
      <c r="L19" s="15" t="str">
        <f ca="1">IF($M$10="2nd Order Polynomial","Offset Units",IF($M$11="Single Budget","",IF($M$11="b + mX","'X' Units","")))</f>
        <v/>
      </c>
      <c r="M19" s="23"/>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row>
    <row r="20" spans="1:80" ht="57" customHeight="1" x14ac:dyDescent="0.2">
      <c r="A20" s="1"/>
      <c r="B20" s="4"/>
      <c r="C20" s="5"/>
      <c r="D20" s="311" t="s">
        <v>364</v>
      </c>
      <c r="E20" s="311"/>
      <c r="F20" s="311"/>
      <c r="G20" s="311"/>
      <c r="H20" s="311"/>
      <c r="I20" s="5"/>
      <c r="J20" s="4"/>
      <c r="K20" s="1"/>
      <c r="L20" s="295" t="s">
        <v>31</v>
      </c>
      <c r="M20" s="295"/>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row>
    <row r="21" spans="1:80" ht="12.75" customHeight="1" x14ac:dyDescent="0.2">
      <c r="A21" s="1"/>
      <c r="B21" s="4"/>
      <c r="C21" s="5"/>
      <c r="D21" s="5"/>
      <c r="E21" s="5"/>
      <c r="F21" s="5"/>
      <c r="G21" s="5"/>
      <c r="H21" s="5"/>
      <c r="I21" s="5"/>
      <c r="J21" s="4"/>
      <c r="K21" s="1"/>
      <c r="L21" s="303" t="s">
        <v>32</v>
      </c>
      <c r="M21" s="303"/>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row>
    <row r="22" spans="1:80" x14ac:dyDescent="0.2">
      <c r="A22" s="1"/>
      <c r="B22" s="4"/>
      <c r="C22" s="5"/>
      <c r="D22" s="5"/>
      <c r="E22" s="5"/>
      <c r="F22" s="5"/>
      <c r="G22" s="5"/>
      <c r="H22" s="5"/>
      <c r="I22" s="5"/>
      <c r="J22" s="4"/>
      <c r="K22" s="1"/>
      <c r="L22" s="15" t="s">
        <v>33</v>
      </c>
      <c r="M22" s="29">
        <v>20</v>
      </c>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row>
    <row r="23" spans="1:80" x14ac:dyDescent="0.2">
      <c r="A23" s="1"/>
      <c r="B23" s="4"/>
      <c r="C23" s="5"/>
      <c r="D23" s="306" t="s">
        <v>34</v>
      </c>
      <c r="E23" s="306"/>
      <c r="F23" s="312" t="s">
        <v>358</v>
      </c>
      <c r="G23" s="312"/>
      <c r="H23" s="312"/>
      <c r="I23" s="5"/>
      <c r="J23" s="4"/>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row>
    <row r="24" spans="1:80" x14ac:dyDescent="0.2">
      <c r="A24" s="1"/>
      <c r="B24" s="4"/>
      <c r="C24" s="5"/>
      <c r="D24" s="5"/>
      <c r="E24" s="5"/>
      <c r="F24" s="5"/>
      <c r="G24" s="5"/>
      <c r="H24" s="5"/>
      <c r="I24" s="5"/>
      <c r="J24" s="4"/>
      <c r="K24" s="1"/>
      <c r="L24" s="303" t="s">
        <v>35</v>
      </c>
      <c r="M24" s="303"/>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row>
    <row r="25" spans="1:80" ht="12.75" customHeight="1" x14ac:dyDescent="0.25">
      <c r="A25" s="1"/>
      <c r="B25" s="4"/>
      <c r="C25" s="5"/>
      <c r="D25" s="5"/>
      <c r="E25" s="313" t="s">
        <v>36</v>
      </c>
      <c r="F25" s="313"/>
      <c r="G25" s="313"/>
      <c r="H25" s="5"/>
      <c r="I25" s="5"/>
      <c r="J25" s="4"/>
      <c r="K25" s="1"/>
      <c r="L25" s="15" t="s">
        <v>37</v>
      </c>
      <c r="M25" s="29"/>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row>
    <row r="26" spans="1:80" x14ac:dyDescent="0.2">
      <c r="A26" s="1"/>
      <c r="B26" s="4"/>
      <c r="C26" s="5"/>
      <c r="D26" s="304"/>
      <c r="E26" s="304"/>
      <c r="F26" s="30"/>
      <c r="G26" s="5"/>
      <c r="H26" s="5"/>
      <c r="I26" s="5"/>
      <c r="J26" s="4"/>
      <c r="K26" s="1"/>
      <c r="L26" s="15" t="s">
        <v>38</v>
      </c>
      <c r="M26" s="29"/>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row>
    <row r="27" spans="1:80" x14ac:dyDescent="0.2">
      <c r="A27" s="1"/>
      <c r="B27" s="4"/>
      <c r="C27" s="5"/>
      <c r="D27" s="314" t="s">
        <v>340</v>
      </c>
      <c r="E27" s="314"/>
      <c r="F27" s="31"/>
      <c r="G27" s="315"/>
      <c r="H27" s="315"/>
      <c r="I27" s="5"/>
      <c r="J27" s="4"/>
      <c r="K27" s="1"/>
      <c r="L27" s="15" t="s">
        <v>39</v>
      </c>
      <c r="M27" s="29"/>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row>
    <row r="28" spans="1:80" x14ac:dyDescent="0.2">
      <c r="A28" s="1"/>
      <c r="B28" s="4"/>
      <c r="C28" s="5"/>
      <c r="D28" s="314" t="s">
        <v>341</v>
      </c>
      <c r="E28" s="314"/>
      <c r="F28" s="31"/>
      <c r="G28" s="315"/>
      <c r="H28" s="315"/>
      <c r="I28" s="5"/>
      <c r="J28" s="4"/>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row>
    <row r="29" spans="1:80" ht="12.75" customHeight="1" x14ac:dyDescent="0.2">
      <c r="A29" s="1"/>
      <c r="B29" s="4"/>
      <c r="C29" s="5"/>
      <c r="D29" s="316" t="s">
        <v>326</v>
      </c>
      <c r="E29" s="316"/>
      <c r="F29" s="31"/>
      <c r="G29" s="315"/>
      <c r="H29" s="315"/>
      <c r="I29" s="5"/>
      <c r="J29" s="4"/>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row>
    <row r="30" spans="1:80" x14ac:dyDescent="0.2">
      <c r="A30" s="1"/>
      <c r="B30" s="4"/>
      <c r="C30" s="5"/>
      <c r="D30" s="314" t="s">
        <v>327</v>
      </c>
      <c r="E30" s="314"/>
      <c r="F30" s="31"/>
      <c r="G30" s="315"/>
      <c r="H30" s="315"/>
      <c r="I30" s="5"/>
      <c r="J30" s="4"/>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row>
    <row r="31" spans="1:80" x14ac:dyDescent="0.2">
      <c r="A31" s="1"/>
      <c r="B31" s="4"/>
      <c r="C31" s="5"/>
      <c r="D31" s="314" t="s">
        <v>328</v>
      </c>
      <c r="E31" s="314"/>
      <c r="F31" s="31"/>
      <c r="G31" s="315"/>
      <c r="H31" s="315"/>
      <c r="I31" s="5"/>
      <c r="J31" s="4"/>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row>
    <row r="32" spans="1:80" x14ac:dyDescent="0.2">
      <c r="A32" s="1"/>
      <c r="B32" s="4"/>
      <c r="C32" s="5"/>
      <c r="D32" s="314" t="s">
        <v>329</v>
      </c>
      <c r="E32" s="314"/>
      <c r="F32" s="31"/>
      <c r="G32" s="315"/>
      <c r="H32" s="315"/>
      <c r="I32" s="5"/>
      <c r="J32" s="4"/>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row>
    <row r="33" spans="1:80" x14ac:dyDescent="0.2">
      <c r="A33" s="1"/>
      <c r="B33" s="4"/>
      <c r="C33" s="5"/>
      <c r="D33" s="314"/>
      <c r="E33" s="314"/>
      <c r="F33" s="31"/>
      <c r="G33" s="315"/>
      <c r="H33" s="315"/>
      <c r="I33" s="5"/>
      <c r="J33" s="4"/>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row>
    <row r="34" spans="1:80" x14ac:dyDescent="0.2">
      <c r="A34" s="1"/>
      <c r="B34" s="4"/>
      <c r="C34" s="5"/>
      <c r="D34" s="314"/>
      <c r="E34" s="314"/>
      <c r="F34" s="31"/>
      <c r="G34" s="315"/>
      <c r="H34" s="315"/>
      <c r="I34" s="5"/>
      <c r="J34" s="4"/>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row>
    <row r="35" spans="1:80" x14ac:dyDescent="0.2">
      <c r="A35" s="1"/>
      <c r="B35" s="4"/>
      <c r="C35" s="5"/>
      <c r="D35" s="314"/>
      <c r="E35" s="314"/>
      <c r="F35" s="31"/>
      <c r="G35" s="315"/>
      <c r="H35" s="315"/>
      <c r="I35" s="5"/>
      <c r="J35" s="4"/>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row>
    <row r="36" spans="1:80" x14ac:dyDescent="0.2">
      <c r="A36" s="1"/>
      <c r="B36" s="4"/>
      <c r="C36" s="5"/>
      <c r="D36" s="314"/>
      <c r="E36" s="314"/>
      <c r="F36" s="31"/>
      <c r="G36" s="315"/>
      <c r="H36" s="315"/>
      <c r="I36" s="5"/>
      <c r="J36" s="4"/>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row>
    <row r="37" spans="1:80" x14ac:dyDescent="0.2">
      <c r="A37" s="1"/>
      <c r="B37" s="4"/>
      <c r="C37" s="5"/>
      <c r="D37" s="304"/>
      <c r="E37" s="304"/>
      <c r="F37" s="18"/>
      <c r="G37" s="318"/>
      <c r="H37" s="318"/>
      <c r="I37" s="5"/>
      <c r="J37" s="4"/>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row>
    <row r="38" spans="1:80" x14ac:dyDescent="0.2">
      <c r="A38" s="1"/>
      <c r="B38" s="4"/>
      <c r="C38" s="5"/>
      <c r="D38" s="304"/>
      <c r="E38" s="304"/>
      <c r="F38" s="304"/>
      <c r="G38" s="304"/>
      <c r="H38" s="304"/>
      <c r="I38" s="5"/>
      <c r="J38" s="4"/>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row>
    <row r="39" spans="1:80" ht="12.75" customHeight="1" x14ac:dyDescent="0.25">
      <c r="A39" s="1"/>
      <c r="B39" s="4"/>
      <c r="C39" s="5"/>
      <c r="D39" s="317" t="s">
        <v>40</v>
      </c>
      <c r="E39" s="317"/>
      <c r="F39" s="317"/>
      <c r="G39" s="317"/>
      <c r="H39" s="317"/>
      <c r="I39" s="5"/>
      <c r="J39" s="4"/>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row>
    <row r="40" spans="1:80" x14ac:dyDescent="0.2">
      <c r="A40" s="1"/>
      <c r="B40" s="4"/>
      <c r="C40" s="5"/>
      <c r="D40" s="319"/>
      <c r="E40" s="319"/>
      <c r="F40" s="32"/>
      <c r="G40" s="315"/>
      <c r="H40" s="315"/>
      <c r="I40" s="5"/>
      <c r="J40" s="4"/>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row>
    <row r="41" spans="1:80" x14ac:dyDescent="0.2">
      <c r="A41" s="1"/>
      <c r="B41" s="4"/>
      <c r="C41" s="5"/>
      <c r="D41" s="319"/>
      <c r="E41" s="319"/>
      <c r="F41" s="32"/>
      <c r="G41" s="315"/>
      <c r="H41" s="315"/>
      <c r="I41" s="5"/>
      <c r="J41" s="4"/>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row>
    <row r="42" spans="1:80" x14ac:dyDescent="0.2">
      <c r="A42" s="1"/>
      <c r="B42" s="4"/>
      <c r="C42" s="5"/>
      <c r="D42" s="319"/>
      <c r="E42" s="319"/>
      <c r="F42" s="32"/>
      <c r="G42" s="315"/>
      <c r="H42" s="315"/>
      <c r="I42" s="5"/>
      <c r="J42" s="4"/>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row>
    <row r="43" spans="1:80" x14ac:dyDescent="0.2">
      <c r="A43" s="1"/>
      <c r="B43" s="4"/>
      <c r="C43" s="5"/>
      <c r="D43" s="319"/>
      <c r="E43" s="319"/>
      <c r="F43" s="32"/>
      <c r="G43" s="315"/>
      <c r="H43" s="315"/>
      <c r="I43" s="5"/>
      <c r="J43" s="4"/>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row>
    <row r="44" spans="1:80" x14ac:dyDescent="0.2">
      <c r="A44" s="1"/>
      <c r="B44" s="4"/>
      <c r="C44" s="5"/>
      <c r="D44" s="319"/>
      <c r="E44" s="319"/>
      <c r="F44" s="32"/>
      <c r="G44" s="315"/>
      <c r="H44" s="315"/>
      <c r="I44" s="5"/>
      <c r="J44" s="4"/>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row>
    <row r="45" spans="1:80" x14ac:dyDescent="0.2">
      <c r="A45" s="1"/>
      <c r="B45" s="4"/>
      <c r="C45" s="5"/>
      <c r="D45" s="319"/>
      <c r="E45" s="319"/>
      <c r="F45" s="32"/>
      <c r="G45" s="315"/>
      <c r="H45" s="315"/>
      <c r="I45" s="5"/>
      <c r="J45" s="4"/>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row>
    <row r="46" spans="1:80" x14ac:dyDescent="0.2">
      <c r="A46" s="1"/>
      <c r="B46" s="4"/>
      <c r="C46" s="5"/>
      <c r="D46" s="319"/>
      <c r="E46" s="319"/>
      <c r="F46" s="32"/>
      <c r="G46" s="315"/>
      <c r="H46" s="315"/>
      <c r="I46" s="5"/>
      <c r="J46" s="4"/>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row>
    <row r="47" spans="1:80" x14ac:dyDescent="0.2">
      <c r="A47" s="1"/>
      <c r="B47" s="4"/>
      <c r="C47" s="5"/>
      <c r="D47" s="320" t="s">
        <v>41</v>
      </c>
      <c r="E47" s="320"/>
      <c r="F47" s="33">
        <f>Vpk_Budget!$D$38</f>
        <v>0.95450000000000002</v>
      </c>
      <c r="G47" s="34" t="s">
        <v>43</v>
      </c>
      <c r="H47" s="35">
        <f ca="1">Vpk_Budget!$K$5</f>
        <v>2.0432693161006417</v>
      </c>
      <c r="I47" s="5"/>
      <c r="J47" s="4"/>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row>
    <row r="48" spans="1:80" x14ac:dyDescent="0.2">
      <c r="A48" s="1"/>
      <c r="B48" s="4"/>
      <c r="C48" s="5"/>
      <c r="D48" s="5"/>
      <c r="E48" s="5"/>
      <c r="F48" s="32"/>
      <c r="G48" s="321" t="s">
        <v>44</v>
      </c>
      <c r="H48" s="322"/>
      <c r="I48" s="5"/>
      <c r="J48" s="4"/>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row>
    <row r="49" spans="1:80" ht="4.5" customHeight="1" x14ac:dyDescent="0.2">
      <c r="A49" s="1"/>
      <c r="B49" s="4"/>
      <c r="C49" s="4"/>
      <c r="D49" s="4"/>
      <c r="E49" s="4"/>
      <c r="F49" s="4"/>
      <c r="G49" s="4"/>
      <c r="H49" s="4"/>
      <c r="I49" s="4"/>
      <c r="J49" s="4"/>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row>
    <row r="50" spans="1:80"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row>
    <row r="51" spans="1:80"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row>
    <row r="52" spans="1:80" ht="15" customHeight="1" x14ac:dyDescent="0.2">
      <c r="A52" s="1"/>
      <c r="B52" s="1"/>
      <c r="C52" s="1"/>
      <c r="D52" s="2"/>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row>
    <row r="53" spans="1:80"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row>
    <row r="54" spans="1:80"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row>
    <row r="55" spans="1:80"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row>
    <row r="56" spans="1:80"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row>
    <row r="57" spans="1:80"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row>
    <row r="58" spans="1:80"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row>
    <row r="59" spans="1:80"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row>
  </sheetData>
  <sheetProtection password="F6CC" sheet="1" objects="1" scenarios="1" formatCells="0" formatColumns="0" formatRows="0" insertHyperlinks="0" sort="0" autoFilter="0" pivotTables="0"/>
  <mergeCells count="58">
    <mergeCell ref="D46:E46"/>
    <mergeCell ref="G46:H46"/>
    <mergeCell ref="D47:E47"/>
    <mergeCell ref="G48:H48"/>
    <mergeCell ref="D43:E43"/>
    <mergeCell ref="G43:H43"/>
    <mergeCell ref="D44:E44"/>
    <mergeCell ref="G44:H44"/>
    <mergeCell ref="D45:E45"/>
    <mergeCell ref="G45:H45"/>
    <mergeCell ref="D40:E40"/>
    <mergeCell ref="G40:H40"/>
    <mergeCell ref="D41:E41"/>
    <mergeCell ref="G41:H41"/>
    <mergeCell ref="D42:E42"/>
    <mergeCell ref="G42:H42"/>
    <mergeCell ref="D39:H39"/>
    <mergeCell ref="D33:E33"/>
    <mergeCell ref="G33:H33"/>
    <mergeCell ref="D34:E34"/>
    <mergeCell ref="G34:H34"/>
    <mergeCell ref="D35:E35"/>
    <mergeCell ref="G35:H35"/>
    <mergeCell ref="D36:E36"/>
    <mergeCell ref="G36:H36"/>
    <mergeCell ref="D37:E37"/>
    <mergeCell ref="G37:H37"/>
    <mergeCell ref="D38:H38"/>
    <mergeCell ref="D30:E30"/>
    <mergeCell ref="G30:H30"/>
    <mergeCell ref="D31:E31"/>
    <mergeCell ref="G31:H31"/>
    <mergeCell ref="D32:E32"/>
    <mergeCell ref="G32:H32"/>
    <mergeCell ref="D27:E27"/>
    <mergeCell ref="G27:H27"/>
    <mergeCell ref="D28:E28"/>
    <mergeCell ref="G28:H28"/>
    <mergeCell ref="D29:E29"/>
    <mergeCell ref="G29:H29"/>
    <mergeCell ref="L21:M21"/>
    <mergeCell ref="D23:E23"/>
    <mergeCell ref="F23:H23"/>
    <mergeCell ref="L24:M24"/>
    <mergeCell ref="E25:G25"/>
    <mergeCell ref="D26:E26"/>
    <mergeCell ref="E10:H10"/>
    <mergeCell ref="D17:E17"/>
    <mergeCell ref="F17:H17"/>
    <mergeCell ref="F19:H19"/>
    <mergeCell ref="D20:H20"/>
    <mergeCell ref="L20:M20"/>
    <mergeCell ref="D4:H4"/>
    <mergeCell ref="D6:H6"/>
    <mergeCell ref="D7:H7"/>
    <mergeCell ref="L7:M8"/>
    <mergeCell ref="E9:H9"/>
    <mergeCell ref="L9:M9"/>
  </mergeCells>
  <conditionalFormatting sqref="F17:H17">
    <cfRule type="cellIs" dxfId="12" priority="1" stopIfTrue="1" operator="equal">
      <formula>"Re-Link"</formula>
    </cfRule>
  </conditionalFormatting>
  <printOptions horizontalCentered="1" verticalCentered="1"/>
  <pageMargins left="0.75" right="0.75" top="1" bottom="1" header="0.5" footer="0.5"/>
  <pageSetup orientation="portrait" blackAndWhite="1" horizontalDpi="300" verticalDpi="300" r:id="rId1"/>
  <headerFooter alignWithMargins="0">
    <oddHeader>&amp;LPrinted: &amp;D
&amp;T&amp;CSummary</oddHeader>
    <oddFooter>Page &amp;P of &amp;N</oddFooter>
  </headerFooter>
  <drawing r:id="rId2"/>
  <legacyDrawing r:id="rId3"/>
  <controls>
    <mc:AlternateContent xmlns:mc="http://schemas.openxmlformats.org/markup-compatibility/2006">
      <mc:Choice Requires="x14">
        <control shapeId="1032" r:id="rId4" name="cmbCopyScope">
          <controlPr defaultSize="0" print="0" autoFill="0" autoLine="0" r:id="rId5">
            <anchor moveWithCells="1">
              <from>
                <xdr:col>8</xdr:col>
                <xdr:colOff>171450</xdr:colOff>
                <xdr:row>19</xdr:row>
                <xdr:rowOff>152400</xdr:rowOff>
              </from>
              <to>
                <xdr:col>10</xdr:col>
                <xdr:colOff>333375</xdr:colOff>
                <xdr:row>19</xdr:row>
                <xdr:rowOff>571500</xdr:rowOff>
              </to>
            </anchor>
          </controlPr>
        </control>
      </mc:Choice>
      <mc:Fallback>
        <control shapeId="1032" r:id="rId4" name="cmbCopyScope"/>
      </mc:Fallback>
    </mc:AlternateContent>
    <mc:AlternateContent xmlns:mc="http://schemas.openxmlformats.org/markup-compatibility/2006">
      <mc:Choice Requires="x14">
        <control shapeId="1031" r:id="rId6" name="cmbAutoSizeSum">
          <controlPr defaultSize="0" print="0" autoFill="0" autoLine="0" r:id="rId7">
            <anchor moveWithCells="1">
              <from>
                <xdr:col>10</xdr:col>
                <xdr:colOff>76200</xdr:colOff>
                <xdr:row>4</xdr:row>
                <xdr:rowOff>28575</xdr:rowOff>
              </from>
              <to>
                <xdr:col>11</xdr:col>
                <xdr:colOff>361950</xdr:colOff>
                <xdr:row>7</xdr:row>
                <xdr:rowOff>66675</xdr:rowOff>
              </to>
            </anchor>
          </controlPr>
        </control>
      </mc:Choice>
      <mc:Fallback>
        <control shapeId="1031" r:id="rId6" name="cmbAutoSizeSum"/>
      </mc:Fallback>
    </mc:AlternateContent>
    <mc:AlternateContent xmlns:mc="http://schemas.openxmlformats.org/markup-compatibility/2006">
      <mc:Choice Requires="x14">
        <control shapeId="1030" r:id="rId8" name="Notes">
          <controlPr locked="0" defaultSize="0" autoFill="0" autoLine="0" linkedCell="D20" r:id="rId9">
            <anchor moveWithCells="1">
              <from>
                <xdr:col>3</xdr:col>
                <xdr:colOff>9525</xdr:colOff>
                <xdr:row>19</xdr:row>
                <xdr:rowOff>19050</xdr:rowOff>
              </from>
              <to>
                <xdr:col>8</xdr:col>
                <xdr:colOff>9525</xdr:colOff>
                <xdr:row>20</xdr:row>
                <xdr:rowOff>76200</xdr:rowOff>
              </to>
            </anchor>
          </controlPr>
        </control>
      </mc:Choice>
      <mc:Fallback>
        <control shapeId="1030" r:id="rId8" name="Notes"/>
      </mc:Fallback>
    </mc:AlternateContent>
    <mc:AlternateContent xmlns:mc="http://schemas.openxmlformats.org/markup-compatibility/2006">
      <mc:Choice Requires="x14">
        <control shapeId="1029" r:id="rId10" name="UpdateInfo">
          <controlPr defaultSize="0" print="0" autoFill="0" autoLine="0" r:id="rId11">
            <anchor moveWithCells="1" sizeWithCells="1">
              <from>
                <xdr:col>2</xdr:col>
                <xdr:colOff>238125</xdr:colOff>
                <xdr:row>23</xdr:row>
                <xdr:rowOff>85725</xdr:rowOff>
              </from>
              <to>
                <xdr:col>4</xdr:col>
                <xdr:colOff>342900</xdr:colOff>
                <xdr:row>25</xdr:row>
                <xdr:rowOff>85725</xdr:rowOff>
              </to>
            </anchor>
          </controlPr>
        </control>
      </mc:Choice>
      <mc:Fallback>
        <control shapeId="1029" r:id="rId10" name="UpdateInfo"/>
      </mc:Fallback>
    </mc:AlternateContent>
    <mc:AlternateContent xmlns:mc="http://schemas.openxmlformats.org/markup-compatibility/2006">
      <mc:Choice Requires="x14">
        <control shapeId="1028" r:id="rId12" name="updateLinkbtn">
          <controlPr defaultSize="0" print="0" autoFill="0" autoLine="0" r:id="rId13">
            <anchor moveWithCells="1" sizeWithCells="1">
              <from>
                <xdr:col>8</xdr:col>
                <xdr:colOff>19050</xdr:colOff>
                <xdr:row>16</xdr:row>
                <xdr:rowOff>0</xdr:rowOff>
              </from>
              <to>
                <xdr:col>8</xdr:col>
                <xdr:colOff>200025</xdr:colOff>
                <xdr:row>16</xdr:row>
                <xdr:rowOff>152400</xdr:rowOff>
              </to>
            </anchor>
          </controlPr>
        </control>
      </mc:Choice>
      <mc:Fallback>
        <control shapeId="1028" r:id="rId12" name="updateLinkbtn"/>
      </mc:Fallback>
    </mc:AlternateContent>
    <mc:AlternateContent xmlns:mc="http://schemas.openxmlformats.org/markup-compatibility/2006">
      <mc:Choice Requires="x14">
        <control shapeId="1027" r:id="rId14" name="Today4">
          <controlPr defaultSize="0" print="0" autoFill="0" autoLine="0" r:id="rId13">
            <anchor moveWithCells="1" sizeWithCells="1">
              <from>
                <xdr:col>6</xdr:col>
                <xdr:colOff>1257300</xdr:colOff>
                <xdr:row>13</xdr:row>
                <xdr:rowOff>152400</xdr:rowOff>
              </from>
              <to>
                <xdr:col>6</xdr:col>
                <xdr:colOff>1438275</xdr:colOff>
                <xdr:row>14</xdr:row>
                <xdr:rowOff>142875</xdr:rowOff>
              </to>
            </anchor>
          </controlPr>
        </control>
      </mc:Choice>
      <mc:Fallback>
        <control shapeId="1027" r:id="rId14" name="Today4"/>
      </mc:Fallback>
    </mc:AlternateContent>
    <mc:AlternateContent xmlns:mc="http://schemas.openxmlformats.org/markup-compatibility/2006">
      <mc:Choice Requires="x14">
        <control shapeId="1026" r:id="rId15" name="Today2">
          <controlPr defaultSize="0" print="0" autoFill="0" autoLine="0" r:id="rId13">
            <anchor moveWithCells="1" sizeWithCells="1">
              <from>
                <xdr:col>6</xdr:col>
                <xdr:colOff>1257300</xdr:colOff>
                <xdr:row>12</xdr:row>
                <xdr:rowOff>19050</xdr:rowOff>
              </from>
              <to>
                <xdr:col>6</xdr:col>
                <xdr:colOff>1438275</xdr:colOff>
                <xdr:row>13</xdr:row>
                <xdr:rowOff>9525</xdr:rowOff>
              </to>
            </anchor>
          </controlPr>
        </control>
      </mc:Choice>
      <mc:Fallback>
        <control shapeId="1026" r:id="rId15" name="Today2"/>
      </mc:Fallback>
    </mc:AlternateContent>
    <mc:AlternateContent xmlns:mc="http://schemas.openxmlformats.org/markup-compatibility/2006">
      <mc:Choice Requires="x14">
        <control shapeId="1025" r:id="rId16" name="Today1">
          <controlPr defaultSize="0" print="0" autoFill="0" autoLine="0" r:id="rId13">
            <anchor moveWithCells="1" sizeWithCells="1">
              <from>
                <xdr:col>6</xdr:col>
                <xdr:colOff>1257300</xdr:colOff>
                <xdr:row>10</xdr:row>
                <xdr:rowOff>152400</xdr:rowOff>
              </from>
              <to>
                <xdr:col>6</xdr:col>
                <xdr:colOff>1438275</xdr:colOff>
                <xdr:row>11</xdr:row>
                <xdr:rowOff>142875</xdr:rowOff>
              </to>
            </anchor>
          </controlPr>
        </control>
      </mc:Choice>
      <mc:Fallback>
        <control shapeId="1025" r:id="rId16" name="Today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V272"/>
  <sheetViews>
    <sheetView tabSelected="1" zoomScale="74" zoomScaleNormal="74" workbookViewId="0">
      <selection activeCell="B1" sqref="B1:S1"/>
    </sheetView>
  </sheetViews>
  <sheetFormatPr defaultRowHeight="12.75" x14ac:dyDescent="0.2"/>
  <cols>
    <col min="1" max="1" width="1.28515625" style="3" customWidth="1"/>
    <col min="2" max="2" width="5.28515625" style="3" customWidth="1"/>
    <col min="3" max="3" width="31.28515625" style="3" customWidth="1"/>
    <col min="4" max="4" width="9.5703125" style="3" bestFit="1" customWidth="1"/>
    <col min="5" max="5" width="12.85546875" style="3" customWidth="1"/>
    <col min="6" max="6" width="13" style="3" customWidth="1"/>
    <col min="7" max="7" width="13.140625" style="3" customWidth="1"/>
    <col min="8" max="8" width="11.85546875" style="3" customWidth="1"/>
    <col min="9" max="9" width="11.28515625" style="3" customWidth="1"/>
    <col min="10" max="10" width="13.42578125" style="3" customWidth="1"/>
    <col min="11" max="11" width="12.5703125" style="3" customWidth="1"/>
    <col min="12" max="12" width="12.28515625" style="3" customWidth="1"/>
    <col min="13" max="13" width="17.140625" style="3" customWidth="1"/>
    <col min="14" max="14" width="14.140625" style="3" customWidth="1"/>
    <col min="15" max="18" width="9.140625" style="3" hidden="1" customWidth="1"/>
    <col min="19" max="19" width="9.140625" style="3"/>
    <col min="20" max="20" width="9.140625" style="3" hidden="1" customWidth="1"/>
    <col min="21" max="21" width="9.85546875" style="3" hidden="1" customWidth="1"/>
    <col min="22" max="26" width="9.140625" style="3" hidden="1" customWidth="1"/>
    <col min="27" max="27" width="3.85546875" style="3" hidden="1" customWidth="1"/>
    <col min="28" max="28" width="3.28515625" style="3" customWidth="1"/>
    <col min="29" max="29" width="18.42578125" style="3" bestFit="1" customWidth="1"/>
    <col min="30" max="33" width="12.85546875" style="3" customWidth="1"/>
    <col min="34" max="34" width="8.5703125" style="3" customWidth="1"/>
    <col min="35" max="35" width="12.85546875" style="3" customWidth="1"/>
    <col min="36" max="36" width="8.5703125" style="3" customWidth="1"/>
    <col min="37" max="37" width="12.85546875" style="3" customWidth="1"/>
    <col min="38" max="38" width="8.5703125" style="3" customWidth="1"/>
    <col min="39" max="39" width="12.85546875" style="3" customWidth="1"/>
    <col min="40" max="40" width="12.140625" style="3" customWidth="1"/>
    <col min="41" max="41" width="2.42578125" style="3" customWidth="1"/>
    <col min="42" max="42" width="9.140625" style="3" customWidth="1"/>
    <col min="43" max="43" width="12.85546875" style="3" customWidth="1"/>
    <col min="44" max="44" width="9.140625" style="3" customWidth="1"/>
    <col min="45" max="46" width="12.85546875" style="3" customWidth="1"/>
    <col min="47" max="47" width="9.140625" style="3" customWidth="1"/>
    <col min="48" max="48" width="11.28515625" style="3" customWidth="1"/>
    <col min="49" max="49" width="13" style="3" customWidth="1"/>
    <col min="50" max="50" width="11.28515625" style="3" customWidth="1"/>
    <col min="51" max="51" width="9.140625" style="3" customWidth="1"/>
    <col min="52" max="52" width="11.28515625" style="3" customWidth="1"/>
    <col min="53" max="53" width="9.140625" style="3" customWidth="1"/>
    <col min="54" max="54" width="12.85546875" style="3" customWidth="1"/>
    <col min="55" max="55" width="22.28515625" style="3" customWidth="1"/>
    <col min="56" max="56" width="9.140625" style="3" customWidth="1"/>
    <col min="57" max="58" width="13" style="3" customWidth="1"/>
    <col min="59" max="59" width="9.140625" style="3"/>
    <col min="60" max="60" width="8.85546875" style="3" customWidth="1"/>
    <col min="61" max="16384" width="9.140625" style="3"/>
  </cols>
  <sheetData>
    <row r="1" spans="1:74" ht="18.75" customHeight="1" thickBot="1" x14ac:dyDescent="0.25">
      <c r="A1" s="5"/>
      <c r="B1" s="329" t="s">
        <v>46</v>
      </c>
      <c r="C1" s="330"/>
      <c r="D1" s="330"/>
      <c r="E1" s="330"/>
      <c r="F1" s="330"/>
      <c r="G1" s="330"/>
      <c r="H1" s="330"/>
      <c r="I1" s="330"/>
      <c r="J1" s="330"/>
      <c r="K1" s="330"/>
      <c r="L1" s="330"/>
      <c r="M1" s="330"/>
      <c r="N1" s="330"/>
      <c r="O1" s="330"/>
      <c r="P1" s="330"/>
      <c r="Q1" s="330"/>
      <c r="R1" s="330"/>
      <c r="S1" s="331"/>
      <c r="T1" s="36"/>
      <c r="Y1" s="37" t="s">
        <v>0</v>
      </c>
      <c r="Z1" s="37" t="s">
        <v>47</v>
      </c>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BG1" s="5"/>
      <c r="BH1" s="5"/>
      <c r="BI1" s="5"/>
      <c r="BJ1" s="5"/>
      <c r="BK1" s="5"/>
      <c r="BL1" s="5"/>
      <c r="BM1" s="5"/>
      <c r="BN1" s="5"/>
      <c r="BO1" s="5"/>
      <c r="BP1" s="5"/>
      <c r="BQ1" s="5"/>
      <c r="BR1" s="5"/>
      <c r="BS1" s="5"/>
      <c r="BT1" s="5"/>
      <c r="BU1" s="5"/>
      <c r="BV1" s="5"/>
    </row>
    <row r="2" spans="1:74" ht="19.5" customHeight="1" thickBot="1" x14ac:dyDescent="0.25">
      <c r="A2" s="5"/>
      <c r="B2" s="332" t="s">
        <v>48</v>
      </c>
      <c r="C2" s="333"/>
      <c r="D2" s="333"/>
      <c r="E2" s="333"/>
      <c r="F2" s="333"/>
      <c r="G2" s="333"/>
      <c r="H2" s="333"/>
      <c r="I2" s="333"/>
      <c r="J2" s="333"/>
      <c r="K2" s="333"/>
      <c r="L2" s="333"/>
      <c r="M2" s="333"/>
      <c r="N2" s="333"/>
      <c r="O2" s="333"/>
      <c r="P2" s="333"/>
      <c r="Q2" s="333"/>
      <c r="R2" s="333"/>
      <c r="S2" s="334"/>
      <c r="T2" s="36"/>
      <c r="Y2" s="37" t="s">
        <v>2</v>
      </c>
      <c r="Z2" s="37" t="s">
        <v>49</v>
      </c>
      <c r="AA2" s="38"/>
      <c r="AB2" s="38"/>
      <c r="AC2" s="39" t="s">
        <v>7</v>
      </c>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5"/>
      <c r="BH2" s="5"/>
      <c r="BI2" s="5"/>
      <c r="BJ2" s="5"/>
      <c r="BK2" s="5"/>
      <c r="BL2" s="5"/>
      <c r="BM2" s="5"/>
      <c r="BN2" s="5"/>
      <c r="BO2" s="5"/>
      <c r="BP2" s="5"/>
      <c r="BQ2" s="5"/>
      <c r="BR2" s="5"/>
      <c r="BS2" s="5"/>
      <c r="BT2" s="5"/>
      <c r="BU2" s="5"/>
      <c r="BV2" s="5"/>
    </row>
    <row r="3" spans="1:74" ht="30" customHeight="1" thickBot="1" x14ac:dyDescent="0.45">
      <c r="A3" s="5"/>
      <c r="B3" s="335" t="s">
        <v>45</v>
      </c>
      <c r="C3" s="336"/>
      <c r="D3" s="336"/>
      <c r="E3" s="336"/>
      <c r="F3" s="336"/>
      <c r="G3" s="336"/>
      <c r="H3" s="336"/>
      <c r="I3" s="336"/>
      <c r="J3" s="336"/>
      <c r="K3" s="336"/>
      <c r="L3" s="336"/>
      <c r="M3" s="336"/>
      <c r="N3" s="336"/>
      <c r="O3" s="336"/>
      <c r="P3" s="336"/>
      <c r="Q3" s="336"/>
      <c r="R3" s="336"/>
      <c r="S3" s="337"/>
      <c r="T3" s="36"/>
      <c r="Y3" s="37" t="s">
        <v>5</v>
      </c>
      <c r="Z3" s="37" t="s">
        <v>50</v>
      </c>
      <c r="AA3" s="38"/>
      <c r="AB3" s="38"/>
      <c r="AC3" s="40"/>
      <c r="AD3" s="38"/>
      <c r="AE3" s="41"/>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5"/>
      <c r="BH3" s="5"/>
      <c r="BI3" s="5"/>
      <c r="BJ3" s="5"/>
      <c r="BK3" s="5"/>
      <c r="BL3" s="5"/>
      <c r="BM3" s="5"/>
      <c r="BN3" s="5"/>
      <c r="BO3" s="5"/>
      <c r="BP3" s="5"/>
      <c r="BQ3" s="5"/>
      <c r="BR3" s="5"/>
      <c r="BS3" s="5"/>
      <c r="BT3" s="5"/>
      <c r="BU3" s="5"/>
      <c r="BV3" s="5"/>
    </row>
    <row r="4" spans="1:74" ht="28.5" customHeight="1" thickBot="1" x14ac:dyDescent="0.4">
      <c r="A4" s="5"/>
      <c r="B4" s="338" t="s">
        <v>51</v>
      </c>
      <c r="C4" s="326"/>
      <c r="D4" s="339" t="s">
        <v>336</v>
      </c>
      <c r="E4" s="340"/>
      <c r="F4" s="340"/>
      <c r="G4" s="340"/>
      <c r="H4" s="340"/>
      <c r="I4" s="340"/>
      <c r="J4" s="341"/>
      <c r="K4" s="341"/>
      <c r="L4" s="341"/>
      <c r="M4" s="341"/>
      <c r="N4" s="341"/>
      <c r="O4" s="341"/>
      <c r="P4" s="341"/>
      <c r="Q4" s="341"/>
      <c r="R4" s="341"/>
      <c r="S4" s="342"/>
      <c r="T4" s="42"/>
      <c r="Y4" s="37" t="s">
        <v>8</v>
      </c>
      <c r="Z4" s="37" t="s">
        <v>52</v>
      </c>
      <c r="AA4" s="38"/>
      <c r="AB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5"/>
      <c r="BH4" s="5"/>
      <c r="BI4" s="5"/>
      <c r="BJ4" s="5"/>
      <c r="BK4" s="5"/>
      <c r="BL4" s="5"/>
      <c r="BM4" s="5"/>
      <c r="BN4" s="5"/>
      <c r="BO4" s="5"/>
      <c r="BP4" s="5"/>
      <c r="BQ4" s="5"/>
      <c r="BR4" s="5"/>
      <c r="BS4" s="5"/>
      <c r="BT4" s="5"/>
      <c r="BU4" s="5"/>
      <c r="BV4" s="5"/>
    </row>
    <row r="5" spans="1:74" ht="25.5" customHeight="1" thickBot="1" x14ac:dyDescent="0.4">
      <c r="A5" s="5"/>
      <c r="B5" s="323" t="s">
        <v>53</v>
      </c>
      <c r="C5" s="324"/>
      <c r="D5" s="325" t="s">
        <v>335</v>
      </c>
      <c r="E5" s="325"/>
      <c r="F5" s="326" t="s">
        <v>54</v>
      </c>
      <c r="G5" s="326"/>
      <c r="H5" s="43">
        <v>90.9</v>
      </c>
      <c r="I5" s="44" t="s">
        <v>335</v>
      </c>
      <c r="J5" s="45" t="s">
        <v>55</v>
      </c>
      <c r="K5" s="46">
        <f ca="1">IF(M5=M39,K39,K38)</f>
        <v>2.0432693161006417</v>
      </c>
      <c r="L5" s="47" t="str">
        <f ca="1">IF(M5=M39,E39,E38)</f>
        <v>Student's t-Distribution</v>
      </c>
      <c r="M5" s="48">
        <f ca="1">M38</f>
        <v>2.8742180972458531</v>
      </c>
      <c r="N5" s="327" t="str">
        <f>IF(D5=""," ",D5)</f>
        <v>Vpk</v>
      </c>
      <c r="O5" s="327"/>
      <c r="P5" s="327"/>
      <c r="Q5" s="327"/>
      <c r="R5" s="327"/>
      <c r="S5" s="328"/>
      <c r="T5" s="36"/>
      <c r="Y5" s="37" t="s">
        <v>56</v>
      </c>
      <c r="Z5" s="36">
        <v>6</v>
      </c>
      <c r="AA5" s="38"/>
      <c r="AB5" s="38"/>
      <c r="AC5" s="343" t="s">
        <v>57</v>
      </c>
      <c r="AD5" s="343"/>
      <c r="AE5" s="343"/>
      <c r="AF5" s="343"/>
      <c r="AG5" s="343"/>
      <c r="AH5" s="343"/>
      <c r="AI5" s="343"/>
      <c r="AJ5" s="38"/>
      <c r="AK5" s="38"/>
      <c r="AL5" s="38"/>
      <c r="AM5" s="38"/>
      <c r="AN5" s="38"/>
      <c r="AO5" s="38"/>
      <c r="AP5" s="38"/>
      <c r="AQ5" s="38"/>
      <c r="AR5" s="38"/>
      <c r="AS5" s="38"/>
      <c r="AT5" s="38"/>
      <c r="AU5" s="38"/>
      <c r="AV5" s="38"/>
      <c r="AW5" s="38"/>
      <c r="AX5" s="38"/>
      <c r="AY5" s="38"/>
      <c r="AZ5" s="38"/>
      <c r="BA5" s="38"/>
      <c r="BB5" s="38"/>
      <c r="BC5" s="38"/>
      <c r="BD5" s="38"/>
      <c r="BE5" s="38"/>
      <c r="BF5" s="38"/>
      <c r="BG5" s="5"/>
      <c r="BH5" s="5"/>
      <c r="BI5" s="5"/>
      <c r="BJ5" s="5"/>
      <c r="BK5" s="5"/>
      <c r="BL5" s="5"/>
      <c r="BM5" s="5"/>
      <c r="BN5" s="5"/>
      <c r="BO5" s="5"/>
      <c r="BP5" s="5"/>
      <c r="BQ5" s="5"/>
      <c r="BR5" s="5"/>
      <c r="BS5" s="5"/>
      <c r="BT5" s="5"/>
      <c r="BU5" s="5"/>
      <c r="BV5" s="5"/>
    </row>
    <row r="6" spans="1:74" ht="24" customHeight="1" thickBot="1" x14ac:dyDescent="0.3">
      <c r="A6" s="5"/>
      <c r="B6" s="49"/>
      <c r="C6" s="50" t="s">
        <v>58</v>
      </c>
      <c r="D6" s="344">
        <v>40977.603506944448</v>
      </c>
      <c r="E6" s="344"/>
      <c r="F6" s="324" t="s">
        <v>59</v>
      </c>
      <c r="G6" s="324"/>
      <c r="H6" s="345" t="s">
        <v>333</v>
      </c>
      <c r="I6" s="345"/>
      <c r="J6" s="50" t="s">
        <v>60</v>
      </c>
      <c r="K6" s="346" t="s">
        <v>334</v>
      </c>
      <c r="L6" s="346"/>
      <c r="M6" s="346"/>
      <c r="N6" s="346"/>
      <c r="O6" s="346"/>
      <c r="P6" s="346"/>
      <c r="Q6" s="346"/>
      <c r="R6" s="346"/>
      <c r="S6" s="347"/>
      <c r="T6" s="36"/>
      <c r="W6" s="51" t="str">
        <f>D5</f>
        <v>Vpk</v>
      </c>
      <c r="AA6" s="38"/>
      <c r="AB6" s="38"/>
      <c r="AC6" s="52" t="s">
        <v>61</v>
      </c>
      <c r="AD6" s="53"/>
      <c r="AE6" s="53"/>
      <c r="AF6" s="53"/>
      <c r="AG6" s="53"/>
      <c r="AH6" s="53"/>
      <c r="AI6" s="53"/>
      <c r="AJ6" s="53"/>
      <c r="AK6" s="53"/>
      <c r="AL6" s="53"/>
      <c r="AM6" s="53"/>
      <c r="AN6" s="54"/>
      <c r="AO6" s="38"/>
      <c r="AP6" s="38"/>
      <c r="AQ6" s="38"/>
      <c r="AR6" s="38"/>
      <c r="AS6" s="38"/>
      <c r="AT6" s="38"/>
      <c r="AU6" s="38"/>
      <c r="AV6" s="38"/>
      <c r="AW6" s="38"/>
      <c r="AX6" s="38"/>
      <c r="AY6" s="38"/>
      <c r="AZ6" s="38"/>
      <c r="BA6" s="38"/>
      <c r="BB6" s="38"/>
      <c r="BC6" s="38"/>
      <c r="BD6" s="38"/>
      <c r="BE6" s="38"/>
      <c r="BF6" s="38"/>
      <c r="BG6" s="5"/>
      <c r="BH6" s="5"/>
      <c r="BI6" s="5"/>
      <c r="BJ6" s="5"/>
      <c r="BK6" s="5"/>
      <c r="BL6" s="5"/>
      <c r="BM6" s="5"/>
      <c r="BN6" s="5"/>
      <c r="BO6" s="5"/>
      <c r="BP6" s="5"/>
      <c r="BQ6" s="5"/>
      <c r="BR6" s="5"/>
      <c r="BS6" s="5"/>
      <c r="BT6" s="5"/>
      <c r="BU6" s="5"/>
      <c r="BV6" s="5"/>
    </row>
    <row r="7" spans="1:74" ht="30" customHeight="1" thickBot="1" x14ac:dyDescent="0.25">
      <c r="A7" s="5"/>
      <c r="B7" s="372"/>
      <c r="C7" s="373"/>
      <c r="D7" s="373"/>
      <c r="E7" s="373"/>
      <c r="F7" s="373"/>
      <c r="G7" s="373"/>
      <c r="H7" s="373"/>
      <c r="I7" s="373"/>
      <c r="J7" s="373"/>
      <c r="K7" s="373"/>
      <c r="L7" s="373"/>
      <c r="M7" s="373"/>
      <c r="N7" s="373"/>
      <c r="O7" s="373"/>
      <c r="P7" s="373"/>
      <c r="Q7" s="373"/>
      <c r="R7" s="374"/>
      <c r="S7" s="375"/>
      <c r="T7" s="36"/>
      <c r="AA7" s="38"/>
      <c r="AB7" s="38"/>
      <c r="AC7" s="348" t="s">
        <v>62</v>
      </c>
      <c r="AD7" s="349"/>
      <c r="AE7" s="349"/>
      <c r="AF7" s="349"/>
      <c r="AG7" s="349"/>
      <c r="AH7" s="349"/>
      <c r="AI7" s="349"/>
      <c r="AJ7" s="349"/>
      <c r="AK7" s="349"/>
      <c r="AL7" s="349"/>
      <c r="AM7" s="349"/>
      <c r="AN7" s="349"/>
      <c r="AO7" s="349"/>
      <c r="AP7" s="349"/>
      <c r="AQ7" s="350"/>
      <c r="AR7" s="348" t="s">
        <v>63</v>
      </c>
      <c r="AS7" s="349"/>
      <c r="AT7" s="349"/>
      <c r="AU7" s="349"/>
      <c r="AV7" s="349"/>
      <c r="AW7" s="350"/>
      <c r="AX7" s="351" t="s">
        <v>64</v>
      </c>
      <c r="AY7" s="352"/>
      <c r="AZ7" s="352"/>
      <c r="BA7" s="352"/>
      <c r="BB7" s="352"/>
      <c r="BC7" s="352"/>
      <c r="BD7" s="352"/>
      <c r="BE7" s="353"/>
      <c r="BF7" s="354" t="s">
        <v>65</v>
      </c>
      <c r="BG7" s="355"/>
      <c r="BH7" s="5"/>
      <c r="BI7" s="5"/>
      <c r="BJ7" s="5"/>
      <c r="BK7" s="5"/>
      <c r="BL7" s="5"/>
      <c r="BM7" s="5"/>
      <c r="BN7" s="5"/>
      <c r="BO7" s="5"/>
      <c r="BP7" s="5"/>
      <c r="BQ7" s="5"/>
      <c r="BR7" s="5"/>
      <c r="BS7" s="5"/>
      <c r="BT7" s="5"/>
      <c r="BU7" s="5"/>
      <c r="BV7" s="5"/>
    </row>
    <row r="8" spans="1:74" ht="46.5" customHeight="1" x14ac:dyDescent="0.2">
      <c r="A8" s="5"/>
      <c r="B8" s="55"/>
      <c r="C8" s="169" t="s">
        <v>66</v>
      </c>
      <c r="D8" s="169" t="s">
        <v>67</v>
      </c>
      <c r="E8" s="169" t="s">
        <v>68</v>
      </c>
      <c r="F8" s="169" t="s">
        <v>69</v>
      </c>
      <c r="G8" s="169" t="s">
        <v>70</v>
      </c>
      <c r="H8" s="169" t="s">
        <v>71</v>
      </c>
      <c r="I8" s="56" t="s">
        <v>72</v>
      </c>
      <c r="J8" s="56" t="s">
        <v>73</v>
      </c>
      <c r="K8" s="169" t="s">
        <v>74</v>
      </c>
      <c r="L8" s="171" t="s">
        <v>75</v>
      </c>
      <c r="M8" s="57" t="s">
        <v>76</v>
      </c>
      <c r="N8" s="58" t="s">
        <v>77</v>
      </c>
      <c r="O8" s="58" t="s">
        <v>78</v>
      </c>
      <c r="P8" s="58" t="s">
        <v>79</v>
      </c>
      <c r="Q8" s="59" t="s">
        <v>80</v>
      </c>
      <c r="R8" s="60"/>
      <c r="S8" s="61" t="s">
        <v>81</v>
      </c>
      <c r="T8" s="62" t="s">
        <v>82</v>
      </c>
      <c r="U8" s="62" t="s">
        <v>83</v>
      </c>
      <c r="V8" s="63"/>
      <c r="W8" s="63"/>
      <c r="X8" s="63"/>
      <c r="Y8" s="63"/>
      <c r="Z8" s="63"/>
      <c r="AA8" s="64"/>
      <c r="AB8" s="64"/>
      <c r="AC8" s="65" t="s">
        <v>84</v>
      </c>
      <c r="AD8" s="66" t="s">
        <v>85</v>
      </c>
      <c r="AE8" s="66" t="s">
        <v>86</v>
      </c>
      <c r="AF8" s="66" t="s">
        <v>87</v>
      </c>
      <c r="AG8" s="66" t="s">
        <v>88</v>
      </c>
      <c r="AH8" s="67" t="s">
        <v>89</v>
      </c>
      <c r="AI8" s="68" t="s">
        <v>90</v>
      </c>
      <c r="AJ8" s="67" t="s">
        <v>89</v>
      </c>
      <c r="AK8" s="68" t="s">
        <v>91</v>
      </c>
      <c r="AL8" s="67" t="s">
        <v>89</v>
      </c>
      <c r="AM8" s="68" t="s">
        <v>92</v>
      </c>
      <c r="AN8" s="66" t="s">
        <v>93</v>
      </c>
      <c r="AO8" s="66"/>
      <c r="AP8" s="66" t="s">
        <v>94</v>
      </c>
      <c r="AQ8" s="69" t="s">
        <v>95</v>
      </c>
      <c r="AR8" s="65" t="s">
        <v>96</v>
      </c>
      <c r="AS8" s="66" t="s">
        <v>97</v>
      </c>
      <c r="AT8" s="66" t="s">
        <v>88</v>
      </c>
      <c r="AU8" s="66" t="s">
        <v>98</v>
      </c>
      <c r="AV8" s="66" t="s">
        <v>99</v>
      </c>
      <c r="AW8" s="69" t="s">
        <v>100</v>
      </c>
      <c r="AX8" s="65" t="s">
        <v>101</v>
      </c>
      <c r="AY8" s="66" t="s">
        <v>102</v>
      </c>
      <c r="AZ8" s="66" t="s">
        <v>69</v>
      </c>
      <c r="BA8" s="66" t="s">
        <v>102</v>
      </c>
      <c r="BB8" s="66" t="s">
        <v>103</v>
      </c>
      <c r="BC8" s="66" t="s">
        <v>104</v>
      </c>
      <c r="BD8" s="66" t="s">
        <v>105</v>
      </c>
      <c r="BE8" s="69" t="s">
        <v>106</v>
      </c>
      <c r="BF8" s="66" t="s">
        <v>107</v>
      </c>
      <c r="BG8" s="69" t="s">
        <v>108</v>
      </c>
      <c r="BH8" s="5"/>
      <c r="BI8" s="5"/>
      <c r="BJ8" s="5"/>
      <c r="BK8" s="5"/>
      <c r="BL8" s="5"/>
      <c r="BM8" s="5"/>
      <c r="BN8" s="5"/>
      <c r="BO8" s="5"/>
      <c r="BP8" s="5"/>
      <c r="BQ8" s="5"/>
      <c r="BR8" s="5"/>
      <c r="BS8" s="5"/>
      <c r="BT8" s="5"/>
      <c r="BU8" s="5"/>
      <c r="BV8" s="5"/>
    </row>
    <row r="9" spans="1:74" ht="15" x14ac:dyDescent="0.25">
      <c r="A9" s="5"/>
      <c r="B9" s="167" t="s">
        <v>109</v>
      </c>
      <c r="C9" s="290" t="s">
        <v>330</v>
      </c>
      <c r="D9" s="290" t="s">
        <v>112</v>
      </c>
      <c r="E9" s="292">
        <v>7.0000000000000001E-3</v>
      </c>
      <c r="F9" s="290" t="s">
        <v>335</v>
      </c>
      <c r="G9" s="71" t="s">
        <v>110</v>
      </c>
      <c r="H9" s="72">
        <v>0.95450000000000002</v>
      </c>
      <c r="I9" s="168">
        <f t="shared" ref="I9:I33" si="0">IF(G9="Resolution",SQRT(12),IF(G9="U-Shaped",SQRT(2),IF(G9="Triangular",SQRT(6),IF(G9="Rectangular",SQRT(3),IF(G9="Normal",ABS(NORMSINV((1-H9)/2)),IF(G9="Std Dev","1",IF(G9="","")))))))</f>
        <v>2.000002443899604</v>
      </c>
      <c r="J9" s="170">
        <f t="shared" ref="J9:J33" si="1">IF(I9="","",(E9/I9))</f>
        <v>3.4999957231809189E-3</v>
      </c>
      <c r="K9" s="70">
        <v>50</v>
      </c>
      <c r="L9" s="70">
        <v>1</v>
      </c>
      <c r="M9" s="73">
        <f>IF(L9&lt;&gt;"",J9*L9,"")</f>
        <v>3.4999957231809189E-3</v>
      </c>
      <c r="N9" s="74">
        <f>IF(L9&lt;&gt;0,SQRT(M9^2+(O9+P9)),"")</f>
        <v>3.4999957231809189E-3</v>
      </c>
      <c r="O9" s="75" t="b">
        <f>IF(AND($E$35="A",$H$35&lt;&gt;0),(M9^2/(M9^2+$J$35^2))*$M$35,IF(AND($F$35="A",$H$35&lt;&gt;0),(M9^2/(M9^2+$I$35^2))*$M$35))</f>
        <v>0</v>
      </c>
      <c r="P9" s="75" t="b">
        <f>IF(AND($E$36="A",$H$36&lt;&gt;0),(M9^2/(M9^2+$J$36^2))*$M$36,IF(AND($F$36="A",$H$36&lt;&gt;0),(M9^2/(M9^2+$I$36^2))*$M$36))</f>
        <v>0</v>
      </c>
      <c r="Q9" s="76">
        <f t="shared" ref="Q9:Q33" si="2">N9^4/K9</f>
        <v>3.0012353305374398E-12</v>
      </c>
      <c r="R9" s="77" t="s">
        <v>110</v>
      </c>
      <c r="S9" s="266">
        <f t="shared" ref="S9:S33" ca="1" si="3">IF(L9&lt;&gt;0,(N9*100)/(SUM($N$9:$N$33)),"")</f>
        <v>0.16728310825036594</v>
      </c>
      <c r="T9" s="79" t="str">
        <f t="shared" ref="T9:T33" si="4">B9</f>
        <v>A</v>
      </c>
      <c r="U9" s="80">
        <f t="shared" ref="U9:U33" si="5">M9</f>
        <v>3.4999957231809189E-3</v>
      </c>
      <c r="W9" s="3" t="s">
        <v>111</v>
      </c>
      <c r="X9" s="36" t="str">
        <f ca="1">IF(M5&gt;=1,"NA",IF(M5&gt;=0.1,"2",IF(M5&gt;=0.01,"3",IF(M5&gt;=0.001,"4",IF(M5&gt;=0.0001,"5",IF(M5&gt;=0.00001,"6",IF(M5&gt;=0.000001,"7",)))))))</f>
        <v>NA</v>
      </c>
      <c r="Y9" s="3">
        <v>0.1</v>
      </c>
      <c r="AA9" s="38"/>
      <c r="AB9" s="38"/>
      <c r="AC9" s="81"/>
      <c r="AD9" s="82"/>
      <c r="AE9" s="82"/>
      <c r="AF9" s="82"/>
      <c r="AG9" s="83"/>
      <c r="AH9" s="84"/>
      <c r="AI9" s="82"/>
      <c r="AJ9" s="83"/>
      <c r="AK9" s="82"/>
      <c r="AL9" s="83"/>
      <c r="AM9" s="82"/>
      <c r="AN9" s="82"/>
      <c r="AO9" s="83"/>
      <c r="AP9" s="83"/>
      <c r="AQ9" s="85">
        <f>IF(AH9&lt;&gt;"ppm",(AI9*0.01)*AC9,(AI9*0.000001)*AC9)+IF(AJ9&lt;&gt;"ppm",(AK9*0.01)*ABS(AE9-AD9),(AK9*0.000001)*ABS(AE9-AD9))+IF(AL9&lt;&gt;"ppm",(AM9*0.01)*AF9,(AM9*0.000001)*AF9)+AN9</f>
        <v>0</v>
      </c>
      <c r="AR9" s="86"/>
      <c r="AS9" s="87"/>
      <c r="AT9" s="87"/>
      <c r="AU9" s="87"/>
      <c r="AV9" s="87"/>
      <c r="AW9" s="85">
        <f>IF(AU9="PlusMinus",(AS9*2)/2^AR9,AS9/2^AR9)</f>
        <v>0</v>
      </c>
      <c r="AX9" s="86"/>
      <c r="AY9" s="88" t="str">
        <f t="shared" ref="AY9:AY33" si="6">IF(AX9="","",VLOOKUP(AX9,$X$17:$Y$37,2,FALSE))</f>
        <v/>
      </c>
      <c r="AZ9" s="87"/>
      <c r="BA9" s="89" t="str">
        <f t="shared" ref="BA9:BA33" si="7">IF(AZ9="","",VLOOKUP(AZ9,$X$17:$Y$37,2,FALSE))</f>
        <v/>
      </c>
      <c r="BB9" s="87"/>
      <c r="BC9" s="87"/>
      <c r="BD9" s="87"/>
      <c r="BE9" s="90" t="str">
        <f>IF(BD9=1,("1e"&amp;(BA9-AY9))*1,IF(BD9=2,BB9,IF(BD9=3,BC9,"")))</f>
        <v/>
      </c>
      <c r="BF9" s="91"/>
      <c r="BG9" s="90" t="str">
        <f>IF(BF9="","",ROUND((((BF9) ^ -2) / 2), 0))</f>
        <v/>
      </c>
      <c r="BH9" s="5"/>
      <c r="BI9" s="5"/>
      <c r="BJ9" s="5"/>
      <c r="BK9" s="5"/>
      <c r="BL9" s="5"/>
      <c r="BM9" s="5"/>
      <c r="BN9" s="5"/>
      <c r="BO9" s="5"/>
      <c r="BP9" s="5"/>
      <c r="BQ9" s="5"/>
      <c r="BR9" s="5"/>
      <c r="BS9" s="5"/>
      <c r="BT9" s="5"/>
      <c r="BU9" s="5"/>
      <c r="BV9" s="5"/>
    </row>
    <row r="10" spans="1:74" ht="15" x14ac:dyDescent="0.25">
      <c r="A10" s="5"/>
      <c r="B10" s="167" t="s">
        <v>112</v>
      </c>
      <c r="C10" s="290" t="s">
        <v>331</v>
      </c>
      <c r="D10" s="290" t="s">
        <v>112</v>
      </c>
      <c r="E10" s="293">
        <f>90.9*2%+(0.15+0.1)*2+0.0006</f>
        <v>2.3186</v>
      </c>
      <c r="F10" s="290" t="s">
        <v>335</v>
      </c>
      <c r="G10" s="71" t="s">
        <v>113</v>
      </c>
      <c r="H10" s="72">
        <v>1</v>
      </c>
      <c r="I10" s="168">
        <f t="shared" si="0"/>
        <v>1.7320508075688772</v>
      </c>
      <c r="J10" s="170">
        <f t="shared" si="1"/>
        <v>1.3386443341430663</v>
      </c>
      <c r="K10" s="70">
        <v>50</v>
      </c>
      <c r="L10" s="70">
        <v>1</v>
      </c>
      <c r="M10" s="73">
        <f t="shared" ref="M10:M33" si="8">IF(L10&lt;&gt;"",J10*L10,"")</f>
        <v>1.3386443341430663</v>
      </c>
      <c r="N10" s="74">
        <f t="shared" ref="N10:N33" si="9">IF(L10&lt;&gt;0,SQRT(M10^2+(O10+P10)),"")</f>
        <v>1.3386443341430663</v>
      </c>
      <c r="O10" s="75" t="b">
        <f>IF(AND($E$35="B",$H$35&lt;&gt;0),(M10^2/(M10^2+$J$35^2))*$M$35,IF(AND($F$35="B",$H$35&lt;&gt;0),(M10^2/(M10^2+$I$35^2))*$M$35))</f>
        <v>0</v>
      </c>
      <c r="P10" s="75" t="b">
        <f>IF(AND($E$36="B",$H$36&lt;&gt;0),(M10^2/(M10^2+$J$36^2))*$M$36,IF(AND($F$36="B",$H$36&lt;&gt;0),(M10^2/(M10^2+$I$36^2))*$M$36))</f>
        <v>0</v>
      </c>
      <c r="Q10" s="76">
        <f t="shared" si="2"/>
        <v>6.4223033090585593E-2</v>
      </c>
      <c r="R10" s="77" t="s">
        <v>113</v>
      </c>
      <c r="S10" s="78">
        <f t="shared" ca="1" si="3"/>
        <v>63.98081676902045</v>
      </c>
      <c r="T10" s="79" t="str">
        <f t="shared" si="4"/>
        <v>B</v>
      </c>
      <c r="U10" s="80">
        <f t="shared" si="5"/>
        <v>1.3386443341430663</v>
      </c>
      <c r="X10" s="36"/>
      <c r="Y10" s="92" t="e">
        <f ca="1">ROUND(M5,X9)</f>
        <v>#VALUE!</v>
      </c>
      <c r="AA10" s="38"/>
      <c r="AB10" s="38"/>
      <c r="AC10" s="81"/>
      <c r="AD10" s="82"/>
      <c r="AE10" s="82"/>
      <c r="AF10" s="82"/>
      <c r="AG10" s="83"/>
      <c r="AH10" s="83"/>
      <c r="AI10" s="83"/>
      <c r="AJ10" s="83"/>
      <c r="AK10" s="83"/>
      <c r="AL10" s="83"/>
      <c r="AM10" s="83"/>
      <c r="AN10" s="83"/>
      <c r="AO10" s="83"/>
      <c r="AP10" s="83"/>
      <c r="AQ10" s="85">
        <f t="shared" ref="AQ10:AQ33" si="10">IF(AH10&lt;&gt;"ppm",(AI10*0.01)*AC10,(AI10*0.000001)*AC10)+IF(AJ10&lt;&gt;"ppm",(AK10*0.01)*ABS(AE10-AD10),(AK10*0.000001)*ABS(AE10-AD10))+IF(AL10&lt;&gt;"ppm",(AM10*0.01)*AF10,(AM10*0.000001)*AF10)+AN10</f>
        <v>0</v>
      </c>
      <c r="AR10" s="86"/>
      <c r="AS10" s="87"/>
      <c r="AT10" s="87"/>
      <c r="AU10" s="87"/>
      <c r="AV10" s="87"/>
      <c r="AW10" s="85">
        <f>IF(AU10="PlusMinus",(AS10*2)/2^AR10,AS10/2^AR10)</f>
        <v>0</v>
      </c>
      <c r="AX10" s="86"/>
      <c r="AY10" s="88" t="str">
        <f t="shared" si="6"/>
        <v/>
      </c>
      <c r="AZ10" s="87"/>
      <c r="BA10" s="89" t="str">
        <f t="shared" si="7"/>
        <v/>
      </c>
      <c r="BB10" s="87"/>
      <c r="BC10" s="87"/>
      <c r="BD10" s="87"/>
      <c r="BE10" s="90" t="str">
        <f t="shared" ref="BE10:BE33" si="11">IF(BD10=1,("1e"&amp;(BA10-AY10))*1,IF(BD10=2,BB10,IF(BD10=3,BC10,"")))</f>
        <v/>
      </c>
      <c r="BF10" s="91"/>
      <c r="BG10" s="90" t="str">
        <f t="shared" ref="BG10:BG33" si="12">IF(BF10="","",ROUND((((BF10) ^ -2) / 2), 0))</f>
        <v/>
      </c>
      <c r="BH10" s="5"/>
      <c r="BI10" s="5"/>
      <c r="BJ10" s="5"/>
      <c r="BK10" s="5"/>
      <c r="BL10" s="5"/>
      <c r="BM10" s="5"/>
      <c r="BN10" s="5"/>
      <c r="BO10" s="5"/>
      <c r="BP10" s="5"/>
      <c r="BQ10" s="5"/>
      <c r="BR10" s="5"/>
      <c r="BS10" s="5"/>
      <c r="BT10" s="5"/>
      <c r="BU10" s="5"/>
      <c r="BV10" s="5"/>
    </row>
    <row r="11" spans="1:74" ht="15" x14ac:dyDescent="0.25">
      <c r="A11" s="5"/>
      <c r="B11" s="167" t="s">
        <v>114</v>
      </c>
      <c r="C11" s="290" t="s">
        <v>332</v>
      </c>
      <c r="D11" s="290" t="s">
        <v>112</v>
      </c>
      <c r="E11" s="290">
        <v>0.1</v>
      </c>
      <c r="F11" s="290" t="s">
        <v>335</v>
      </c>
      <c r="G11" s="291" t="s">
        <v>118</v>
      </c>
      <c r="H11" s="72">
        <v>1</v>
      </c>
      <c r="I11" s="168">
        <f t="shared" si="0"/>
        <v>3.4641016151377544</v>
      </c>
      <c r="J11" s="170">
        <f t="shared" si="1"/>
        <v>2.8867513459481291E-2</v>
      </c>
      <c r="K11" s="70">
        <v>50</v>
      </c>
      <c r="L11" s="70">
        <v>1</v>
      </c>
      <c r="M11" s="73">
        <f t="shared" si="8"/>
        <v>2.8867513459481291E-2</v>
      </c>
      <c r="N11" s="74">
        <f t="shared" si="9"/>
        <v>2.8867513459481291E-2</v>
      </c>
      <c r="O11" s="75" t="b">
        <f>IF(AND($E$35="C",$H$35&lt;&gt;0),(M11^2/(M11^2+$J$35^2))*$M$35,IF(AND($F$35="C",$H$35&lt;&gt;0),(M11^2/(M11^2+$I$35^2))*$M$35))</f>
        <v>0</v>
      </c>
      <c r="P11" s="75" t="b">
        <f>IF(AND($E$36="C",$H$36&lt;&gt;0),(M11^2/(M11^2+$J$36^2))*$M$36,IF(AND($F$36="C",$H$36&lt;&gt;0),(M11^2/(M11^2+$I$36^2))*$M$36))</f>
        <v>0</v>
      </c>
      <c r="Q11" s="76">
        <f t="shared" si="2"/>
        <v>1.3888888888888894E-8</v>
      </c>
      <c r="R11" s="77" t="s">
        <v>115</v>
      </c>
      <c r="S11" s="266">
        <f t="shared" ca="1" si="3"/>
        <v>1.3797295085185124</v>
      </c>
      <c r="T11" s="79" t="str">
        <f t="shared" si="4"/>
        <v>C</v>
      </c>
      <c r="U11" s="80">
        <f t="shared" si="5"/>
        <v>2.8867513459481291E-2</v>
      </c>
      <c r="W11" s="3" t="s">
        <v>116</v>
      </c>
      <c r="X11" s="36" t="str">
        <f ca="1">IF(M5&gt;=100000,"-4",IF(M5&gt;=10000,"-3",IF(M5&gt;=1000,"-2",IF(M5&gt;=100,"-1",IF(M5&gt;=10,"0",IF(M5&gt;=1,"1",IF(M5&lt;1,"NA",)))))))</f>
        <v>1</v>
      </c>
      <c r="AA11" s="38"/>
      <c r="AB11" s="38"/>
      <c r="AC11" s="81"/>
      <c r="AD11" s="82"/>
      <c r="AE11" s="82"/>
      <c r="AF11" s="82"/>
      <c r="AG11" s="83"/>
      <c r="AH11" s="83"/>
      <c r="AI11" s="83"/>
      <c r="AJ11" s="83"/>
      <c r="AK11" s="83"/>
      <c r="AL11" s="83"/>
      <c r="AM11" s="83"/>
      <c r="AN11" s="83"/>
      <c r="AO11" s="83"/>
      <c r="AP11" s="83"/>
      <c r="AQ11" s="85">
        <f t="shared" si="10"/>
        <v>0</v>
      </c>
      <c r="AR11" s="86"/>
      <c r="AS11" s="87"/>
      <c r="AT11" s="87"/>
      <c r="AU11" s="87"/>
      <c r="AV11" s="87"/>
      <c r="AW11" s="85">
        <f>IF(AU11="PlusMinus",(AS11*2)/2^AR11,AS11/2^AR11)</f>
        <v>0</v>
      </c>
      <c r="AX11" s="86"/>
      <c r="AY11" s="88" t="str">
        <f t="shared" si="6"/>
        <v/>
      </c>
      <c r="AZ11" s="87"/>
      <c r="BA11" s="89" t="str">
        <f t="shared" si="7"/>
        <v/>
      </c>
      <c r="BB11" s="87"/>
      <c r="BC11" s="87"/>
      <c r="BD11" s="87"/>
      <c r="BE11" s="90" t="str">
        <f t="shared" si="11"/>
        <v/>
      </c>
      <c r="BF11" s="91"/>
      <c r="BG11" s="90" t="str">
        <f t="shared" si="12"/>
        <v/>
      </c>
      <c r="BH11" s="5"/>
      <c r="BI11" s="5"/>
      <c r="BJ11" s="5"/>
      <c r="BK11" s="5"/>
      <c r="BL11" s="5"/>
      <c r="BM11" s="5"/>
      <c r="BN11" s="5"/>
      <c r="BO11" s="5"/>
      <c r="BP11" s="5"/>
      <c r="BQ11" s="5"/>
      <c r="BR11" s="5"/>
      <c r="BS11" s="5"/>
      <c r="BT11" s="5"/>
      <c r="BU11" s="5"/>
      <c r="BV11" s="5"/>
    </row>
    <row r="12" spans="1:74" ht="15" x14ac:dyDescent="0.25">
      <c r="A12" s="5"/>
      <c r="B12" s="167" t="s">
        <v>117</v>
      </c>
      <c r="C12" s="290" t="s">
        <v>366</v>
      </c>
      <c r="D12" s="290" t="s">
        <v>112</v>
      </c>
      <c r="E12" s="290">
        <v>0.2</v>
      </c>
      <c r="F12" s="290" t="s">
        <v>335</v>
      </c>
      <c r="G12" s="71" t="s">
        <v>110</v>
      </c>
      <c r="H12" s="72">
        <v>0.95450000000000002</v>
      </c>
      <c r="I12" s="168">
        <f t="shared" si="0"/>
        <v>2.000002443899604</v>
      </c>
      <c r="J12" s="170">
        <f t="shared" si="1"/>
        <v>9.9999877805169127E-2</v>
      </c>
      <c r="K12" s="70">
        <v>50</v>
      </c>
      <c r="L12" s="70">
        <v>1</v>
      </c>
      <c r="M12" s="73">
        <f t="shared" si="8"/>
        <v>9.9999877805169127E-2</v>
      </c>
      <c r="N12" s="74">
        <f t="shared" si="9"/>
        <v>9.9999877805169127E-2</v>
      </c>
      <c r="O12" s="75" t="b">
        <f>IF(AND($E$35="D",$H$35&lt;&gt;0),(M12^2/(M12^2+$J$35^2))*$M$35,IF(AND($F$35="D",$H$35&lt;&gt;0),(M12^2/(M12^2+$I$35^2))*$M$35))</f>
        <v>0</v>
      </c>
      <c r="P12" s="75" t="b">
        <f>IF(AND($E$36="D",$H$36&lt;&gt;0),(M12^2/(M12^2+$J$36^2))*$M$36,IF(AND($F$36="D",$H$36&lt;&gt;0),(M12^2/(M12^2+$I$36^2))*$M$36))</f>
        <v>0</v>
      </c>
      <c r="Q12" s="76">
        <f t="shared" si="2"/>
        <v>1.9999902244314481E-6</v>
      </c>
      <c r="R12" s="93" t="s">
        <v>118</v>
      </c>
      <c r="S12" s="266">
        <f t="shared" ca="1" si="3"/>
        <v>4.7795173785818843</v>
      </c>
      <c r="T12" s="79" t="str">
        <f t="shared" si="4"/>
        <v>D</v>
      </c>
      <c r="U12" s="80">
        <f t="shared" si="5"/>
        <v>9.9999877805169127E-2</v>
      </c>
      <c r="Y12" s="92">
        <f ca="1">ROUND(M5,X11)</f>
        <v>2.9</v>
      </c>
      <c r="AA12" s="38"/>
      <c r="AB12" s="38"/>
      <c r="AC12" s="81"/>
      <c r="AD12" s="82"/>
      <c r="AE12" s="82"/>
      <c r="AF12" s="82"/>
      <c r="AG12" s="83"/>
      <c r="AH12" s="83"/>
      <c r="AI12" s="83"/>
      <c r="AJ12" s="83"/>
      <c r="AK12" s="83"/>
      <c r="AL12" s="83"/>
      <c r="AM12" s="83"/>
      <c r="AN12" s="83"/>
      <c r="AO12" s="83"/>
      <c r="AP12" s="83"/>
      <c r="AQ12" s="85">
        <f t="shared" si="10"/>
        <v>0</v>
      </c>
      <c r="AR12" s="86"/>
      <c r="AS12" s="87"/>
      <c r="AT12" s="87"/>
      <c r="AU12" s="87"/>
      <c r="AV12" s="87"/>
      <c r="AW12" s="85">
        <f t="shared" ref="AW12:AW33" si="13">IF(AU12="PlusMinus",(AS12*2)/2^AR12,AS12/2^AR12)</f>
        <v>0</v>
      </c>
      <c r="AX12" s="86"/>
      <c r="AY12" s="88" t="str">
        <f t="shared" si="6"/>
        <v/>
      </c>
      <c r="AZ12" s="87"/>
      <c r="BA12" s="89" t="str">
        <f t="shared" si="7"/>
        <v/>
      </c>
      <c r="BB12" s="87"/>
      <c r="BC12" s="87"/>
      <c r="BD12" s="87"/>
      <c r="BE12" s="90" t="str">
        <f t="shared" si="11"/>
        <v/>
      </c>
      <c r="BF12" s="91"/>
      <c r="BG12" s="90" t="str">
        <f t="shared" si="12"/>
        <v/>
      </c>
      <c r="BH12" s="5"/>
      <c r="BI12" s="5"/>
      <c r="BJ12" s="5"/>
      <c r="BK12" s="5"/>
      <c r="BL12" s="5"/>
      <c r="BM12" s="5"/>
      <c r="BN12" s="5"/>
      <c r="BO12" s="5"/>
      <c r="BP12" s="5"/>
      <c r="BQ12" s="5"/>
      <c r="BR12" s="5"/>
      <c r="BS12" s="5"/>
      <c r="BT12" s="5"/>
      <c r="BU12" s="5"/>
      <c r="BV12" s="5"/>
    </row>
    <row r="13" spans="1:74" ht="15" x14ac:dyDescent="0.25">
      <c r="A13" s="5"/>
      <c r="B13" s="167" t="s">
        <v>119</v>
      </c>
      <c r="C13" s="70" t="s">
        <v>365</v>
      </c>
      <c r="D13" s="70" t="s">
        <v>112</v>
      </c>
      <c r="E13" s="70">
        <f>90.9*0.5%</f>
        <v>0.45450000000000002</v>
      </c>
      <c r="F13" s="70" t="s">
        <v>335</v>
      </c>
      <c r="G13" s="71" t="s">
        <v>113</v>
      </c>
      <c r="H13" s="72">
        <v>1</v>
      </c>
      <c r="I13" s="168">
        <f t="shared" si="0"/>
        <v>1.7320508075688772</v>
      </c>
      <c r="J13" s="170">
        <f t="shared" si="1"/>
        <v>0.26240569734668495</v>
      </c>
      <c r="K13" s="70">
        <v>50</v>
      </c>
      <c r="L13" s="70">
        <v>1</v>
      </c>
      <c r="M13" s="73">
        <f t="shared" si="8"/>
        <v>0.26240569734668495</v>
      </c>
      <c r="N13" s="74">
        <f t="shared" si="9"/>
        <v>0.26240569734668495</v>
      </c>
      <c r="O13" s="75" t="b">
        <f>IF(AND($E$35="E",$H$35&lt;&gt;0),(M13^2/(M13^2+$J$35^2))*$M$35,IF(AND($F$35="E",$H$35&lt;&gt;0),(M13^2/(M13^2+$I$35^2))*$M$35))</f>
        <v>0</v>
      </c>
      <c r="P13" s="75" t="b">
        <f>IF(AND($E$36="E",$H$36&lt;&gt;0),(M13^2/(M13^2+$J$36^2))*$M$36,IF(AND($F$36="E",$H$36&lt;&gt;0),(M13^2/(M13^2+$I$36^2))*$M$36))</f>
        <v>0</v>
      </c>
      <c r="Q13" s="76">
        <f t="shared" si="2"/>
        <v>9.4825040411250058E-5</v>
      </c>
      <c r="R13" s="77" t="s">
        <v>120</v>
      </c>
      <c r="S13" s="266">
        <f t="shared" ca="1" si="3"/>
        <v>12.541741232433278</v>
      </c>
      <c r="T13" s="79" t="str">
        <f t="shared" si="4"/>
        <v>E</v>
      </c>
      <c r="U13" s="80">
        <f t="shared" si="5"/>
        <v>0.26240569734668495</v>
      </c>
      <c r="W13" s="3" t="s">
        <v>121</v>
      </c>
      <c r="X13" s="36" t="str">
        <f ca="1">IF(X9="NA",Y12&amp;" "&amp; D5,Y10&amp; " "&amp;D5)</f>
        <v>2.9 Vpk</v>
      </c>
      <c r="AA13" s="38"/>
      <c r="AB13" s="38"/>
      <c r="AC13" s="81"/>
      <c r="AD13" s="82"/>
      <c r="AE13" s="82"/>
      <c r="AF13" s="82"/>
      <c r="AG13" s="83"/>
      <c r="AH13" s="83"/>
      <c r="AI13" s="83"/>
      <c r="AJ13" s="83"/>
      <c r="AK13" s="83"/>
      <c r="AL13" s="83"/>
      <c r="AM13" s="83"/>
      <c r="AN13" s="83"/>
      <c r="AO13" s="83"/>
      <c r="AP13" s="83"/>
      <c r="AQ13" s="85">
        <f t="shared" si="10"/>
        <v>0</v>
      </c>
      <c r="AR13" s="86"/>
      <c r="AS13" s="87"/>
      <c r="AT13" s="87"/>
      <c r="AU13" s="87"/>
      <c r="AV13" s="87"/>
      <c r="AW13" s="85">
        <f t="shared" si="13"/>
        <v>0</v>
      </c>
      <c r="AX13" s="86"/>
      <c r="AY13" s="88" t="str">
        <f t="shared" si="6"/>
        <v/>
      </c>
      <c r="AZ13" s="87"/>
      <c r="BA13" s="89" t="str">
        <f t="shared" si="7"/>
        <v/>
      </c>
      <c r="BB13" s="87"/>
      <c r="BC13" s="87"/>
      <c r="BD13" s="87"/>
      <c r="BE13" s="90" t="str">
        <f t="shared" si="11"/>
        <v/>
      </c>
      <c r="BF13" s="91"/>
      <c r="BG13" s="90" t="str">
        <f t="shared" si="12"/>
        <v/>
      </c>
      <c r="BH13" s="5"/>
      <c r="BI13" s="5"/>
      <c r="BJ13" s="5"/>
      <c r="BK13" s="5"/>
      <c r="BL13" s="5"/>
      <c r="BM13" s="5"/>
      <c r="BN13" s="5"/>
      <c r="BO13" s="5"/>
      <c r="BP13" s="5"/>
      <c r="BQ13" s="5"/>
      <c r="BR13" s="5"/>
      <c r="BS13" s="5"/>
      <c r="BT13" s="5"/>
      <c r="BU13" s="5"/>
      <c r="BV13" s="5"/>
    </row>
    <row r="14" spans="1:74" ht="15" x14ac:dyDescent="0.25">
      <c r="A14" s="5"/>
      <c r="B14" s="167" t="s">
        <v>122</v>
      </c>
      <c r="C14" s="70" t="s">
        <v>324</v>
      </c>
      <c r="D14" s="70" t="s">
        <v>109</v>
      </c>
      <c r="E14" s="70">
        <f ca="1">repeat_A!$E$42</f>
        <v>0.32550814975289905</v>
      </c>
      <c r="F14" s="70" t="s">
        <v>335</v>
      </c>
      <c r="G14" s="71" t="s">
        <v>115</v>
      </c>
      <c r="H14" s="72" t="s">
        <v>202</v>
      </c>
      <c r="I14" s="168" t="str">
        <f t="shared" si="0"/>
        <v>1</v>
      </c>
      <c r="J14" s="170">
        <f t="shared" ca="1" si="1"/>
        <v>0.32550814975289905</v>
      </c>
      <c r="K14" s="70">
        <f>repeat_A!$E$40</f>
        <v>9</v>
      </c>
      <c r="L14" s="70">
        <v>1</v>
      </c>
      <c r="M14" s="73">
        <f t="shared" ca="1" si="8"/>
        <v>0.32550814975289905</v>
      </c>
      <c r="N14" s="74">
        <f t="shared" ca="1" si="9"/>
        <v>0.32550814975289905</v>
      </c>
      <c r="O14" s="75" t="b">
        <f>IF(AND($E$35="F",$H$35&lt;&gt;0),(M14^2/(M14^2+$J$35^2))*$M$35,IF(AND($F$35="F",$H$35&lt;&gt;0),(M14^2/(M14^2+$I$35^2))*$M$35))</f>
        <v>0</v>
      </c>
      <c r="P14" s="75" t="b">
        <f>IF(AND($E$36="F",$H$36&lt;&gt;0),(M14^2/(M14^2+$J$36^2))*$M$36,IF(AND($F$36="F",$H$36&lt;&gt;0),(M14^2/(M14^2+$I$36^2))*$M$36))</f>
        <v>0</v>
      </c>
      <c r="Q14" s="76">
        <f t="shared" ca="1" si="2"/>
        <v>1.24739775034294E-3</v>
      </c>
      <c r="R14" s="77" t="s">
        <v>123</v>
      </c>
      <c r="S14" s="267">
        <f t="shared" ca="1" si="3"/>
        <v>15.557737596891299</v>
      </c>
      <c r="T14" s="79" t="str">
        <f t="shared" si="4"/>
        <v>F</v>
      </c>
      <c r="U14" s="80">
        <f t="shared" ca="1" si="5"/>
        <v>0.32550814975289905</v>
      </c>
      <c r="V14" s="94"/>
      <c r="AA14" s="38"/>
      <c r="AB14" s="38"/>
      <c r="AC14" s="81"/>
      <c r="AD14" s="82"/>
      <c r="AE14" s="82"/>
      <c r="AF14" s="82"/>
      <c r="AG14" s="83"/>
      <c r="AH14" s="83"/>
      <c r="AI14" s="83"/>
      <c r="AJ14" s="83"/>
      <c r="AK14" s="83"/>
      <c r="AL14" s="83"/>
      <c r="AM14" s="83"/>
      <c r="AN14" s="83"/>
      <c r="AO14" s="83"/>
      <c r="AP14" s="83"/>
      <c r="AQ14" s="85">
        <f t="shared" si="10"/>
        <v>0</v>
      </c>
      <c r="AR14" s="86"/>
      <c r="AS14" s="87"/>
      <c r="AT14" s="87"/>
      <c r="AU14" s="87"/>
      <c r="AV14" s="87"/>
      <c r="AW14" s="85">
        <f t="shared" si="13"/>
        <v>0</v>
      </c>
      <c r="AX14" s="86"/>
      <c r="AY14" s="88" t="str">
        <f t="shared" si="6"/>
        <v/>
      </c>
      <c r="AZ14" s="87"/>
      <c r="BA14" s="89" t="str">
        <f t="shared" si="7"/>
        <v/>
      </c>
      <c r="BB14" s="87"/>
      <c r="BC14" s="87"/>
      <c r="BD14" s="87"/>
      <c r="BE14" s="90" t="str">
        <f t="shared" si="11"/>
        <v/>
      </c>
      <c r="BF14" s="91"/>
      <c r="BG14" s="90" t="str">
        <f t="shared" si="12"/>
        <v/>
      </c>
      <c r="BH14" s="5"/>
      <c r="BI14" s="5"/>
      <c r="BJ14" s="5"/>
      <c r="BK14" s="5"/>
      <c r="BL14" s="5"/>
      <c r="BM14" s="5"/>
      <c r="BN14" s="5"/>
      <c r="BO14" s="5"/>
      <c r="BP14" s="5"/>
      <c r="BQ14" s="5"/>
      <c r="BR14" s="5"/>
      <c r="BS14" s="5"/>
      <c r="BT14" s="5"/>
      <c r="BU14" s="5"/>
      <c r="BV14" s="5"/>
    </row>
    <row r="15" spans="1:74" ht="15" x14ac:dyDescent="0.25">
      <c r="A15" s="5"/>
      <c r="B15" s="167" t="s">
        <v>124</v>
      </c>
      <c r="C15" s="70" t="s">
        <v>325</v>
      </c>
      <c r="D15" s="70" t="s">
        <v>109</v>
      </c>
      <c r="E15" s="70">
        <f ca="1">repro_A!$E$42</f>
        <v>3.3333333333336178E-2</v>
      </c>
      <c r="F15" s="70" t="s">
        <v>335</v>
      </c>
      <c r="G15" s="71" t="s">
        <v>115</v>
      </c>
      <c r="H15" s="285" t="s">
        <v>202</v>
      </c>
      <c r="I15" s="168" t="str">
        <f t="shared" si="0"/>
        <v>1</v>
      </c>
      <c r="J15" s="170">
        <f t="shared" ca="1" si="1"/>
        <v>3.3333333333336178E-2</v>
      </c>
      <c r="K15" s="70">
        <f>repro_A!$E$40</f>
        <v>2</v>
      </c>
      <c r="L15" s="70">
        <v>1</v>
      </c>
      <c r="M15" s="73">
        <f t="shared" ca="1" si="8"/>
        <v>3.3333333333336178E-2</v>
      </c>
      <c r="N15" s="74">
        <f t="shared" ca="1" si="9"/>
        <v>3.3333333333336178E-2</v>
      </c>
      <c r="O15" s="75" t="b">
        <f>IF(AND($E$35="G",$H$35&lt;&gt;0),(M15^2/(M15^2+$J$35^2))*$M$35,IF(AND($F$35="G",$H$35&lt;&gt;0),(M15^2/(M15^2+$I$35^2))*$M$35))</f>
        <v>0</v>
      </c>
      <c r="P15" s="75" t="b">
        <f>IF(AND($E$36="G",$H$36&lt;&gt;0),(M15^2/(M15^2+$J$36^2))*$M$36,IF(AND($F$36="G",$H$36&lt;&gt;0),(M15^2/(M15^2+$I$36^2))*$M$36))</f>
        <v>0</v>
      </c>
      <c r="Q15" s="76">
        <f t="shared" ca="1" si="2"/>
        <v>6.1728395061749476E-7</v>
      </c>
      <c r="R15" s="95" t="s">
        <v>125</v>
      </c>
      <c r="S15" s="266">
        <f t="shared" ca="1" si="3"/>
        <v>1.5931744063042022</v>
      </c>
      <c r="T15" s="79" t="str">
        <f t="shared" si="4"/>
        <v>G</v>
      </c>
      <c r="U15" s="80">
        <f t="shared" ca="1" si="5"/>
        <v>3.3333333333336178E-2</v>
      </c>
      <c r="AA15" s="38"/>
      <c r="AB15" s="38"/>
      <c r="AC15" s="81"/>
      <c r="AD15" s="82"/>
      <c r="AE15" s="82"/>
      <c r="AF15" s="82"/>
      <c r="AG15" s="83"/>
      <c r="AH15" s="83"/>
      <c r="AI15" s="83"/>
      <c r="AJ15" s="83"/>
      <c r="AK15" s="83"/>
      <c r="AL15" s="83"/>
      <c r="AM15" s="83"/>
      <c r="AN15" s="83"/>
      <c r="AO15" s="83"/>
      <c r="AP15" s="83"/>
      <c r="AQ15" s="85">
        <f t="shared" si="10"/>
        <v>0</v>
      </c>
      <c r="AR15" s="86"/>
      <c r="AS15" s="87"/>
      <c r="AT15" s="87"/>
      <c r="AU15" s="87"/>
      <c r="AV15" s="87"/>
      <c r="AW15" s="85">
        <f t="shared" si="13"/>
        <v>0</v>
      </c>
      <c r="AX15" s="86"/>
      <c r="AY15" s="88" t="str">
        <f t="shared" si="6"/>
        <v/>
      </c>
      <c r="AZ15" s="87"/>
      <c r="BA15" s="89" t="str">
        <f t="shared" si="7"/>
        <v/>
      </c>
      <c r="BB15" s="87"/>
      <c r="BC15" s="87"/>
      <c r="BD15" s="87"/>
      <c r="BE15" s="90" t="str">
        <f t="shared" si="11"/>
        <v/>
      </c>
      <c r="BF15" s="91"/>
      <c r="BG15" s="90" t="str">
        <f t="shared" si="12"/>
        <v/>
      </c>
      <c r="BH15" s="5"/>
      <c r="BI15" s="5"/>
      <c r="BJ15" s="5"/>
      <c r="BK15" s="5"/>
      <c r="BL15" s="5"/>
      <c r="BM15" s="5"/>
      <c r="BN15" s="5"/>
      <c r="BO15" s="5"/>
      <c r="BP15" s="5"/>
      <c r="BQ15" s="5"/>
      <c r="BR15" s="5"/>
      <c r="BS15" s="5"/>
      <c r="BT15" s="5"/>
      <c r="BU15" s="5"/>
      <c r="BV15" s="5"/>
    </row>
    <row r="16" spans="1:74" ht="15" x14ac:dyDescent="0.25">
      <c r="A16" s="5"/>
      <c r="B16" s="167" t="s">
        <v>126</v>
      </c>
      <c r="C16" s="70" t="s">
        <v>203</v>
      </c>
      <c r="D16" s="70"/>
      <c r="E16" s="70"/>
      <c r="F16" s="70"/>
      <c r="G16" s="71"/>
      <c r="H16" s="72"/>
      <c r="I16" s="168" t="str">
        <f t="shared" si="0"/>
        <v/>
      </c>
      <c r="J16" s="170" t="str">
        <f t="shared" si="1"/>
        <v/>
      </c>
      <c r="K16" s="70"/>
      <c r="L16" s="70"/>
      <c r="M16" s="73" t="str">
        <f t="shared" si="8"/>
        <v/>
      </c>
      <c r="N16" s="74" t="str">
        <f t="shared" si="9"/>
        <v/>
      </c>
      <c r="O16" s="75" t="b">
        <f>IF(AND($E$35="H",$H$35&lt;&gt;0),(M16^2/(M16^2+$J$35^2))*$M$35,IF(AND($F$35="H",$H$35&lt;&gt;0),(M16^2/(M16^2+$I$35^2))*$M$35))</f>
        <v>0</v>
      </c>
      <c r="P16" s="75" t="b">
        <f>IF(AND($E$36="H",$H$36&lt;&gt;0),(M16^2/(M16^2+$J$36^2))*$M$36,IF(AND($F$36="H",$H$36&lt;&gt;0),(M16^2/(M16^2+$I$36^2))*$M$36))</f>
        <v>0</v>
      </c>
      <c r="Q16" s="76" t="e">
        <f t="shared" si="2"/>
        <v>#VALUE!</v>
      </c>
      <c r="R16" s="93" t="s">
        <v>127</v>
      </c>
      <c r="S16" s="78" t="str">
        <f t="shared" si="3"/>
        <v/>
      </c>
      <c r="T16" s="79" t="str">
        <f t="shared" si="4"/>
        <v>H</v>
      </c>
      <c r="U16" s="80" t="str">
        <f t="shared" si="5"/>
        <v/>
      </c>
      <c r="W16" s="3" t="s">
        <v>128</v>
      </c>
      <c r="AA16" s="38"/>
      <c r="AB16" s="38"/>
      <c r="AC16" s="81"/>
      <c r="AD16" s="82"/>
      <c r="AE16" s="82"/>
      <c r="AF16" s="82"/>
      <c r="AG16" s="83"/>
      <c r="AH16" s="83"/>
      <c r="AI16" s="83"/>
      <c r="AJ16" s="83"/>
      <c r="AK16" s="83"/>
      <c r="AL16" s="83"/>
      <c r="AM16" s="83"/>
      <c r="AN16" s="83"/>
      <c r="AO16" s="83"/>
      <c r="AP16" s="83"/>
      <c r="AQ16" s="85">
        <f t="shared" si="10"/>
        <v>0</v>
      </c>
      <c r="AR16" s="86"/>
      <c r="AS16" s="87"/>
      <c r="AT16" s="87"/>
      <c r="AU16" s="87"/>
      <c r="AV16" s="87"/>
      <c r="AW16" s="85">
        <f t="shared" si="13"/>
        <v>0</v>
      </c>
      <c r="AX16" s="86"/>
      <c r="AY16" s="88" t="str">
        <f t="shared" si="6"/>
        <v/>
      </c>
      <c r="AZ16" s="87"/>
      <c r="BA16" s="89" t="str">
        <f t="shared" si="7"/>
        <v/>
      </c>
      <c r="BB16" s="87"/>
      <c r="BC16" s="87"/>
      <c r="BD16" s="87"/>
      <c r="BE16" s="90" t="str">
        <f t="shared" si="11"/>
        <v/>
      </c>
      <c r="BF16" s="91"/>
      <c r="BG16" s="90" t="str">
        <f t="shared" si="12"/>
        <v/>
      </c>
      <c r="BH16" s="5"/>
      <c r="BI16" s="5"/>
      <c r="BJ16" s="5"/>
      <c r="BK16" s="5"/>
      <c r="BL16" s="5"/>
      <c r="BM16" s="5"/>
      <c r="BN16" s="5"/>
      <c r="BO16" s="5"/>
      <c r="BP16" s="5"/>
      <c r="BQ16" s="5"/>
      <c r="BR16" s="5"/>
      <c r="BS16" s="5"/>
      <c r="BT16" s="5"/>
      <c r="BU16" s="5"/>
      <c r="BV16" s="5"/>
    </row>
    <row r="17" spans="1:74" ht="15" x14ac:dyDescent="0.25">
      <c r="A17" s="5"/>
      <c r="B17" s="167" t="s">
        <v>129</v>
      </c>
      <c r="C17" s="70" t="s">
        <v>363</v>
      </c>
      <c r="D17" s="70"/>
      <c r="E17" s="70"/>
      <c r="F17" s="70"/>
      <c r="G17" s="71"/>
      <c r="H17" s="72"/>
      <c r="I17" s="168" t="str">
        <f t="shared" si="0"/>
        <v/>
      </c>
      <c r="J17" s="170" t="str">
        <f t="shared" si="1"/>
        <v/>
      </c>
      <c r="K17" s="70"/>
      <c r="L17" s="70"/>
      <c r="M17" s="73" t="str">
        <f t="shared" si="8"/>
        <v/>
      </c>
      <c r="N17" s="74" t="str">
        <f t="shared" si="9"/>
        <v/>
      </c>
      <c r="O17" s="75" t="b">
        <f>IF(AND($E$35="I",$H$35&lt;&gt;0),(M17^2/(M17^2+$J$35^2))*$M$35,IF(AND($F$35="I",$H$35&lt;&gt;0),(M17^2/(M17^2+$I$35^2))*$M$35))</f>
        <v>0</v>
      </c>
      <c r="P17" s="75" t="b">
        <f>IF(AND($E$36="I",$H$36&lt;&gt;0),(M17^2/(M17^2+$J$36^2))*$M$36,IF(AND($F$36="I",$H$36&lt;&gt;0),(M17^2/(M17^2+$I$36^2))*$M$36))</f>
        <v>0</v>
      </c>
      <c r="Q17" s="76" t="e">
        <f t="shared" si="2"/>
        <v>#VALUE!</v>
      </c>
      <c r="R17" s="77"/>
      <c r="S17" s="78" t="str">
        <f t="shared" si="3"/>
        <v/>
      </c>
      <c r="T17" s="79" t="str">
        <f t="shared" si="4"/>
        <v>I</v>
      </c>
      <c r="U17" s="80" t="str">
        <f t="shared" si="5"/>
        <v/>
      </c>
      <c r="X17" s="96" t="s">
        <v>130</v>
      </c>
      <c r="Y17" s="3">
        <v>24</v>
      </c>
      <c r="Z17" s="3" t="s">
        <v>131</v>
      </c>
      <c r="AA17" s="38"/>
      <c r="AB17" s="38"/>
      <c r="AC17" s="81"/>
      <c r="AD17" s="82"/>
      <c r="AE17" s="82"/>
      <c r="AF17" s="82"/>
      <c r="AG17" s="83"/>
      <c r="AH17" s="83"/>
      <c r="AI17" s="83"/>
      <c r="AJ17" s="83"/>
      <c r="AK17" s="83"/>
      <c r="AL17" s="83"/>
      <c r="AM17" s="83"/>
      <c r="AN17" s="83"/>
      <c r="AO17" s="83"/>
      <c r="AP17" s="83"/>
      <c r="AQ17" s="85">
        <f t="shared" si="10"/>
        <v>0</v>
      </c>
      <c r="AR17" s="86"/>
      <c r="AS17" s="87"/>
      <c r="AT17" s="87"/>
      <c r="AU17" s="87"/>
      <c r="AV17" s="87"/>
      <c r="AW17" s="85">
        <f t="shared" si="13"/>
        <v>0</v>
      </c>
      <c r="AX17" s="86"/>
      <c r="AY17" s="88" t="str">
        <f t="shared" si="6"/>
        <v/>
      </c>
      <c r="AZ17" s="87"/>
      <c r="BA17" s="89" t="str">
        <f t="shared" si="7"/>
        <v/>
      </c>
      <c r="BB17" s="87"/>
      <c r="BC17" s="87"/>
      <c r="BD17" s="87"/>
      <c r="BE17" s="90" t="str">
        <f t="shared" si="11"/>
        <v/>
      </c>
      <c r="BF17" s="91"/>
      <c r="BG17" s="90" t="str">
        <f t="shared" si="12"/>
        <v/>
      </c>
      <c r="BH17" s="5"/>
      <c r="BI17" s="5"/>
      <c r="BJ17" s="5"/>
      <c r="BK17" s="5"/>
      <c r="BL17" s="5"/>
      <c r="BM17" s="5"/>
      <c r="BN17" s="5"/>
      <c r="BO17" s="5"/>
      <c r="BP17" s="5"/>
      <c r="BQ17" s="5"/>
      <c r="BR17" s="5"/>
      <c r="BS17" s="5"/>
      <c r="BT17" s="5"/>
      <c r="BU17" s="5"/>
      <c r="BV17" s="5"/>
    </row>
    <row r="18" spans="1:74" ht="15" x14ac:dyDescent="0.25">
      <c r="A18" s="5"/>
      <c r="B18" s="167" t="s">
        <v>132</v>
      </c>
      <c r="C18" s="70"/>
      <c r="D18" s="70"/>
      <c r="E18" s="70"/>
      <c r="F18" s="70"/>
      <c r="G18" s="71"/>
      <c r="H18" s="72"/>
      <c r="I18" s="168" t="str">
        <f t="shared" si="0"/>
        <v/>
      </c>
      <c r="J18" s="170" t="str">
        <f t="shared" si="1"/>
        <v/>
      </c>
      <c r="K18" s="70"/>
      <c r="L18" s="70"/>
      <c r="M18" s="73" t="str">
        <f t="shared" si="8"/>
        <v/>
      </c>
      <c r="N18" s="74" t="str">
        <f t="shared" si="9"/>
        <v/>
      </c>
      <c r="O18" s="75" t="b">
        <f>IF(AND($E$35="J",$H$35&lt;&gt;0),(M18^2/(M18^2+$J$35^2))*$M$35,IF(AND($F$35="J",$H$35&lt;&gt;0),(M18^2/(M18^2+$I$35^2))*$M$35))</f>
        <v>0</v>
      </c>
      <c r="P18" s="75" t="b">
        <f>IF(AND($E$36="J",$H$36&lt;&gt;0),(M18^2/(M18^2+$J$36^2))*$M$36,IF(AND($F$36="J",$H$36&lt;&gt;0),(M18^2/(M18^2+$I$36^2))*$M$36))</f>
        <v>0</v>
      </c>
      <c r="Q18" s="76" t="e">
        <f t="shared" si="2"/>
        <v>#VALUE!</v>
      </c>
      <c r="R18" s="77"/>
      <c r="S18" s="78" t="str">
        <f t="shared" si="3"/>
        <v/>
      </c>
      <c r="T18" s="79" t="str">
        <f t="shared" si="4"/>
        <v>J</v>
      </c>
      <c r="U18" s="80" t="str">
        <f t="shared" si="5"/>
        <v/>
      </c>
      <c r="X18" s="96" t="s">
        <v>133</v>
      </c>
      <c r="Y18" s="3">
        <v>21</v>
      </c>
      <c r="Z18" s="3" t="s">
        <v>134</v>
      </c>
      <c r="AA18" s="38"/>
      <c r="AB18" s="38"/>
      <c r="AC18" s="81"/>
      <c r="AD18" s="82"/>
      <c r="AE18" s="82"/>
      <c r="AF18" s="82"/>
      <c r="AG18" s="83"/>
      <c r="AH18" s="83"/>
      <c r="AI18" s="83"/>
      <c r="AJ18" s="83"/>
      <c r="AK18" s="83"/>
      <c r="AL18" s="83"/>
      <c r="AM18" s="83"/>
      <c r="AN18" s="83"/>
      <c r="AO18" s="83"/>
      <c r="AP18" s="83"/>
      <c r="AQ18" s="85">
        <f t="shared" si="10"/>
        <v>0</v>
      </c>
      <c r="AR18" s="86"/>
      <c r="AS18" s="87"/>
      <c r="AT18" s="87"/>
      <c r="AU18" s="87"/>
      <c r="AV18" s="87"/>
      <c r="AW18" s="85">
        <f t="shared" si="13"/>
        <v>0</v>
      </c>
      <c r="AX18" s="86"/>
      <c r="AY18" s="88" t="str">
        <f t="shared" si="6"/>
        <v/>
      </c>
      <c r="AZ18" s="87"/>
      <c r="BA18" s="89" t="str">
        <f t="shared" si="7"/>
        <v/>
      </c>
      <c r="BB18" s="87"/>
      <c r="BC18" s="87"/>
      <c r="BD18" s="87"/>
      <c r="BE18" s="90" t="str">
        <f t="shared" si="11"/>
        <v/>
      </c>
      <c r="BF18" s="91"/>
      <c r="BG18" s="90" t="str">
        <f t="shared" si="12"/>
        <v/>
      </c>
      <c r="BH18" s="5"/>
      <c r="BI18" s="5"/>
      <c r="BJ18" s="5"/>
      <c r="BK18" s="5"/>
      <c r="BL18" s="5"/>
      <c r="BM18" s="5"/>
      <c r="BN18" s="5"/>
      <c r="BO18" s="5"/>
      <c r="BP18" s="5"/>
      <c r="BQ18" s="5"/>
      <c r="BR18" s="5"/>
      <c r="BS18" s="5"/>
      <c r="BT18" s="5"/>
      <c r="BU18" s="5"/>
      <c r="BV18" s="5"/>
    </row>
    <row r="19" spans="1:74" ht="15" x14ac:dyDescent="0.25">
      <c r="A19" s="5"/>
      <c r="B19" s="167" t="s">
        <v>135</v>
      </c>
      <c r="C19" s="70"/>
      <c r="D19" s="70"/>
      <c r="E19" s="70"/>
      <c r="F19" s="70"/>
      <c r="G19" s="71"/>
      <c r="H19" s="72"/>
      <c r="I19" s="168" t="str">
        <f t="shared" si="0"/>
        <v/>
      </c>
      <c r="J19" s="170" t="str">
        <f t="shared" si="1"/>
        <v/>
      </c>
      <c r="K19" s="70"/>
      <c r="L19" s="70"/>
      <c r="M19" s="73" t="str">
        <f t="shared" si="8"/>
        <v/>
      </c>
      <c r="N19" s="74" t="str">
        <f t="shared" si="9"/>
        <v/>
      </c>
      <c r="O19" s="75" t="b">
        <f>IF(AND($E$35="K",$H$35&lt;&gt;0),(M19^2/(M19^2+$J$35^2))*$M$35,IF(AND($F$35="K",$H$35&lt;&gt;0),(M19^2/(M19^2+$I$35^2))*$M$35))</f>
        <v>0</v>
      </c>
      <c r="P19" s="75" t="b">
        <f>IF(AND($E$36="K",$H$36&lt;&gt;0),(M19^2/(M19^2+$J$36^2))*$M$36,IF(AND($F$36="K",$H$36&lt;&gt;0),(M19^2/(M19^2+$I$36^2))*$M$36))</f>
        <v>0</v>
      </c>
      <c r="Q19" s="76" t="e">
        <f t="shared" si="2"/>
        <v>#VALUE!</v>
      </c>
      <c r="S19" s="78" t="str">
        <f t="shared" si="3"/>
        <v/>
      </c>
      <c r="T19" s="79" t="str">
        <f t="shared" si="4"/>
        <v>K</v>
      </c>
      <c r="U19" s="80" t="str">
        <f t="shared" si="5"/>
        <v/>
      </c>
      <c r="X19" s="96" t="s">
        <v>136</v>
      </c>
      <c r="Y19" s="3">
        <v>18</v>
      </c>
      <c r="Z19" s="3" t="s">
        <v>119</v>
      </c>
      <c r="AA19" s="38"/>
      <c r="AB19" s="38"/>
      <c r="AC19" s="81"/>
      <c r="AD19" s="82"/>
      <c r="AE19" s="82"/>
      <c r="AF19" s="82"/>
      <c r="AG19" s="83"/>
      <c r="AH19" s="83"/>
      <c r="AI19" s="83"/>
      <c r="AJ19" s="83"/>
      <c r="AK19" s="83"/>
      <c r="AL19" s="83"/>
      <c r="AM19" s="83"/>
      <c r="AN19" s="83"/>
      <c r="AO19" s="83"/>
      <c r="AP19" s="83"/>
      <c r="AQ19" s="85">
        <f t="shared" si="10"/>
        <v>0</v>
      </c>
      <c r="AR19" s="86"/>
      <c r="AS19" s="87"/>
      <c r="AT19" s="87"/>
      <c r="AU19" s="87"/>
      <c r="AV19" s="87"/>
      <c r="AW19" s="85">
        <f t="shared" si="13"/>
        <v>0</v>
      </c>
      <c r="AX19" s="86"/>
      <c r="AY19" s="88" t="str">
        <f t="shared" si="6"/>
        <v/>
      </c>
      <c r="AZ19" s="87"/>
      <c r="BA19" s="89" t="str">
        <f t="shared" si="7"/>
        <v/>
      </c>
      <c r="BB19" s="87"/>
      <c r="BC19" s="87"/>
      <c r="BD19" s="87"/>
      <c r="BE19" s="90" t="str">
        <f t="shared" si="11"/>
        <v/>
      </c>
      <c r="BF19" s="91"/>
      <c r="BG19" s="90" t="str">
        <f t="shared" si="12"/>
        <v/>
      </c>
      <c r="BH19" s="5"/>
      <c r="BI19" s="5"/>
      <c r="BJ19" s="5"/>
      <c r="BK19" s="5"/>
      <c r="BL19" s="5"/>
      <c r="BM19" s="5"/>
      <c r="BN19" s="5"/>
      <c r="BO19" s="5"/>
      <c r="BP19" s="5"/>
      <c r="BQ19" s="5"/>
      <c r="BR19" s="5"/>
      <c r="BS19" s="5"/>
      <c r="BT19" s="5"/>
      <c r="BU19" s="5"/>
      <c r="BV19" s="5"/>
    </row>
    <row r="20" spans="1:74" ht="15" x14ac:dyDescent="0.25">
      <c r="A20" s="5"/>
      <c r="B20" s="167" t="s">
        <v>137</v>
      </c>
      <c r="C20" s="70"/>
      <c r="D20" s="70"/>
      <c r="E20" s="70"/>
      <c r="F20" s="70"/>
      <c r="G20" s="71"/>
      <c r="H20" s="72"/>
      <c r="I20" s="168" t="str">
        <f t="shared" si="0"/>
        <v/>
      </c>
      <c r="J20" s="170" t="str">
        <f t="shared" si="1"/>
        <v/>
      </c>
      <c r="K20" s="70"/>
      <c r="L20" s="70"/>
      <c r="M20" s="73" t="str">
        <f t="shared" si="8"/>
        <v/>
      </c>
      <c r="N20" s="74" t="str">
        <f t="shared" si="9"/>
        <v/>
      </c>
      <c r="O20" s="75" t="b">
        <f>IF(AND($E$35="L",$H$35&lt;&gt;0),(M20^2/(M20^2+$J$35^2))*$M$35,IF(AND($F$35="L",$H$35&lt;&gt;0),(M20^2/(M20^2+$I$35^2))*$M$35))</f>
        <v>0</v>
      </c>
      <c r="P20" s="75" t="b">
        <f>IF(AND($E$36="L",$H$36&lt;&gt;0),(M20^2/(M20^2+$J$36^2))*$M$36,IF(AND($F$36="L",$H$36&lt;&gt;0),(M20^2/(M20^2+$I$36^2))*$M$36))</f>
        <v>0</v>
      </c>
      <c r="Q20" s="76" t="e">
        <f t="shared" si="2"/>
        <v>#VALUE!</v>
      </c>
      <c r="R20" s="77"/>
      <c r="S20" s="78" t="str">
        <f t="shared" si="3"/>
        <v/>
      </c>
      <c r="T20" s="79" t="str">
        <f t="shared" si="4"/>
        <v>L</v>
      </c>
      <c r="U20" s="80" t="str">
        <f t="shared" si="5"/>
        <v/>
      </c>
      <c r="X20" s="96" t="s">
        <v>138</v>
      </c>
      <c r="Y20" s="3">
        <v>15</v>
      </c>
      <c r="Z20" s="3" t="s">
        <v>139</v>
      </c>
      <c r="AA20" s="38"/>
      <c r="AB20" s="38"/>
      <c r="AC20" s="81"/>
      <c r="AD20" s="82"/>
      <c r="AE20" s="82"/>
      <c r="AF20" s="82"/>
      <c r="AG20" s="83"/>
      <c r="AH20" s="83"/>
      <c r="AI20" s="83"/>
      <c r="AJ20" s="83"/>
      <c r="AK20" s="83"/>
      <c r="AL20" s="83"/>
      <c r="AM20" s="83"/>
      <c r="AN20" s="83"/>
      <c r="AO20" s="83"/>
      <c r="AP20" s="83"/>
      <c r="AQ20" s="85">
        <f t="shared" si="10"/>
        <v>0</v>
      </c>
      <c r="AR20" s="86"/>
      <c r="AS20" s="87"/>
      <c r="AT20" s="87"/>
      <c r="AU20" s="87"/>
      <c r="AV20" s="87"/>
      <c r="AW20" s="85">
        <f t="shared" si="13"/>
        <v>0</v>
      </c>
      <c r="AX20" s="86"/>
      <c r="AY20" s="88" t="str">
        <f t="shared" si="6"/>
        <v/>
      </c>
      <c r="AZ20" s="87"/>
      <c r="BA20" s="89" t="str">
        <f t="shared" si="7"/>
        <v/>
      </c>
      <c r="BB20" s="87"/>
      <c r="BC20" s="87"/>
      <c r="BD20" s="87"/>
      <c r="BE20" s="90" t="str">
        <f t="shared" si="11"/>
        <v/>
      </c>
      <c r="BF20" s="91"/>
      <c r="BG20" s="90" t="str">
        <f t="shared" si="12"/>
        <v/>
      </c>
      <c r="BH20" s="5"/>
      <c r="BI20" s="5"/>
      <c r="BJ20" s="5"/>
      <c r="BK20" s="5"/>
      <c r="BL20" s="5"/>
      <c r="BM20" s="5"/>
      <c r="BN20" s="5"/>
      <c r="BO20" s="5"/>
      <c r="BP20" s="5"/>
      <c r="BQ20" s="5"/>
      <c r="BR20" s="5"/>
      <c r="BS20" s="5"/>
      <c r="BT20" s="5"/>
      <c r="BU20" s="5"/>
      <c r="BV20" s="5"/>
    </row>
    <row r="21" spans="1:74" ht="15" x14ac:dyDescent="0.25">
      <c r="A21" s="5"/>
      <c r="B21" s="167" t="s">
        <v>140</v>
      </c>
      <c r="C21" s="70"/>
      <c r="D21" s="70"/>
      <c r="E21" s="70"/>
      <c r="F21" s="70"/>
      <c r="G21" s="71"/>
      <c r="H21" s="72"/>
      <c r="I21" s="168" t="str">
        <f t="shared" si="0"/>
        <v/>
      </c>
      <c r="J21" s="170" t="str">
        <f t="shared" si="1"/>
        <v/>
      </c>
      <c r="K21" s="70"/>
      <c r="L21" s="70"/>
      <c r="M21" s="73" t="str">
        <f t="shared" si="8"/>
        <v/>
      </c>
      <c r="N21" s="74" t="str">
        <f t="shared" si="9"/>
        <v/>
      </c>
      <c r="O21" s="75" t="b">
        <f>IF(AND($E$35="M",$H$35&lt;&gt;0),(M21^2/(M21^2+$J$35^2))*$M$35,IF(AND($F$35="M",$H$35&lt;&gt;0),(M21^2/(M21^2+$I$35^2))*$M$35))</f>
        <v>0</v>
      </c>
      <c r="P21" s="75" t="b">
        <f>IF(AND($E$36="M",$H$36&lt;&gt;0),(M21^2/(M21^2+$J$36^2))*$M$36,IF(AND($F$36="M",$H$36&lt;&gt;0),(M21^2/(M21^2+$I$36^2))*$M$36))</f>
        <v>0</v>
      </c>
      <c r="Q21" s="76" t="e">
        <f t="shared" si="2"/>
        <v>#VALUE!</v>
      </c>
      <c r="R21" s="77" t="s">
        <v>112</v>
      </c>
      <c r="S21" s="78" t="str">
        <f t="shared" si="3"/>
        <v/>
      </c>
      <c r="T21" s="79" t="str">
        <f t="shared" si="4"/>
        <v>M</v>
      </c>
      <c r="U21" s="80" t="str">
        <f t="shared" si="5"/>
        <v/>
      </c>
      <c r="X21" s="96" t="s">
        <v>141</v>
      </c>
      <c r="Y21" s="3">
        <v>12</v>
      </c>
      <c r="Z21" s="3" t="s">
        <v>142</v>
      </c>
      <c r="AA21" s="38"/>
      <c r="AB21" s="38"/>
      <c r="AC21" s="81"/>
      <c r="AD21" s="82"/>
      <c r="AE21" s="82"/>
      <c r="AF21" s="82"/>
      <c r="AG21" s="83"/>
      <c r="AH21" s="83"/>
      <c r="AI21" s="83"/>
      <c r="AJ21" s="83"/>
      <c r="AK21" s="83"/>
      <c r="AL21" s="83"/>
      <c r="AM21" s="83"/>
      <c r="AN21" s="83"/>
      <c r="AO21" s="83"/>
      <c r="AP21" s="83"/>
      <c r="AQ21" s="85">
        <f t="shared" si="10"/>
        <v>0</v>
      </c>
      <c r="AR21" s="86"/>
      <c r="AS21" s="87"/>
      <c r="AT21" s="87"/>
      <c r="AU21" s="87"/>
      <c r="AV21" s="87"/>
      <c r="AW21" s="85">
        <f t="shared" si="13"/>
        <v>0</v>
      </c>
      <c r="AX21" s="86"/>
      <c r="AY21" s="88" t="str">
        <f t="shared" si="6"/>
        <v/>
      </c>
      <c r="AZ21" s="87"/>
      <c r="BA21" s="89" t="str">
        <f t="shared" si="7"/>
        <v/>
      </c>
      <c r="BB21" s="87"/>
      <c r="BC21" s="87"/>
      <c r="BD21" s="87"/>
      <c r="BE21" s="90" t="str">
        <f t="shared" si="11"/>
        <v/>
      </c>
      <c r="BF21" s="91"/>
      <c r="BG21" s="90" t="str">
        <f t="shared" si="12"/>
        <v/>
      </c>
      <c r="BH21" s="5"/>
      <c r="BI21" s="5"/>
      <c r="BJ21" s="5"/>
      <c r="BK21" s="5"/>
      <c r="BL21" s="5"/>
      <c r="BM21" s="5"/>
      <c r="BN21" s="5"/>
      <c r="BO21" s="5"/>
      <c r="BP21" s="5"/>
      <c r="BQ21" s="5"/>
      <c r="BR21" s="5"/>
      <c r="BS21" s="5"/>
      <c r="BT21" s="5"/>
      <c r="BU21" s="5"/>
      <c r="BV21" s="5"/>
    </row>
    <row r="22" spans="1:74" ht="15" x14ac:dyDescent="0.25">
      <c r="A22" s="5"/>
      <c r="B22" s="167" t="s">
        <v>143</v>
      </c>
      <c r="C22" s="70"/>
      <c r="D22" s="70"/>
      <c r="E22" s="70"/>
      <c r="F22" s="70"/>
      <c r="G22" s="71"/>
      <c r="H22" s="72"/>
      <c r="I22" s="168" t="str">
        <f t="shared" si="0"/>
        <v/>
      </c>
      <c r="J22" s="170" t="str">
        <f t="shared" si="1"/>
        <v/>
      </c>
      <c r="K22" s="70"/>
      <c r="L22" s="70"/>
      <c r="M22" s="73" t="str">
        <f t="shared" si="8"/>
        <v/>
      </c>
      <c r="N22" s="74" t="str">
        <f t="shared" si="9"/>
        <v/>
      </c>
      <c r="O22" s="75" t="b">
        <f>IF(AND($E$35="N",$H$35&lt;&gt;0),(M22^2/(M22^2+$J$35^2))*$M$35,IF(AND($F$35="N",$H$35&lt;&gt;0),(M22^2/(M22^2+$I$35^2))*$M$35))</f>
        <v>0</v>
      </c>
      <c r="P22" s="75" t="b">
        <f>IF(AND($E$36="N",$H$36&lt;&gt;0),(M22^2/(M22^2+$J$36^2))*$M$36,IF(AND($F$36="N",$H$36&lt;&gt;0),(M22^2/(M22^2+$I$36^2))*$M$36))</f>
        <v>0</v>
      </c>
      <c r="Q22" s="76" t="e">
        <f t="shared" si="2"/>
        <v>#VALUE!</v>
      </c>
      <c r="R22" s="77" t="s">
        <v>109</v>
      </c>
      <c r="S22" s="78" t="str">
        <f t="shared" si="3"/>
        <v/>
      </c>
      <c r="T22" s="79" t="str">
        <f t="shared" si="4"/>
        <v>N</v>
      </c>
      <c r="U22" s="80" t="str">
        <f t="shared" si="5"/>
        <v/>
      </c>
      <c r="X22" s="96" t="s">
        <v>144</v>
      </c>
      <c r="Y22" s="3">
        <v>9</v>
      </c>
      <c r="Z22" s="3" t="s">
        <v>124</v>
      </c>
      <c r="AA22" s="38"/>
      <c r="AB22" s="38"/>
      <c r="AC22" s="81"/>
      <c r="AD22" s="82"/>
      <c r="AE22" s="82"/>
      <c r="AF22" s="82"/>
      <c r="AG22" s="83"/>
      <c r="AH22" s="83"/>
      <c r="AI22" s="83"/>
      <c r="AJ22" s="83"/>
      <c r="AK22" s="83"/>
      <c r="AL22" s="83"/>
      <c r="AM22" s="83"/>
      <c r="AN22" s="83"/>
      <c r="AO22" s="83"/>
      <c r="AP22" s="83"/>
      <c r="AQ22" s="85">
        <f t="shared" si="10"/>
        <v>0</v>
      </c>
      <c r="AR22" s="86"/>
      <c r="AS22" s="87"/>
      <c r="AT22" s="87"/>
      <c r="AU22" s="87"/>
      <c r="AV22" s="87"/>
      <c r="AW22" s="85">
        <f t="shared" si="13"/>
        <v>0</v>
      </c>
      <c r="AX22" s="86"/>
      <c r="AY22" s="88" t="str">
        <f t="shared" si="6"/>
        <v/>
      </c>
      <c r="AZ22" s="87"/>
      <c r="BA22" s="89" t="str">
        <f t="shared" si="7"/>
        <v/>
      </c>
      <c r="BB22" s="87"/>
      <c r="BC22" s="87"/>
      <c r="BD22" s="87"/>
      <c r="BE22" s="90" t="str">
        <f t="shared" si="11"/>
        <v/>
      </c>
      <c r="BF22" s="91"/>
      <c r="BG22" s="90" t="str">
        <f t="shared" si="12"/>
        <v/>
      </c>
      <c r="BH22" s="5"/>
      <c r="BI22" s="5"/>
      <c r="BJ22" s="5"/>
      <c r="BK22" s="5"/>
      <c r="BL22" s="5"/>
      <c r="BM22" s="5"/>
      <c r="BN22" s="5"/>
      <c r="BO22" s="5"/>
      <c r="BP22" s="5"/>
      <c r="BQ22" s="5"/>
      <c r="BR22" s="5"/>
      <c r="BS22" s="5"/>
      <c r="BT22" s="5"/>
      <c r="BU22" s="5"/>
      <c r="BV22" s="5"/>
    </row>
    <row r="23" spans="1:74" ht="15" x14ac:dyDescent="0.25">
      <c r="A23" s="5"/>
      <c r="B23" s="167" t="s">
        <v>145</v>
      </c>
      <c r="C23" s="70"/>
      <c r="D23" s="70"/>
      <c r="E23" s="70"/>
      <c r="F23" s="70"/>
      <c r="G23" s="71"/>
      <c r="H23" s="72"/>
      <c r="I23" s="168" t="str">
        <f t="shared" si="0"/>
        <v/>
      </c>
      <c r="J23" s="170" t="str">
        <f t="shared" si="1"/>
        <v/>
      </c>
      <c r="K23" s="70"/>
      <c r="L23" s="70"/>
      <c r="M23" s="73" t="str">
        <f t="shared" si="8"/>
        <v/>
      </c>
      <c r="N23" s="74" t="str">
        <f t="shared" si="9"/>
        <v/>
      </c>
      <c r="O23" s="75" t="b">
        <f>IF(AND($E$35="O",$H$35&lt;&gt;0),(M23^2/(M23^2+$J$35^2))*$M$35,IF(AND($F$35="O",$H$35&lt;&gt;0),(M23^2/(M23^2+$I$35^2))*$M$35))</f>
        <v>0</v>
      </c>
      <c r="P23" s="75" t="b">
        <f>IF(AND($E$36="O",$H$36&lt;&gt;0),(M23^2/(M23^2+$J$36^2))*$M$36,IF(AND($F$36="O",$H$36&lt;&gt;0),(M23^2/(M23^2+$I$36^2))*$M$36))</f>
        <v>0</v>
      </c>
      <c r="Q23" s="76" t="e">
        <f t="shared" si="2"/>
        <v>#VALUE!</v>
      </c>
      <c r="R23" s="93"/>
      <c r="S23" s="78" t="str">
        <f t="shared" si="3"/>
        <v/>
      </c>
      <c r="T23" s="79" t="str">
        <f t="shared" si="4"/>
        <v>O</v>
      </c>
      <c r="U23" s="80" t="str">
        <f t="shared" si="5"/>
        <v/>
      </c>
      <c r="X23" s="96" t="s">
        <v>146</v>
      </c>
      <c r="Y23" s="3">
        <v>6</v>
      </c>
      <c r="Z23" s="3" t="s">
        <v>140</v>
      </c>
      <c r="AA23" s="38"/>
      <c r="AB23" s="38"/>
      <c r="AC23" s="81"/>
      <c r="AD23" s="82"/>
      <c r="AE23" s="82"/>
      <c r="AF23" s="82"/>
      <c r="AG23" s="83"/>
      <c r="AH23" s="83"/>
      <c r="AI23" s="83"/>
      <c r="AJ23" s="83"/>
      <c r="AK23" s="83"/>
      <c r="AL23" s="83"/>
      <c r="AM23" s="83"/>
      <c r="AN23" s="83"/>
      <c r="AO23" s="83"/>
      <c r="AP23" s="83"/>
      <c r="AQ23" s="85">
        <f t="shared" si="10"/>
        <v>0</v>
      </c>
      <c r="AR23" s="86"/>
      <c r="AS23" s="87"/>
      <c r="AT23" s="87"/>
      <c r="AU23" s="87"/>
      <c r="AV23" s="87"/>
      <c r="AW23" s="85">
        <f t="shared" si="13"/>
        <v>0</v>
      </c>
      <c r="AX23" s="86"/>
      <c r="AY23" s="88" t="str">
        <f t="shared" si="6"/>
        <v/>
      </c>
      <c r="AZ23" s="87"/>
      <c r="BA23" s="89" t="str">
        <f t="shared" si="7"/>
        <v/>
      </c>
      <c r="BB23" s="87"/>
      <c r="BC23" s="87"/>
      <c r="BD23" s="87"/>
      <c r="BE23" s="90" t="str">
        <f t="shared" si="11"/>
        <v/>
      </c>
      <c r="BF23" s="91"/>
      <c r="BG23" s="90" t="str">
        <f t="shared" si="12"/>
        <v/>
      </c>
      <c r="BH23" s="5"/>
      <c r="BI23" s="5"/>
      <c r="BJ23" s="5"/>
      <c r="BK23" s="5"/>
      <c r="BL23" s="5"/>
      <c r="BM23" s="5"/>
      <c r="BN23" s="5"/>
      <c r="BO23" s="5"/>
      <c r="BP23" s="5"/>
      <c r="BQ23" s="5"/>
      <c r="BR23" s="5"/>
      <c r="BS23" s="5"/>
      <c r="BT23" s="5"/>
      <c r="BU23" s="5"/>
      <c r="BV23" s="5"/>
    </row>
    <row r="24" spans="1:74" ht="15" x14ac:dyDescent="0.25">
      <c r="A24" s="5"/>
      <c r="B24" s="167" t="s">
        <v>139</v>
      </c>
      <c r="C24" s="70"/>
      <c r="D24" s="70"/>
      <c r="E24" s="70"/>
      <c r="F24" s="70"/>
      <c r="G24" s="71"/>
      <c r="H24" s="72"/>
      <c r="I24" s="168" t="str">
        <f t="shared" si="0"/>
        <v/>
      </c>
      <c r="J24" s="170" t="str">
        <f t="shared" si="1"/>
        <v/>
      </c>
      <c r="K24" s="70"/>
      <c r="L24" s="70"/>
      <c r="M24" s="73" t="str">
        <f t="shared" si="8"/>
        <v/>
      </c>
      <c r="N24" s="74" t="str">
        <f t="shared" si="9"/>
        <v/>
      </c>
      <c r="O24" s="75" t="b">
        <f>IF(AND($E$35="P",$H$35&lt;&gt;0),(M24^2/(M24^2+$J$35^2))*$M$35,IF(AND($F$35="P",$H$35&lt;&gt;0),(M24^2/(M24^2+$I$35^2))*$M$35))</f>
        <v>0</v>
      </c>
      <c r="P24" s="75" t="b">
        <f>IF(AND($E$36="P",$H$36&lt;&gt;0),(M24^2/(M24^2+$J$36^2))*$M$36,IF(AND($F$36="P",$H$36&lt;&gt;0),(M24^2/(M24^2+$I$36^2))*$M$36))</f>
        <v>0</v>
      </c>
      <c r="Q24" s="76" t="e">
        <f t="shared" si="2"/>
        <v>#VALUE!</v>
      </c>
      <c r="R24" s="93"/>
      <c r="S24" s="78" t="str">
        <f t="shared" si="3"/>
        <v/>
      </c>
      <c r="T24" s="79" t="str">
        <f t="shared" si="4"/>
        <v>P</v>
      </c>
      <c r="U24" s="80" t="str">
        <f t="shared" si="5"/>
        <v/>
      </c>
      <c r="X24" s="96" t="s">
        <v>147</v>
      </c>
      <c r="Y24" s="3">
        <v>3</v>
      </c>
      <c r="Z24" s="3" t="s">
        <v>148</v>
      </c>
      <c r="AA24" s="38"/>
      <c r="AB24" s="38"/>
      <c r="AC24" s="81"/>
      <c r="AD24" s="82"/>
      <c r="AE24" s="82"/>
      <c r="AF24" s="82"/>
      <c r="AG24" s="83"/>
      <c r="AH24" s="83"/>
      <c r="AI24" s="83"/>
      <c r="AJ24" s="83"/>
      <c r="AK24" s="83"/>
      <c r="AL24" s="83"/>
      <c r="AM24" s="83"/>
      <c r="AN24" s="83"/>
      <c r="AO24" s="83"/>
      <c r="AP24" s="83"/>
      <c r="AQ24" s="85">
        <f t="shared" si="10"/>
        <v>0</v>
      </c>
      <c r="AR24" s="86"/>
      <c r="AS24" s="87"/>
      <c r="AT24" s="87"/>
      <c r="AU24" s="87"/>
      <c r="AV24" s="87"/>
      <c r="AW24" s="85">
        <f t="shared" si="13"/>
        <v>0</v>
      </c>
      <c r="AX24" s="86"/>
      <c r="AY24" s="88" t="str">
        <f t="shared" si="6"/>
        <v/>
      </c>
      <c r="AZ24" s="87"/>
      <c r="BA24" s="89" t="str">
        <f t="shared" si="7"/>
        <v/>
      </c>
      <c r="BB24" s="87"/>
      <c r="BC24" s="87"/>
      <c r="BD24" s="87"/>
      <c r="BE24" s="90" t="str">
        <f t="shared" si="11"/>
        <v/>
      </c>
      <c r="BF24" s="91"/>
      <c r="BG24" s="90" t="str">
        <f t="shared" si="12"/>
        <v/>
      </c>
      <c r="BH24" s="5"/>
      <c r="BI24" s="5"/>
      <c r="BJ24" s="5"/>
      <c r="BK24" s="5"/>
      <c r="BL24" s="5"/>
      <c r="BM24" s="5"/>
      <c r="BN24" s="5"/>
      <c r="BO24" s="5"/>
      <c r="BP24" s="5"/>
      <c r="BQ24" s="5"/>
      <c r="BR24" s="5"/>
      <c r="BS24" s="5"/>
      <c r="BT24" s="5"/>
      <c r="BU24" s="5"/>
      <c r="BV24" s="5"/>
    </row>
    <row r="25" spans="1:74" ht="15" x14ac:dyDescent="0.25">
      <c r="A25" s="5"/>
      <c r="B25" s="167" t="s">
        <v>149</v>
      </c>
      <c r="C25" s="70"/>
      <c r="D25" s="70"/>
      <c r="E25" s="70"/>
      <c r="F25" s="70"/>
      <c r="G25" s="71"/>
      <c r="H25" s="72"/>
      <c r="I25" s="168" t="str">
        <f t="shared" si="0"/>
        <v/>
      </c>
      <c r="J25" s="170" t="str">
        <f t="shared" si="1"/>
        <v/>
      </c>
      <c r="K25" s="70"/>
      <c r="L25" s="70"/>
      <c r="M25" s="73" t="str">
        <f t="shared" si="8"/>
        <v/>
      </c>
      <c r="N25" s="74" t="str">
        <f t="shared" si="9"/>
        <v/>
      </c>
      <c r="O25" s="75" t="b">
        <f>IF(AND($E$35="Q",$H$35&lt;&gt;0),(M25^2/(M25^2+$J$35^2))*$M$35,IF(AND($F$35="Q",$H$35&lt;&gt;0),(M25^2/(M25^2+$I$35^2))*$M$35))</f>
        <v>0</v>
      </c>
      <c r="P25" s="75" t="b">
        <f>IF(AND($E$36="Q",$H$36&lt;&gt;0),(M25^2/(M25^2+$J$36^2))*$M$36,IF(AND($F$36="Q",$H$36&lt;&gt;0),(M25^2/(M25^2+$I$36^2))*$M$36))</f>
        <v>0</v>
      </c>
      <c r="Q25" s="76" t="e">
        <f t="shared" si="2"/>
        <v>#VALUE!</v>
      </c>
      <c r="R25" s="97"/>
      <c r="S25" s="78" t="str">
        <f t="shared" si="3"/>
        <v/>
      </c>
      <c r="T25" s="79" t="str">
        <f t="shared" si="4"/>
        <v>Q</v>
      </c>
      <c r="U25" s="80" t="str">
        <f t="shared" si="5"/>
        <v/>
      </c>
      <c r="X25" s="96" t="s">
        <v>150</v>
      </c>
      <c r="Y25" s="3">
        <v>2</v>
      </c>
      <c r="Z25" s="3" t="s">
        <v>151</v>
      </c>
      <c r="AA25" s="38"/>
      <c r="AB25" s="38"/>
      <c r="AC25" s="81"/>
      <c r="AD25" s="82"/>
      <c r="AE25" s="82"/>
      <c r="AF25" s="82"/>
      <c r="AG25" s="83"/>
      <c r="AH25" s="83"/>
      <c r="AI25" s="83"/>
      <c r="AJ25" s="83"/>
      <c r="AK25" s="83"/>
      <c r="AL25" s="83"/>
      <c r="AM25" s="83"/>
      <c r="AN25" s="83"/>
      <c r="AO25" s="83"/>
      <c r="AP25" s="83"/>
      <c r="AQ25" s="85">
        <f t="shared" si="10"/>
        <v>0</v>
      </c>
      <c r="AR25" s="86"/>
      <c r="AS25" s="87"/>
      <c r="AT25" s="87"/>
      <c r="AU25" s="87"/>
      <c r="AV25" s="87"/>
      <c r="AW25" s="85">
        <f t="shared" si="13"/>
        <v>0</v>
      </c>
      <c r="AX25" s="86"/>
      <c r="AY25" s="88" t="str">
        <f t="shared" si="6"/>
        <v/>
      </c>
      <c r="AZ25" s="87"/>
      <c r="BA25" s="89" t="str">
        <f t="shared" si="7"/>
        <v/>
      </c>
      <c r="BB25" s="87"/>
      <c r="BC25" s="87"/>
      <c r="BD25" s="87"/>
      <c r="BE25" s="90" t="str">
        <f t="shared" si="11"/>
        <v/>
      </c>
      <c r="BF25" s="91"/>
      <c r="BG25" s="90" t="str">
        <f t="shared" si="12"/>
        <v/>
      </c>
      <c r="BH25" s="5"/>
      <c r="BI25" s="5"/>
      <c r="BJ25" s="5"/>
      <c r="BK25" s="5"/>
      <c r="BL25" s="5"/>
      <c r="BM25" s="5"/>
      <c r="BN25" s="5"/>
      <c r="BO25" s="5"/>
      <c r="BP25" s="5"/>
      <c r="BQ25" s="5"/>
      <c r="BR25" s="5"/>
      <c r="BS25" s="5"/>
      <c r="BT25" s="5"/>
      <c r="BU25" s="5"/>
      <c r="BV25" s="5"/>
    </row>
    <row r="26" spans="1:74" ht="15" x14ac:dyDescent="0.25">
      <c r="A26" s="5"/>
      <c r="B26" s="167" t="s">
        <v>152</v>
      </c>
      <c r="C26" s="70"/>
      <c r="D26" s="70"/>
      <c r="E26" s="70"/>
      <c r="F26" s="70"/>
      <c r="G26" s="71"/>
      <c r="H26" s="72"/>
      <c r="I26" s="168" t="str">
        <f t="shared" si="0"/>
        <v/>
      </c>
      <c r="J26" s="170" t="str">
        <f t="shared" si="1"/>
        <v/>
      </c>
      <c r="K26" s="70"/>
      <c r="L26" s="70"/>
      <c r="M26" s="73" t="str">
        <f t="shared" si="8"/>
        <v/>
      </c>
      <c r="N26" s="74" t="str">
        <f t="shared" si="9"/>
        <v/>
      </c>
      <c r="O26" s="75" t="b">
        <f>IF(AND($E$35="R",$H$35&lt;&gt;0),(M26^2/(M26^2+$J$35^2))*$M$35,IF(AND($F$35="R",$H$35&lt;&gt;0),(M26^2/(M26^2+$I$35^2))*$M$35))</f>
        <v>0</v>
      </c>
      <c r="P26" s="75" t="b">
        <f>IF(AND($E$36="R",$H$36&lt;&gt;0),(M26^2/(M26^2+$J$36^2))*$M$36,IF(AND($F$36="R",$H$36&lt;&gt;0),(M26^2/(M26^2+$I$36^2))*$M$36))</f>
        <v>0</v>
      </c>
      <c r="Q26" s="76" t="e">
        <f t="shared" si="2"/>
        <v>#VALUE!</v>
      </c>
      <c r="R26" s="95" t="s">
        <v>125</v>
      </c>
      <c r="S26" s="78" t="str">
        <f t="shared" si="3"/>
        <v/>
      </c>
      <c r="T26" s="79" t="str">
        <f t="shared" si="4"/>
        <v>R</v>
      </c>
      <c r="U26" s="80" t="str">
        <f t="shared" si="5"/>
        <v/>
      </c>
      <c r="X26" s="96" t="s">
        <v>153</v>
      </c>
      <c r="Y26" s="3">
        <v>1</v>
      </c>
      <c r="Z26" s="3" t="s">
        <v>154</v>
      </c>
      <c r="AA26" s="38"/>
      <c r="AB26" s="38"/>
      <c r="AC26" s="81"/>
      <c r="AD26" s="82"/>
      <c r="AE26" s="82"/>
      <c r="AF26" s="82"/>
      <c r="AG26" s="83"/>
      <c r="AH26" s="83"/>
      <c r="AI26" s="83"/>
      <c r="AJ26" s="83"/>
      <c r="AK26" s="83"/>
      <c r="AL26" s="83"/>
      <c r="AM26" s="83"/>
      <c r="AN26" s="83"/>
      <c r="AO26" s="83"/>
      <c r="AP26" s="83"/>
      <c r="AQ26" s="85">
        <f t="shared" si="10"/>
        <v>0</v>
      </c>
      <c r="AR26" s="86"/>
      <c r="AS26" s="87"/>
      <c r="AT26" s="87"/>
      <c r="AU26" s="87"/>
      <c r="AV26" s="87"/>
      <c r="AW26" s="85">
        <f t="shared" si="13"/>
        <v>0</v>
      </c>
      <c r="AX26" s="86"/>
      <c r="AY26" s="88" t="str">
        <f t="shared" si="6"/>
        <v/>
      </c>
      <c r="AZ26" s="87"/>
      <c r="BA26" s="89" t="str">
        <f t="shared" si="7"/>
        <v/>
      </c>
      <c r="BB26" s="87"/>
      <c r="BC26" s="87"/>
      <c r="BD26" s="87"/>
      <c r="BE26" s="90" t="str">
        <f t="shared" si="11"/>
        <v/>
      </c>
      <c r="BF26" s="91"/>
      <c r="BG26" s="90" t="str">
        <f t="shared" si="12"/>
        <v/>
      </c>
      <c r="BH26" s="5"/>
      <c r="BI26" s="5"/>
      <c r="BJ26" s="5"/>
      <c r="BK26" s="5"/>
      <c r="BL26" s="5"/>
      <c r="BM26" s="5"/>
      <c r="BN26" s="5"/>
      <c r="BO26" s="5"/>
      <c r="BP26" s="5"/>
      <c r="BQ26" s="5"/>
      <c r="BR26" s="5"/>
      <c r="BS26" s="5"/>
      <c r="BT26" s="5"/>
      <c r="BU26" s="5"/>
      <c r="BV26" s="5"/>
    </row>
    <row r="27" spans="1:74" ht="15" x14ac:dyDescent="0.25">
      <c r="A27" s="5"/>
      <c r="B27" s="167" t="s">
        <v>155</v>
      </c>
      <c r="C27" s="70"/>
      <c r="D27" s="70"/>
      <c r="E27" s="70"/>
      <c r="F27" s="70"/>
      <c r="G27" s="71"/>
      <c r="H27" s="72"/>
      <c r="I27" s="168" t="str">
        <f t="shared" si="0"/>
        <v/>
      </c>
      <c r="J27" s="170" t="str">
        <f t="shared" si="1"/>
        <v/>
      </c>
      <c r="K27" s="70"/>
      <c r="L27" s="70"/>
      <c r="M27" s="73" t="str">
        <f t="shared" si="8"/>
        <v/>
      </c>
      <c r="N27" s="74" t="str">
        <f t="shared" si="9"/>
        <v/>
      </c>
      <c r="O27" s="75" t="b">
        <f>IF(AND($E$35="S",$H$35&lt;&gt;0),(M27^2/(M27^2+$J$35^2))*$M$35,IF(AND($F$35="S",$H$35&lt;&gt;0),(M27^2/(M27^2+$I$35^2))*$M$35))</f>
        <v>0</v>
      </c>
      <c r="P27" s="75" t="b">
        <f>IF(AND($E$36="S",$H$36&lt;&gt;0),(M27^2/(M27^2+$J$36^2))*$M$36,IF(AND($F$36="S",$H$36&lt;&gt;0),(M27^2/(M27^2+$I$36^2))*$M$36))</f>
        <v>0</v>
      </c>
      <c r="Q27" s="76" t="e">
        <f t="shared" si="2"/>
        <v>#VALUE!</v>
      </c>
      <c r="R27" s="93" t="s">
        <v>127</v>
      </c>
      <c r="S27" s="78" t="str">
        <f t="shared" si="3"/>
        <v/>
      </c>
      <c r="T27" s="79" t="str">
        <f t="shared" si="4"/>
        <v>S</v>
      </c>
      <c r="U27" s="80" t="str">
        <f t="shared" si="5"/>
        <v/>
      </c>
      <c r="X27" s="3" t="s">
        <v>156</v>
      </c>
      <c r="Y27" s="3">
        <v>0</v>
      </c>
      <c r="AA27" s="38"/>
      <c r="AB27" s="38"/>
      <c r="AC27" s="81"/>
      <c r="AD27" s="82"/>
      <c r="AE27" s="82"/>
      <c r="AF27" s="82"/>
      <c r="AG27" s="83"/>
      <c r="AH27" s="83"/>
      <c r="AI27" s="83"/>
      <c r="AJ27" s="83"/>
      <c r="AK27" s="83"/>
      <c r="AL27" s="83"/>
      <c r="AM27" s="83"/>
      <c r="AN27" s="83"/>
      <c r="AO27" s="83"/>
      <c r="AP27" s="83"/>
      <c r="AQ27" s="85">
        <f t="shared" si="10"/>
        <v>0</v>
      </c>
      <c r="AR27" s="86"/>
      <c r="AS27" s="87"/>
      <c r="AT27" s="87"/>
      <c r="AU27" s="87"/>
      <c r="AV27" s="87"/>
      <c r="AW27" s="85">
        <f t="shared" si="13"/>
        <v>0</v>
      </c>
      <c r="AX27" s="86"/>
      <c r="AY27" s="88" t="str">
        <f t="shared" si="6"/>
        <v/>
      </c>
      <c r="AZ27" s="87"/>
      <c r="BA27" s="89" t="str">
        <f t="shared" si="7"/>
        <v/>
      </c>
      <c r="BB27" s="87"/>
      <c r="BC27" s="87"/>
      <c r="BD27" s="87"/>
      <c r="BE27" s="90" t="str">
        <f t="shared" si="11"/>
        <v/>
      </c>
      <c r="BF27" s="91"/>
      <c r="BG27" s="90" t="str">
        <f t="shared" si="12"/>
        <v/>
      </c>
      <c r="BH27" s="5"/>
      <c r="BI27" s="5"/>
      <c r="BJ27" s="5"/>
      <c r="BK27" s="5"/>
      <c r="BL27" s="5"/>
      <c r="BM27" s="5"/>
      <c r="BN27" s="5"/>
      <c r="BO27" s="5"/>
      <c r="BP27" s="5"/>
      <c r="BQ27" s="5"/>
      <c r="BR27" s="5"/>
      <c r="BS27" s="5"/>
      <c r="BT27" s="5"/>
      <c r="BU27" s="5"/>
      <c r="BV27" s="5"/>
    </row>
    <row r="28" spans="1:74" ht="15" x14ac:dyDescent="0.25">
      <c r="A28" s="5"/>
      <c r="B28" s="167" t="s">
        <v>142</v>
      </c>
      <c r="C28" s="70"/>
      <c r="D28" s="70"/>
      <c r="E28" s="70"/>
      <c r="F28" s="70"/>
      <c r="G28" s="71"/>
      <c r="H28" s="72"/>
      <c r="I28" s="168" t="str">
        <f t="shared" si="0"/>
        <v/>
      </c>
      <c r="J28" s="170" t="str">
        <f t="shared" si="1"/>
        <v/>
      </c>
      <c r="K28" s="70"/>
      <c r="L28" s="70"/>
      <c r="M28" s="73" t="str">
        <f t="shared" si="8"/>
        <v/>
      </c>
      <c r="N28" s="74" t="str">
        <f t="shared" si="9"/>
        <v/>
      </c>
      <c r="O28" s="75" t="b">
        <f>IF(AND($E$35="T",$H$35&lt;&gt;0),(M28^2/(M28^2+$J$35^2))*$M$35,IF(AND($F$35="T",$H$35&lt;&gt;0),(M28^2/(M28^2+$I$35^2))*$M$35))</f>
        <v>0</v>
      </c>
      <c r="P28" s="75" t="b">
        <f>IF(AND($E$36="T",$H$36&lt;&gt;0),(M28^2/(M28^2+$J$36^2))*$M$36,IF(AND($F$36="T",$H$36&lt;&gt;0),(M28^2/(M28^2+$I$36^2))*$M$36))</f>
        <v>0</v>
      </c>
      <c r="Q28" s="76" t="e">
        <f t="shared" si="2"/>
        <v>#VALUE!</v>
      </c>
      <c r="R28" s="77"/>
      <c r="S28" s="78" t="str">
        <f t="shared" si="3"/>
        <v/>
      </c>
      <c r="T28" s="79" t="str">
        <f t="shared" si="4"/>
        <v>T</v>
      </c>
      <c r="U28" s="80" t="str">
        <f t="shared" si="5"/>
        <v/>
      </c>
      <c r="X28" s="96" t="s">
        <v>157</v>
      </c>
      <c r="Y28" s="3">
        <v>-1</v>
      </c>
      <c r="Z28" s="3" t="s">
        <v>158</v>
      </c>
      <c r="AA28" s="38"/>
      <c r="AB28" s="38"/>
      <c r="AC28" s="81"/>
      <c r="AD28" s="82"/>
      <c r="AE28" s="82"/>
      <c r="AF28" s="82"/>
      <c r="AG28" s="83"/>
      <c r="AH28" s="83"/>
      <c r="AI28" s="83"/>
      <c r="AJ28" s="83"/>
      <c r="AK28" s="83"/>
      <c r="AL28" s="83"/>
      <c r="AM28" s="83"/>
      <c r="AN28" s="83"/>
      <c r="AO28" s="83"/>
      <c r="AP28" s="83"/>
      <c r="AQ28" s="85">
        <f t="shared" si="10"/>
        <v>0</v>
      </c>
      <c r="AR28" s="86"/>
      <c r="AS28" s="87"/>
      <c r="AT28" s="87"/>
      <c r="AU28" s="87"/>
      <c r="AV28" s="87"/>
      <c r="AW28" s="85">
        <f t="shared" si="13"/>
        <v>0</v>
      </c>
      <c r="AX28" s="86"/>
      <c r="AY28" s="88" t="str">
        <f t="shared" si="6"/>
        <v/>
      </c>
      <c r="AZ28" s="87"/>
      <c r="BA28" s="89" t="str">
        <f t="shared" si="7"/>
        <v/>
      </c>
      <c r="BB28" s="87"/>
      <c r="BC28" s="87"/>
      <c r="BD28" s="87"/>
      <c r="BE28" s="90" t="str">
        <f t="shared" si="11"/>
        <v/>
      </c>
      <c r="BF28" s="91"/>
      <c r="BG28" s="90" t="str">
        <f t="shared" si="12"/>
        <v/>
      </c>
      <c r="BH28" s="5"/>
      <c r="BI28" s="5"/>
      <c r="BJ28" s="5"/>
      <c r="BK28" s="5"/>
      <c r="BL28" s="5"/>
      <c r="BM28" s="5"/>
      <c r="BN28" s="5"/>
      <c r="BO28" s="5"/>
      <c r="BP28" s="5"/>
      <c r="BQ28" s="5"/>
      <c r="BR28" s="5"/>
      <c r="BS28" s="5"/>
      <c r="BT28" s="5"/>
      <c r="BU28" s="5"/>
      <c r="BV28" s="5"/>
    </row>
    <row r="29" spans="1:74" ht="15" x14ac:dyDescent="0.25">
      <c r="A29" s="5"/>
      <c r="B29" s="167" t="s">
        <v>159</v>
      </c>
      <c r="C29" s="70"/>
      <c r="D29" s="70"/>
      <c r="E29" s="70"/>
      <c r="F29" s="70"/>
      <c r="G29" s="71"/>
      <c r="H29" s="72"/>
      <c r="I29" s="168" t="str">
        <f t="shared" si="0"/>
        <v/>
      </c>
      <c r="J29" s="170" t="str">
        <f t="shared" si="1"/>
        <v/>
      </c>
      <c r="K29" s="70"/>
      <c r="L29" s="70"/>
      <c r="M29" s="73" t="str">
        <f t="shared" si="8"/>
        <v/>
      </c>
      <c r="N29" s="74" t="str">
        <f t="shared" si="9"/>
        <v/>
      </c>
      <c r="O29" s="75" t="b">
        <f>IF(AND($E$35="U",$H$35&lt;&gt;0),(M29^2/(M29^2+$J$35^2))*$M$35,IF(AND($F$35="U",$H$35&lt;&gt;0),(M29^2/(M29^2+$I$35^2))*$M$35))</f>
        <v>0</v>
      </c>
      <c r="P29" s="75" t="b">
        <f>IF(AND($E$36="U",$H$36&lt;&gt;0),(M29^2/(M29^2+$J$36^2))*$M$36,IF(AND($F$36="U",$H$36&lt;&gt;0),(M29^2/(M29^2+$I$36^2))*$M$36))</f>
        <v>0</v>
      </c>
      <c r="Q29" s="76" t="e">
        <f t="shared" si="2"/>
        <v>#VALUE!</v>
      </c>
      <c r="R29" s="77"/>
      <c r="S29" s="78" t="str">
        <f t="shared" si="3"/>
        <v/>
      </c>
      <c r="T29" s="79" t="str">
        <f t="shared" si="4"/>
        <v>U</v>
      </c>
      <c r="U29" s="80" t="str">
        <f t="shared" si="5"/>
        <v/>
      </c>
      <c r="X29" s="96" t="s">
        <v>160</v>
      </c>
      <c r="Y29" s="3">
        <v>-2</v>
      </c>
      <c r="Z29" s="3" t="s">
        <v>161</v>
      </c>
      <c r="AA29" s="38"/>
      <c r="AB29" s="38"/>
      <c r="AC29" s="81"/>
      <c r="AD29" s="82"/>
      <c r="AE29" s="82"/>
      <c r="AF29" s="82"/>
      <c r="AG29" s="83"/>
      <c r="AH29" s="83"/>
      <c r="AI29" s="83"/>
      <c r="AJ29" s="83"/>
      <c r="AK29" s="83"/>
      <c r="AL29" s="83"/>
      <c r="AM29" s="83"/>
      <c r="AN29" s="83"/>
      <c r="AO29" s="83"/>
      <c r="AP29" s="83"/>
      <c r="AQ29" s="85">
        <f t="shared" si="10"/>
        <v>0</v>
      </c>
      <c r="AR29" s="86"/>
      <c r="AS29" s="87"/>
      <c r="AT29" s="87"/>
      <c r="AU29" s="87"/>
      <c r="AV29" s="87"/>
      <c r="AW29" s="85">
        <f t="shared" si="13"/>
        <v>0</v>
      </c>
      <c r="AX29" s="86"/>
      <c r="AY29" s="88" t="str">
        <f t="shared" si="6"/>
        <v/>
      </c>
      <c r="AZ29" s="87"/>
      <c r="BA29" s="89" t="str">
        <f t="shared" si="7"/>
        <v/>
      </c>
      <c r="BB29" s="87"/>
      <c r="BC29" s="87"/>
      <c r="BD29" s="87"/>
      <c r="BE29" s="90" t="str">
        <f t="shared" si="11"/>
        <v/>
      </c>
      <c r="BF29" s="91"/>
      <c r="BG29" s="90" t="str">
        <f t="shared" si="12"/>
        <v/>
      </c>
      <c r="BH29" s="5"/>
      <c r="BI29" s="5"/>
      <c r="BJ29" s="5"/>
      <c r="BK29" s="5"/>
      <c r="BL29" s="5"/>
      <c r="BM29" s="5"/>
      <c r="BN29" s="5"/>
      <c r="BO29" s="5"/>
      <c r="BP29" s="5"/>
      <c r="BQ29" s="5"/>
      <c r="BR29" s="5"/>
      <c r="BS29" s="5"/>
      <c r="BT29" s="5"/>
      <c r="BU29" s="5"/>
      <c r="BV29" s="5"/>
    </row>
    <row r="30" spans="1:74" ht="15" x14ac:dyDescent="0.25">
      <c r="A30" s="5"/>
      <c r="B30" s="167" t="s">
        <v>162</v>
      </c>
      <c r="C30" s="70"/>
      <c r="D30" s="70"/>
      <c r="E30" s="70"/>
      <c r="F30" s="70"/>
      <c r="G30" s="71"/>
      <c r="H30" s="72"/>
      <c r="I30" s="168" t="str">
        <f t="shared" si="0"/>
        <v/>
      </c>
      <c r="J30" s="170" t="str">
        <f t="shared" si="1"/>
        <v/>
      </c>
      <c r="K30" s="70"/>
      <c r="L30" s="70"/>
      <c r="M30" s="73" t="str">
        <f t="shared" si="8"/>
        <v/>
      </c>
      <c r="N30" s="74" t="str">
        <f t="shared" si="9"/>
        <v/>
      </c>
      <c r="O30" s="75" t="b">
        <f>IF(AND($E$35="V",$H$35&lt;&gt;0),(M30^2/(M30^2+$J$35^2))*$M$35,IF(AND($F$35="V",$H$35&lt;&gt;0),(M30^2/(M30^2+$I$35^2))*$M$35))</f>
        <v>0</v>
      </c>
      <c r="P30" s="75" t="b">
        <f>IF(AND($E$36="V",$H$36&lt;&gt;0),(M30^2/(M30^2+$J$36^2))*$M$36,IF(AND($F$36="V",$H$36&lt;&gt;0),(M30^2/(M30^2+$I$36^2))*$M$36))</f>
        <v>0</v>
      </c>
      <c r="Q30" s="76" t="e">
        <f t="shared" si="2"/>
        <v>#VALUE!</v>
      </c>
      <c r="R30" s="77"/>
      <c r="S30" s="78" t="str">
        <f t="shared" si="3"/>
        <v/>
      </c>
      <c r="T30" s="79" t="str">
        <f t="shared" si="4"/>
        <v>V</v>
      </c>
      <c r="U30" s="80" t="str">
        <f t="shared" si="5"/>
        <v/>
      </c>
      <c r="X30" s="96" t="s">
        <v>163</v>
      </c>
      <c r="Y30" s="3">
        <v>-3</v>
      </c>
      <c r="Z30" s="3" t="s">
        <v>164</v>
      </c>
      <c r="AA30" s="38"/>
      <c r="AB30" s="38"/>
      <c r="AC30" s="81"/>
      <c r="AD30" s="82"/>
      <c r="AE30" s="82"/>
      <c r="AF30" s="82"/>
      <c r="AG30" s="83"/>
      <c r="AH30" s="83"/>
      <c r="AI30" s="83"/>
      <c r="AJ30" s="83"/>
      <c r="AK30" s="83"/>
      <c r="AL30" s="83"/>
      <c r="AM30" s="83"/>
      <c r="AN30" s="83"/>
      <c r="AO30" s="83"/>
      <c r="AP30" s="83"/>
      <c r="AQ30" s="85">
        <f t="shared" si="10"/>
        <v>0</v>
      </c>
      <c r="AR30" s="86"/>
      <c r="AS30" s="87"/>
      <c r="AT30" s="87"/>
      <c r="AU30" s="87"/>
      <c r="AV30" s="87"/>
      <c r="AW30" s="85">
        <f t="shared" si="13"/>
        <v>0</v>
      </c>
      <c r="AX30" s="86"/>
      <c r="AY30" s="88" t="str">
        <f t="shared" si="6"/>
        <v/>
      </c>
      <c r="AZ30" s="87"/>
      <c r="BA30" s="89" t="str">
        <f t="shared" si="7"/>
        <v/>
      </c>
      <c r="BB30" s="87"/>
      <c r="BC30" s="87"/>
      <c r="BD30" s="87"/>
      <c r="BE30" s="90" t="str">
        <f t="shared" si="11"/>
        <v/>
      </c>
      <c r="BF30" s="91"/>
      <c r="BG30" s="90" t="str">
        <f t="shared" si="12"/>
        <v/>
      </c>
      <c r="BH30" s="5"/>
      <c r="BI30" s="5"/>
      <c r="BJ30" s="5"/>
      <c r="BK30" s="5"/>
      <c r="BL30" s="5"/>
      <c r="BM30" s="5"/>
      <c r="BN30" s="5"/>
      <c r="BO30" s="5"/>
      <c r="BP30" s="5"/>
      <c r="BQ30" s="5"/>
      <c r="BR30" s="5"/>
      <c r="BS30" s="5"/>
      <c r="BT30" s="5"/>
      <c r="BU30" s="5"/>
      <c r="BV30" s="5"/>
    </row>
    <row r="31" spans="1:74" ht="15" x14ac:dyDescent="0.25">
      <c r="A31" s="5"/>
      <c r="B31" s="167" t="s">
        <v>165</v>
      </c>
      <c r="C31" s="70"/>
      <c r="D31" s="70"/>
      <c r="E31" s="70"/>
      <c r="F31" s="70"/>
      <c r="G31" s="71"/>
      <c r="H31" s="72"/>
      <c r="I31" s="168" t="str">
        <f t="shared" si="0"/>
        <v/>
      </c>
      <c r="J31" s="170" t="str">
        <f t="shared" si="1"/>
        <v/>
      </c>
      <c r="K31" s="70"/>
      <c r="L31" s="70"/>
      <c r="M31" s="73" t="str">
        <f t="shared" si="8"/>
        <v/>
      </c>
      <c r="N31" s="74" t="str">
        <f t="shared" si="9"/>
        <v/>
      </c>
      <c r="O31" s="75" t="b">
        <f>IF(AND($E$35="W",$H$35&lt;&gt;0),(M31^2/(M31^2+$J$35^2))*$M$35,IF(AND($F$35="W",$H$35&lt;&gt;0),(M31^2/(M31^2+$I$35^2))*$M$35))</f>
        <v>0</v>
      </c>
      <c r="P31" s="75" t="b">
        <f>IF(AND($E$36="W",$H$36&lt;&gt;0),(M31^2/(M31^2+$J$36^2))*$M$36,IF(AND($F$36="W",$H$36&lt;&gt;0),(M31^2/(M31^2+$I$36^2))*$M$36))</f>
        <v>0</v>
      </c>
      <c r="Q31" s="76" t="e">
        <f t="shared" si="2"/>
        <v>#VALUE!</v>
      </c>
      <c r="R31" s="77"/>
      <c r="S31" s="78" t="str">
        <f t="shared" si="3"/>
        <v/>
      </c>
      <c r="T31" s="79" t="str">
        <f t="shared" si="4"/>
        <v>W</v>
      </c>
      <c r="U31" s="80" t="str">
        <f t="shared" si="5"/>
        <v/>
      </c>
      <c r="X31" s="98" t="s">
        <v>306</v>
      </c>
      <c r="Y31" s="3">
        <v>-6</v>
      </c>
      <c r="Z31" s="3" t="s">
        <v>166</v>
      </c>
      <c r="AA31" s="38"/>
      <c r="AB31" s="38"/>
      <c r="AC31" s="81"/>
      <c r="AD31" s="82"/>
      <c r="AE31" s="82"/>
      <c r="AF31" s="82"/>
      <c r="AG31" s="83"/>
      <c r="AH31" s="83"/>
      <c r="AI31" s="83"/>
      <c r="AJ31" s="83"/>
      <c r="AK31" s="83"/>
      <c r="AL31" s="83"/>
      <c r="AM31" s="83"/>
      <c r="AN31" s="83"/>
      <c r="AO31" s="83"/>
      <c r="AP31" s="83"/>
      <c r="AQ31" s="85">
        <f t="shared" si="10"/>
        <v>0</v>
      </c>
      <c r="AR31" s="86"/>
      <c r="AS31" s="87"/>
      <c r="AT31" s="87"/>
      <c r="AU31" s="87"/>
      <c r="AV31" s="87"/>
      <c r="AW31" s="85">
        <f t="shared" si="13"/>
        <v>0</v>
      </c>
      <c r="AX31" s="86"/>
      <c r="AY31" s="88" t="str">
        <f t="shared" si="6"/>
        <v/>
      </c>
      <c r="AZ31" s="87"/>
      <c r="BA31" s="89" t="str">
        <f t="shared" si="7"/>
        <v/>
      </c>
      <c r="BB31" s="87"/>
      <c r="BC31" s="87"/>
      <c r="BD31" s="87"/>
      <c r="BE31" s="90" t="str">
        <f t="shared" si="11"/>
        <v/>
      </c>
      <c r="BF31" s="91"/>
      <c r="BG31" s="90" t="str">
        <f t="shared" si="12"/>
        <v/>
      </c>
      <c r="BH31" s="5"/>
      <c r="BI31" s="5"/>
      <c r="BJ31" s="5"/>
      <c r="BK31" s="5"/>
      <c r="BL31" s="5"/>
      <c r="BM31" s="5"/>
      <c r="BN31" s="5"/>
      <c r="BO31" s="5"/>
      <c r="BP31" s="5"/>
      <c r="BQ31" s="5"/>
      <c r="BR31" s="5"/>
      <c r="BS31" s="5"/>
      <c r="BT31" s="5"/>
      <c r="BU31" s="5"/>
      <c r="BV31" s="5"/>
    </row>
    <row r="32" spans="1:74" ht="15" x14ac:dyDescent="0.25">
      <c r="A32" s="5"/>
      <c r="B32" s="167" t="s">
        <v>167</v>
      </c>
      <c r="C32" s="70"/>
      <c r="D32" s="70"/>
      <c r="E32" s="70"/>
      <c r="F32" s="70"/>
      <c r="G32" s="71"/>
      <c r="H32" s="72"/>
      <c r="I32" s="168" t="str">
        <f t="shared" si="0"/>
        <v/>
      </c>
      <c r="J32" s="170" t="str">
        <f t="shared" si="1"/>
        <v/>
      </c>
      <c r="K32" s="70"/>
      <c r="L32" s="70"/>
      <c r="M32" s="73" t="str">
        <f t="shared" si="8"/>
        <v/>
      </c>
      <c r="N32" s="74" t="str">
        <f t="shared" si="9"/>
        <v/>
      </c>
      <c r="O32" s="75" t="b">
        <f>IF(AND($E$35="X",$H$35&lt;&gt;0),(M32^2/(M32^2+$J$35^2))*$M$35,IF(AND($F$35="X",$H$35&lt;&gt;0),(M32^2/(M32^2+$I$35^2))*$M$35))</f>
        <v>0</v>
      </c>
      <c r="P32" s="75" t="b">
        <f>IF(AND($E$36="X",$H$36&lt;&gt;0),(M32^2/(M32^2+$J$36^2))*$M$36,IF(AND($F$36="X",$H$36&lt;&gt;0),(M32^2/(M32^2+$I$36^2))*$M$36))</f>
        <v>0</v>
      </c>
      <c r="Q32" s="76" t="e">
        <f t="shared" si="2"/>
        <v>#VALUE!</v>
      </c>
      <c r="R32" s="77"/>
      <c r="S32" s="78" t="str">
        <f t="shared" si="3"/>
        <v/>
      </c>
      <c r="T32" s="79" t="str">
        <f t="shared" si="4"/>
        <v>X</v>
      </c>
      <c r="U32" s="80" t="str">
        <f t="shared" si="5"/>
        <v/>
      </c>
      <c r="X32" s="96" t="s">
        <v>168</v>
      </c>
      <c r="Y32" s="3">
        <v>-9</v>
      </c>
      <c r="Z32" s="3" t="s">
        <v>169</v>
      </c>
      <c r="AA32" s="38"/>
      <c r="AB32" s="38"/>
      <c r="AC32" s="81"/>
      <c r="AD32" s="82"/>
      <c r="AE32" s="82"/>
      <c r="AF32" s="82"/>
      <c r="AG32" s="83"/>
      <c r="AH32" s="83"/>
      <c r="AI32" s="83"/>
      <c r="AJ32" s="83"/>
      <c r="AK32" s="83"/>
      <c r="AL32" s="83"/>
      <c r="AM32" s="83"/>
      <c r="AN32" s="83"/>
      <c r="AO32" s="83"/>
      <c r="AP32" s="83"/>
      <c r="AQ32" s="85">
        <f t="shared" si="10"/>
        <v>0</v>
      </c>
      <c r="AR32" s="86"/>
      <c r="AS32" s="87"/>
      <c r="AT32" s="87"/>
      <c r="AU32" s="87"/>
      <c r="AV32" s="87"/>
      <c r="AW32" s="85">
        <f t="shared" si="13"/>
        <v>0</v>
      </c>
      <c r="AX32" s="86"/>
      <c r="AY32" s="88" t="str">
        <f t="shared" si="6"/>
        <v/>
      </c>
      <c r="AZ32" s="87"/>
      <c r="BA32" s="89" t="str">
        <f t="shared" si="7"/>
        <v/>
      </c>
      <c r="BB32" s="87"/>
      <c r="BC32" s="87"/>
      <c r="BD32" s="87"/>
      <c r="BE32" s="90" t="str">
        <f t="shared" si="11"/>
        <v/>
      </c>
      <c r="BF32" s="91"/>
      <c r="BG32" s="90" t="str">
        <f t="shared" si="12"/>
        <v/>
      </c>
      <c r="BH32" s="5"/>
      <c r="BI32" s="5"/>
      <c r="BJ32" s="5"/>
      <c r="BK32" s="5"/>
      <c r="BL32" s="5"/>
      <c r="BM32" s="5"/>
      <c r="BN32" s="5"/>
      <c r="BO32" s="5"/>
      <c r="BP32" s="5"/>
      <c r="BQ32" s="5"/>
      <c r="BR32" s="5"/>
      <c r="BS32" s="5"/>
      <c r="BT32" s="5"/>
      <c r="BU32" s="5"/>
      <c r="BV32" s="5"/>
    </row>
    <row r="33" spans="1:74" ht="15.75" thickBot="1" x14ac:dyDescent="0.3">
      <c r="A33" s="5"/>
      <c r="B33" s="167" t="s">
        <v>131</v>
      </c>
      <c r="C33" s="70"/>
      <c r="D33" s="70"/>
      <c r="E33" s="70"/>
      <c r="F33" s="70"/>
      <c r="G33" s="71"/>
      <c r="H33" s="72"/>
      <c r="I33" s="168" t="str">
        <f t="shared" si="0"/>
        <v/>
      </c>
      <c r="J33" s="170" t="str">
        <f t="shared" si="1"/>
        <v/>
      </c>
      <c r="K33" s="70"/>
      <c r="L33" s="70"/>
      <c r="M33" s="73" t="str">
        <f t="shared" si="8"/>
        <v/>
      </c>
      <c r="N33" s="74" t="str">
        <f t="shared" si="9"/>
        <v/>
      </c>
      <c r="O33" s="99" t="b">
        <f>IF(AND($E$35="Y",$H$35&lt;&gt;0),(M33^2/(M33^2+$J$35^2))*$M$35,IF(AND($F$35="Y",$H$35&lt;&gt;0),(M33^2/(M33^2+$I$35^2))*$M$35))</f>
        <v>0</v>
      </c>
      <c r="P33" s="99" t="b">
        <f>IF(AND($E$36="Y",$H$36&lt;&gt;0),(M33^2/(M33^2+$J$36^2))*$M$36,IF(AND($F$36="Y",$H$36&lt;&gt;0),(M33^2/(M33^2+$I$36^2))*$M$36))</f>
        <v>0</v>
      </c>
      <c r="Q33" s="100" t="e">
        <f t="shared" si="2"/>
        <v>#VALUE!</v>
      </c>
      <c r="R33" s="101"/>
      <c r="S33" s="78" t="str">
        <f t="shared" si="3"/>
        <v/>
      </c>
      <c r="T33" s="79" t="str">
        <f t="shared" si="4"/>
        <v>Y</v>
      </c>
      <c r="U33" s="80" t="str">
        <f t="shared" si="5"/>
        <v/>
      </c>
      <c r="X33" s="96" t="s">
        <v>170</v>
      </c>
      <c r="Y33" s="3">
        <v>-12</v>
      </c>
      <c r="Z33" s="3" t="s">
        <v>171</v>
      </c>
      <c r="AA33" s="38"/>
      <c r="AB33" s="38"/>
      <c r="AC33" s="81"/>
      <c r="AD33" s="82"/>
      <c r="AE33" s="82"/>
      <c r="AF33" s="82"/>
      <c r="AG33" s="83"/>
      <c r="AH33" s="83"/>
      <c r="AI33" s="83"/>
      <c r="AJ33" s="83"/>
      <c r="AK33" s="83"/>
      <c r="AL33" s="83"/>
      <c r="AM33" s="83"/>
      <c r="AN33" s="83"/>
      <c r="AO33" s="83"/>
      <c r="AP33" s="83"/>
      <c r="AQ33" s="102">
        <f t="shared" si="10"/>
        <v>0</v>
      </c>
      <c r="AR33" s="86"/>
      <c r="AS33" s="87"/>
      <c r="AT33" s="87"/>
      <c r="AU33" s="87"/>
      <c r="AV33" s="87"/>
      <c r="AW33" s="102">
        <f t="shared" si="13"/>
        <v>0</v>
      </c>
      <c r="AX33" s="86"/>
      <c r="AY33" s="103" t="str">
        <f t="shared" si="6"/>
        <v/>
      </c>
      <c r="AZ33" s="87"/>
      <c r="BA33" s="104" t="str">
        <f t="shared" si="7"/>
        <v/>
      </c>
      <c r="BB33" s="87"/>
      <c r="BC33" s="87"/>
      <c r="BD33" s="87"/>
      <c r="BE33" s="90" t="str">
        <f t="shared" si="11"/>
        <v/>
      </c>
      <c r="BF33" s="91"/>
      <c r="BG33" s="90" t="str">
        <f t="shared" si="12"/>
        <v/>
      </c>
      <c r="BH33" s="5"/>
      <c r="BI33" s="5"/>
      <c r="BJ33" s="5"/>
      <c r="BK33" s="5"/>
      <c r="BL33" s="5"/>
      <c r="BM33" s="5"/>
      <c r="BN33" s="5"/>
      <c r="BO33" s="5"/>
      <c r="BP33" s="5"/>
      <c r="BQ33" s="5"/>
      <c r="BR33" s="5"/>
      <c r="BS33" s="5"/>
      <c r="BT33" s="5"/>
      <c r="BU33" s="5"/>
      <c r="BV33" s="5"/>
    </row>
    <row r="34" spans="1:74" ht="15" thickBot="1" x14ac:dyDescent="0.25">
      <c r="A34" s="5"/>
      <c r="B34" s="356"/>
      <c r="C34" s="357"/>
      <c r="D34" s="358"/>
      <c r="E34" s="105" t="s">
        <v>172</v>
      </c>
      <c r="F34" s="106" t="s">
        <v>173</v>
      </c>
      <c r="G34" s="359" t="s">
        <v>174</v>
      </c>
      <c r="H34" s="360"/>
      <c r="I34" s="360"/>
      <c r="J34" s="361"/>
      <c r="K34" s="362" t="s">
        <v>175</v>
      </c>
      <c r="L34" s="363"/>
      <c r="M34" s="105" t="s">
        <v>176</v>
      </c>
      <c r="N34" s="366" t="s">
        <v>177</v>
      </c>
      <c r="O34" s="107"/>
      <c r="P34" s="107"/>
      <c r="Q34" s="108"/>
      <c r="R34" s="109"/>
      <c r="S34" s="369" t="s">
        <v>178</v>
      </c>
      <c r="T34" s="42"/>
      <c r="X34" s="96" t="s">
        <v>179</v>
      </c>
      <c r="Y34" s="3">
        <v>-15</v>
      </c>
      <c r="Z34" s="3" t="s">
        <v>180</v>
      </c>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5"/>
      <c r="BH34" s="5"/>
      <c r="BI34" s="5"/>
      <c r="BJ34" s="5"/>
      <c r="BK34" s="5"/>
      <c r="BL34" s="5"/>
      <c r="BM34" s="5"/>
      <c r="BN34" s="5"/>
      <c r="BO34" s="5"/>
      <c r="BP34" s="5"/>
      <c r="BQ34" s="5"/>
      <c r="BR34" s="5"/>
      <c r="BS34" s="5"/>
      <c r="BT34" s="5"/>
      <c r="BU34" s="5"/>
      <c r="BV34" s="5"/>
    </row>
    <row r="35" spans="1:74" ht="15" x14ac:dyDescent="0.25">
      <c r="A35" s="5"/>
      <c r="B35" s="110"/>
      <c r="C35" s="111"/>
      <c r="D35" s="112"/>
      <c r="E35" s="113" t="s">
        <v>42</v>
      </c>
      <c r="F35" s="114" t="s">
        <v>42</v>
      </c>
      <c r="G35" s="115" t="s">
        <v>181</v>
      </c>
      <c r="H35" s="116"/>
      <c r="I35" s="117" t="str">
        <f>IF(H35&lt;&gt;0,VLOOKUP(E35,T9:U33,2,TRUE),"")</f>
        <v/>
      </c>
      <c r="J35" s="118" t="str">
        <f>IF(H35&lt;&gt;0,VLOOKUP(F35,T9:U33,2,TRUE),"")</f>
        <v/>
      </c>
      <c r="K35" s="362"/>
      <c r="L35" s="363"/>
      <c r="M35" s="119">
        <f>SUMIF(Q35,"&gt;0",R35)</f>
        <v>0</v>
      </c>
      <c r="N35" s="367"/>
      <c r="O35" s="120"/>
      <c r="P35" s="120"/>
      <c r="Q35" s="121" t="e">
        <f>ABS(R35)</f>
        <v>#VALUE!</v>
      </c>
      <c r="R35" s="122" t="e">
        <f>(2*H35)*I35*J35</f>
        <v>#VALUE!</v>
      </c>
      <c r="S35" s="370"/>
      <c r="T35" s="42"/>
      <c r="X35" s="96" t="s">
        <v>182</v>
      </c>
      <c r="Y35" s="3">
        <v>-18</v>
      </c>
      <c r="Z35" s="3" t="s">
        <v>183</v>
      </c>
      <c r="AA35" s="38"/>
      <c r="AB35" s="38"/>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5"/>
      <c r="BH35" s="5"/>
      <c r="BI35" s="5"/>
      <c r="BJ35" s="5"/>
      <c r="BK35" s="5"/>
      <c r="BL35" s="5"/>
      <c r="BM35" s="5"/>
      <c r="BN35" s="5"/>
      <c r="BO35" s="5"/>
      <c r="BP35" s="5"/>
      <c r="BQ35" s="5"/>
      <c r="BR35" s="5"/>
      <c r="BS35" s="5"/>
      <c r="BT35" s="5"/>
      <c r="BU35" s="5"/>
      <c r="BV35" s="5"/>
    </row>
    <row r="36" spans="1:74" ht="15.75" thickBot="1" x14ac:dyDescent="0.3">
      <c r="A36" s="5"/>
      <c r="B36" s="123"/>
      <c r="C36" s="124"/>
      <c r="D36" s="125"/>
      <c r="E36" s="126" t="s">
        <v>42</v>
      </c>
      <c r="F36" s="127" t="s">
        <v>42</v>
      </c>
      <c r="G36" s="128" t="s">
        <v>181</v>
      </c>
      <c r="H36" s="129"/>
      <c r="I36" s="130" t="str">
        <f>IF(H36&lt;&gt;0,VLOOKUP(E36,T9:U33,2,TRUE),"")</f>
        <v/>
      </c>
      <c r="J36" s="131" t="str">
        <f>IF(H36&lt;&gt;0,VLOOKUP(F36,T9:U33,2,TRUE),"")</f>
        <v/>
      </c>
      <c r="K36" s="364"/>
      <c r="L36" s="365"/>
      <c r="M36" s="132">
        <f>SUMIF(Q36,"&gt;0",R36)</f>
        <v>0</v>
      </c>
      <c r="N36" s="368"/>
      <c r="O36" s="133"/>
      <c r="P36" s="133"/>
      <c r="Q36" s="134" t="e">
        <f>ABS(R36)</f>
        <v>#VALUE!</v>
      </c>
      <c r="R36" s="135" t="e">
        <f>(2*H36)*I36*J36</f>
        <v>#VALUE!</v>
      </c>
      <c r="S36" s="371"/>
      <c r="T36" s="42"/>
      <c r="X36" s="96" t="s">
        <v>184</v>
      </c>
      <c r="Y36" s="3">
        <v>-21</v>
      </c>
      <c r="Z36" s="3" t="s">
        <v>185</v>
      </c>
      <c r="AA36" s="38"/>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38"/>
      <c r="BA36" s="38"/>
      <c r="BB36" s="38"/>
      <c r="BC36" s="38"/>
      <c r="BD36" s="38"/>
      <c r="BE36" s="38"/>
      <c r="BF36" s="38"/>
      <c r="BG36" s="5"/>
      <c r="BH36" s="5"/>
      <c r="BI36" s="5"/>
      <c r="BJ36" s="5"/>
      <c r="BK36" s="5"/>
      <c r="BL36" s="5"/>
      <c r="BM36" s="5"/>
      <c r="BN36" s="5"/>
      <c r="BO36" s="5"/>
      <c r="BP36" s="5"/>
      <c r="BQ36" s="5"/>
      <c r="BR36" s="5"/>
      <c r="BS36" s="5"/>
      <c r="BT36" s="5"/>
      <c r="BU36" s="5"/>
      <c r="BV36" s="5"/>
    </row>
    <row r="37" spans="1:74" ht="15.75" thickBot="1" x14ac:dyDescent="0.3">
      <c r="A37" s="5"/>
      <c r="B37" s="380" t="s">
        <v>186</v>
      </c>
      <c r="C37" s="381"/>
      <c r="D37" s="381"/>
      <c r="E37" s="136">
        <v>0.25</v>
      </c>
      <c r="F37" s="382" t="s">
        <v>187</v>
      </c>
      <c r="G37" s="383"/>
      <c r="H37" s="384" t="s">
        <v>188</v>
      </c>
      <c r="I37" s="385"/>
      <c r="J37" s="385"/>
      <c r="K37" s="137">
        <f ca="1">IF( Q37&gt;0, M37^4/Q37, "0.00")</f>
        <v>59.715247512143925</v>
      </c>
      <c r="L37" s="138" t="s">
        <v>189</v>
      </c>
      <c r="M37" s="139">
        <f ca="1">SQRT((SUMSQ(M9:M33))+(M35+M36))</f>
        <v>1.4066760923767931</v>
      </c>
      <c r="N37" s="140">
        <f ca="1">SQRT(SUMSQ(N9:N33))</f>
        <v>1.4066760923767931</v>
      </c>
      <c r="O37" s="141"/>
      <c r="P37" s="141"/>
      <c r="Q37" s="142">
        <f ca="1">SUMIF(Q9:Q33,"&gt;0",Q9:Q33)</f>
        <v>6.556788704740496E-2</v>
      </c>
      <c r="R37" s="143">
        <f ca="1">SUM(M9:M33)</f>
        <v>2.092258901563818</v>
      </c>
      <c r="S37" s="144" t="s">
        <v>190</v>
      </c>
      <c r="T37" s="36"/>
      <c r="X37" s="96" t="s">
        <v>191</v>
      </c>
      <c r="Y37" s="3">
        <v>-24</v>
      </c>
      <c r="Z37" s="3" t="s">
        <v>192</v>
      </c>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5"/>
      <c r="BH37" s="5"/>
      <c r="BI37" s="5"/>
      <c r="BJ37" s="5"/>
      <c r="BK37" s="5"/>
      <c r="BL37" s="5"/>
      <c r="BM37" s="5"/>
      <c r="BN37" s="5"/>
      <c r="BO37" s="5"/>
      <c r="BP37" s="5"/>
      <c r="BQ37" s="5"/>
      <c r="BR37" s="5"/>
      <c r="BS37" s="5"/>
      <c r="BT37" s="5"/>
      <c r="BU37" s="5"/>
      <c r="BV37" s="5"/>
    </row>
    <row r="38" spans="1:74" ht="30" customHeight="1" thickBot="1" x14ac:dyDescent="0.25">
      <c r="A38" s="5"/>
      <c r="B38" s="386" t="s">
        <v>193</v>
      </c>
      <c r="C38" s="387"/>
      <c r="D38" s="145">
        <v>0.95450000000000002</v>
      </c>
      <c r="E38" s="146" t="s">
        <v>194</v>
      </c>
      <c r="F38" s="390" t="s">
        <v>195</v>
      </c>
      <c r="G38" s="390"/>
      <c r="H38" s="390"/>
      <c r="I38" s="390"/>
      <c r="J38" s="390"/>
      <c r="K38" s="147">
        <f ca="1">IF(Q37&lt;&gt;0,O38,"")</f>
        <v>2.0432693161006417</v>
      </c>
      <c r="L38" s="148" t="s">
        <v>196</v>
      </c>
      <c r="M38" s="149">
        <f ca="1">IF(Q37&lt;&gt;0,M37*K38,"")</f>
        <v>2.8742180972458531</v>
      </c>
      <c r="N38" s="150" t="str">
        <f>IF(D5=""," ",D5)</f>
        <v>Vpk</v>
      </c>
      <c r="O38" s="151">
        <f ca="1">TINV((1-D38),K37)</f>
        <v>2.0432693161006417</v>
      </c>
      <c r="P38" s="152"/>
      <c r="Q38" s="153" t="b">
        <v>1</v>
      </c>
      <c r="R38" s="154">
        <f ca="1">R37*E37</f>
        <v>0.5230647253909545</v>
      </c>
      <c r="S38" s="155"/>
      <c r="T38" s="36"/>
      <c r="W38" s="77"/>
      <c r="X38" s="156"/>
      <c r="Y38" s="77"/>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5"/>
      <c r="BH38" s="5"/>
      <c r="BI38" s="5"/>
      <c r="BJ38" s="5"/>
      <c r="BK38" s="5"/>
      <c r="BL38" s="5"/>
      <c r="BM38" s="5"/>
      <c r="BN38" s="5"/>
      <c r="BO38" s="5"/>
      <c r="BP38" s="5"/>
      <c r="BQ38" s="5"/>
      <c r="BR38" s="5"/>
      <c r="BS38" s="5"/>
      <c r="BT38" s="5"/>
      <c r="BU38" s="5"/>
      <c r="BV38" s="5"/>
    </row>
    <row r="39" spans="1:74" ht="33.75" customHeight="1" thickBot="1" x14ac:dyDescent="0.25">
      <c r="A39" s="5"/>
      <c r="B39" s="388"/>
      <c r="C39" s="389"/>
      <c r="D39" s="157" t="s">
        <v>71</v>
      </c>
      <c r="E39" s="158" t="s">
        <v>197</v>
      </c>
      <c r="F39" s="391" t="s">
        <v>198</v>
      </c>
      <c r="G39" s="391"/>
      <c r="H39" s="391"/>
      <c r="I39" s="391"/>
      <c r="J39" s="391"/>
      <c r="K39" s="147">
        <f>ABS(NORMSINV((1-D38)/2))</f>
        <v>2.000002443899604</v>
      </c>
      <c r="L39" s="159" t="s">
        <v>196</v>
      </c>
      <c r="M39" s="160">
        <f ca="1">M37*K39</f>
        <v>2.8133556225287313</v>
      </c>
      <c r="N39" s="161" t="str">
        <f>IF(D5=""," ",D5)</f>
        <v>Vpk</v>
      </c>
      <c r="O39" s="162"/>
      <c r="P39" s="162"/>
      <c r="Q39" s="163" t="b">
        <v>0</v>
      </c>
      <c r="R39" s="164"/>
      <c r="S39" s="165"/>
      <c r="T39" s="36"/>
      <c r="W39" s="77"/>
      <c r="X39" s="77"/>
      <c r="Y39" s="77"/>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5"/>
      <c r="BH39" s="5"/>
      <c r="BI39" s="5"/>
      <c r="BJ39" s="5"/>
      <c r="BK39" s="5"/>
      <c r="BL39" s="5"/>
      <c r="BM39" s="5"/>
      <c r="BN39" s="5"/>
      <c r="BO39" s="5"/>
      <c r="BP39" s="5"/>
      <c r="BQ39" s="5"/>
      <c r="BR39" s="5"/>
      <c r="BS39" s="5"/>
      <c r="BT39" s="5"/>
      <c r="BU39" s="5"/>
      <c r="BV39" s="5"/>
    </row>
    <row r="40" spans="1:74" ht="53.25" customHeight="1" x14ac:dyDescent="0.2">
      <c r="A40" s="5"/>
      <c r="B40" s="392" t="s">
        <v>199</v>
      </c>
      <c r="C40" s="393"/>
      <c r="D40" s="394" t="s">
        <v>200</v>
      </c>
      <c r="E40" s="394"/>
      <c r="F40" s="394"/>
      <c r="G40" s="394"/>
      <c r="H40" s="394"/>
      <c r="I40" s="394"/>
      <c r="J40" s="394"/>
      <c r="K40" s="394"/>
      <c r="L40" s="394"/>
      <c r="M40" s="395" t="s">
        <v>201</v>
      </c>
      <c r="N40" s="395"/>
      <c r="O40" s="395"/>
      <c r="P40" s="395"/>
      <c r="Q40" s="395"/>
      <c r="R40" s="395"/>
      <c r="S40" s="396"/>
      <c r="T40" s="36"/>
      <c r="AA40" s="38"/>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5"/>
      <c r="BH40" s="5"/>
      <c r="BI40" s="5"/>
      <c r="BJ40" s="5"/>
      <c r="BK40" s="5"/>
      <c r="BL40" s="5"/>
      <c r="BM40" s="5"/>
      <c r="BN40" s="5"/>
      <c r="BO40" s="5"/>
      <c r="BP40" s="5"/>
      <c r="BQ40" s="5"/>
      <c r="BR40" s="5"/>
      <c r="BS40" s="5"/>
      <c r="BT40" s="5"/>
      <c r="BU40" s="5"/>
      <c r="BV40" s="5"/>
    </row>
    <row r="41" spans="1:74" ht="75" customHeight="1" x14ac:dyDescent="0.2">
      <c r="A41" s="5"/>
      <c r="B41" s="376" t="str">
        <f t="shared" ref="B41:B65" si="14">IF(C9=0,"",C9)</f>
        <v>Inherited Unc of Oscilloscope</v>
      </c>
      <c r="C41" s="377"/>
      <c r="D41" s="378" t="s">
        <v>351</v>
      </c>
      <c r="E41" s="378"/>
      <c r="F41" s="378"/>
      <c r="G41" s="378"/>
      <c r="H41" s="378"/>
      <c r="I41" s="378"/>
      <c r="J41" s="378"/>
      <c r="K41" s="378"/>
      <c r="L41" s="378"/>
      <c r="M41" s="378"/>
      <c r="N41" s="378"/>
      <c r="O41" s="378"/>
      <c r="P41" s="378"/>
      <c r="Q41" s="378"/>
      <c r="R41" s="378"/>
      <c r="S41" s="379"/>
      <c r="T41" s="36"/>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5"/>
      <c r="BH41" s="5"/>
      <c r="BI41" s="5"/>
      <c r="BJ41" s="5"/>
      <c r="BK41" s="5"/>
      <c r="BL41" s="5"/>
      <c r="BM41" s="5"/>
      <c r="BN41" s="5"/>
      <c r="BO41" s="5"/>
      <c r="BP41" s="5"/>
      <c r="BQ41" s="5"/>
      <c r="BR41" s="5"/>
      <c r="BS41" s="5"/>
      <c r="BT41" s="5"/>
      <c r="BU41" s="5"/>
      <c r="BV41" s="5"/>
    </row>
    <row r="42" spans="1:74" ht="75" customHeight="1" x14ac:dyDescent="0.2">
      <c r="A42" s="5"/>
      <c r="B42" s="376" t="str">
        <f t="shared" si="14"/>
        <v>Oscilloscope LTS</v>
      </c>
      <c r="C42" s="377"/>
      <c r="D42" s="378" t="s">
        <v>367</v>
      </c>
      <c r="E42" s="378"/>
      <c r="F42" s="378"/>
      <c r="G42" s="378"/>
      <c r="H42" s="378"/>
      <c r="I42" s="378"/>
      <c r="J42" s="378"/>
      <c r="K42" s="378"/>
      <c r="L42" s="378"/>
      <c r="M42" s="378"/>
      <c r="N42" s="378"/>
      <c r="O42" s="378"/>
      <c r="P42" s="378"/>
      <c r="Q42" s="378"/>
      <c r="R42" s="378"/>
      <c r="S42" s="379"/>
      <c r="T42" s="36"/>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5"/>
      <c r="BH42" s="5"/>
      <c r="BI42" s="5"/>
      <c r="BJ42" s="5"/>
      <c r="BK42" s="5"/>
      <c r="BL42" s="5"/>
      <c r="BM42" s="5"/>
      <c r="BN42" s="5"/>
      <c r="BO42" s="5"/>
      <c r="BP42" s="5"/>
      <c r="BQ42" s="5"/>
      <c r="BR42" s="5"/>
      <c r="BS42" s="5"/>
      <c r="BT42" s="5"/>
      <c r="BU42" s="5"/>
      <c r="BV42" s="5"/>
    </row>
    <row r="43" spans="1:74" ht="75" customHeight="1" x14ac:dyDescent="0.2">
      <c r="A43" s="5"/>
      <c r="B43" s="376" t="str">
        <f t="shared" si="14"/>
        <v>Resolution of Oscilloscope</v>
      </c>
      <c r="C43" s="377"/>
      <c r="D43" s="378" t="s">
        <v>204</v>
      </c>
      <c r="E43" s="378"/>
      <c r="F43" s="378"/>
      <c r="G43" s="378"/>
      <c r="H43" s="378"/>
      <c r="I43" s="378"/>
      <c r="J43" s="378"/>
      <c r="K43" s="378"/>
      <c r="L43" s="378"/>
      <c r="M43" s="378"/>
      <c r="N43" s="378"/>
      <c r="O43" s="378"/>
      <c r="P43" s="378"/>
      <c r="Q43" s="378"/>
      <c r="R43" s="378"/>
      <c r="S43" s="379"/>
      <c r="T43" s="36"/>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5"/>
      <c r="BH43" s="5"/>
      <c r="BI43" s="5"/>
      <c r="BJ43" s="5"/>
      <c r="BK43" s="5"/>
      <c r="BL43" s="5"/>
      <c r="BM43" s="5"/>
      <c r="BN43" s="5"/>
      <c r="BO43" s="5"/>
      <c r="BP43" s="5"/>
      <c r="BQ43" s="5"/>
      <c r="BR43" s="5"/>
      <c r="BS43" s="5"/>
      <c r="BT43" s="5"/>
      <c r="BU43" s="5"/>
      <c r="BV43" s="5"/>
    </row>
    <row r="44" spans="1:74" ht="75" customHeight="1" x14ac:dyDescent="0.2">
      <c r="A44" s="5"/>
      <c r="B44" s="376" t="str">
        <f t="shared" si="14"/>
        <v>Inherited Unc of Voltage Probe</v>
      </c>
      <c r="C44" s="377"/>
      <c r="D44" s="378" t="s">
        <v>352</v>
      </c>
      <c r="E44" s="378"/>
      <c r="F44" s="378"/>
      <c r="G44" s="378"/>
      <c r="H44" s="378"/>
      <c r="I44" s="378"/>
      <c r="J44" s="378"/>
      <c r="K44" s="378"/>
      <c r="L44" s="378"/>
      <c r="M44" s="378"/>
      <c r="N44" s="378"/>
      <c r="O44" s="378"/>
      <c r="P44" s="378"/>
      <c r="Q44" s="378"/>
      <c r="R44" s="378"/>
      <c r="S44" s="379"/>
      <c r="T44" s="36"/>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5"/>
      <c r="BH44" s="5"/>
      <c r="BI44" s="5"/>
      <c r="BJ44" s="5"/>
      <c r="BK44" s="5"/>
      <c r="BL44" s="5"/>
      <c r="BM44" s="5"/>
      <c r="BN44" s="5"/>
      <c r="BO44" s="5"/>
      <c r="BP44" s="5"/>
      <c r="BQ44" s="5"/>
      <c r="BR44" s="5"/>
      <c r="BS44" s="5"/>
      <c r="BT44" s="5"/>
      <c r="BU44" s="5"/>
      <c r="BV44" s="5"/>
    </row>
    <row r="45" spans="1:74" ht="75" customHeight="1" x14ac:dyDescent="0.2">
      <c r="A45" s="5"/>
      <c r="B45" s="376" t="str">
        <f t="shared" si="14"/>
        <v>Voltage Probe LTS</v>
      </c>
      <c r="C45" s="377"/>
      <c r="D45" s="378" t="s">
        <v>342</v>
      </c>
      <c r="E45" s="378"/>
      <c r="F45" s="378"/>
      <c r="G45" s="378"/>
      <c r="H45" s="378"/>
      <c r="I45" s="378"/>
      <c r="J45" s="378"/>
      <c r="K45" s="378"/>
      <c r="L45" s="378"/>
      <c r="M45" s="378"/>
      <c r="N45" s="378"/>
      <c r="O45" s="378"/>
      <c r="P45" s="378"/>
      <c r="Q45" s="378"/>
      <c r="R45" s="378"/>
      <c r="S45" s="379"/>
      <c r="T45" s="36"/>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5"/>
      <c r="BH45" s="5"/>
      <c r="BI45" s="5"/>
      <c r="BJ45" s="5"/>
      <c r="BK45" s="5"/>
      <c r="BL45" s="5"/>
      <c r="BM45" s="5"/>
      <c r="BN45" s="5"/>
      <c r="BO45" s="5"/>
      <c r="BP45" s="5"/>
      <c r="BQ45" s="5"/>
      <c r="BR45" s="5"/>
      <c r="BS45" s="5"/>
      <c r="BT45" s="5"/>
      <c r="BU45" s="5"/>
      <c r="BV45" s="5"/>
    </row>
    <row r="46" spans="1:74" ht="75" customHeight="1" x14ac:dyDescent="0.2">
      <c r="A46" s="5"/>
      <c r="B46" s="376" t="str">
        <f t="shared" si="14"/>
        <v>Repeatability</v>
      </c>
      <c r="C46" s="377"/>
      <c r="D46" s="397" t="s">
        <v>362</v>
      </c>
      <c r="E46" s="398"/>
      <c r="F46" s="398"/>
      <c r="G46" s="398"/>
      <c r="H46" s="398"/>
      <c r="I46" s="398"/>
      <c r="J46" s="398"/>
      <c r="K46" s="398"/>
      <c r="L46" s="398"/>
      <c r="M46" s="398"/>
      <c r="N46" s="398"/>
      <c r="O46" s="398"/>
      <c r="P46" s="398"/>
      <c r="Q46" s="398"/>
      <c r="R46" s="398"/>
      <c r="S46" s="399"/>
      <c r="T46" s="36"/>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5"/>
      <c r="BH46" s="5"/>
      <c r="BI46" s="5"/>
      <c r="BJ46" s="5"/>
      <c r="BK46" s="5"/>
      <c r="BL46" s="5"/>
      <c r="BM46" s="5"/>
      <c r="BN46" s="5"/>
      <c r="BO46" s="5"/>
      <c r="BP46" s="5"/>
      <c r="BQ46" s="5"/>
      <c r="BR46" s="5"/>
      <c r="BS46" s="5"/>
      <c r="BT46" s="5"/>
      <c r="BU46" s="5"/>
      <c r="BV46" s="5"/>
    </row>
    <row r="47" spans="1:74" ht="75" customHeight="1" x14ac:dyDescent="0.2">
      <c r="A47" s="5"/>
      <c r="B47" s="376" t="str">
        <f t="shared" si="14"/>
        <v>Reproducibility</v>
      </c>
      <c r="C47" s="377"/>
      <c r="D47" s="400" t="s">
        <v>361</v>
      </c>
      <c r="E47" s="401"/>
      <c r="F47" s="401"/>
      <c r="G47" s="401"/>
      <c r="H47" s="401"/>
      <c r="I47" s="401"/>
      <c r="J47" s="401"/>
      <c r="K47" s="401"/>
      <c r="L47" s="401"/>
      <c r="M47" s="401"/>
      <c r="N47" s="401"/>
      <c r="O47" s="401"/>
      <c r="P47" s="401"/>
      <c r="Q47" s="401"/>
      <c r="R47" s="401"/>
      <c r="S47" s="402"/>
      <c r="T47" s="36"/>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5"/>
      <c r="BH47" s="5"/>
      <c r="BI47" s="5"/>
      <c r="BJ47" s="5"/>
      <c r="BK47" s="5"/>
      <c r="BL47" s="5"/>
      <c r="BM47" s="5"/>
      <c r="BN47" s="5"/>
      <c r="BO47" s="5"/>
      <c r="BP47" s="5"/>
      <c r="BQ47" s="5"/>
      <c r="BR47" s="5"/>
      <c r="BS47" s="5"/>
      <c r="BT47" s="5"/>
      <c r="BU47" s="5"/>
      <c r="BV47" s="5"/>
    </row>
    <row r="48" spans="1:74" ht="75" customHeight="1" x14ac:dyDescent="0.2">
      <c r="A48" s="5"/>
      <c r="B48" s="376" t="str">
        <f t="shared" si="14"/>
        <v>Environment NA</v>
      </c>
      <c r="C48" s="377"/>
      <c r="D48" s="378" t="s">
        <v>359</v>
      </c>
      <c r="E48" s="378"/>
      <c r="F48" s="378"/>
      <c r="G48" s="378"/>
      <c r="H48" s="378"/>
      <c r="I48" s="378"/>
      <c r="J48" s="378"/>
      <c r="K48" s="378"/>
      <c r="L48" s="378"/>
      <c r="M48" s="378"/>
      <c r="N48" s="378"/>
      <c r="O48" s="378"/>
      <c r="P48" s="378"/>
      <c r="Q48" s="378"/>
      <c r="R48" s="378"/>
      <c r="S48" s="379"/>
      <c r="T48" s="36"/>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5"/>
      <c r="BH48" s="5"/>
      <c r="BI48" s="5"/>
      <c r="BJ48" s="5"/>
      <c r="BK48" s="5"/>
      <c r="BL48" s="5"/>
      <c r="BM48" s="5"/>
      <c r="BN48" s="5"/>
      <c r="BO48" s="5"/>
      <c r="BP48" s="5"/>
      <c r="BQ48" s="5"/>
      <c r="BR48" s="5"/>
      <c r="BS48" s="5"/>
      <c r="BT48" s="5"/>
      <c r="BU48" s="5"/>
      <c r="BV48" s="5"/>
    </row>
    <row r="49" spans="1:74" ht="75" customHeight="1" x14ac:dyDescent="0.2">
      <c r="A49" s="5"/>
      <c r="B49" s="376" t="str">
        <f t="shared" si="14"/>
        <v>Surge Voltage Tester NA</v>
      </c>
      <c r="C49" s="377"/>
      <c r="D49" s="378" t="s">
        <v>375</v>
      </c>
      <c r="E49" s="378"/>
      <c r="F49" s="378"/>
      <c r="G49" s="378"/>
      <c r="H49" s="378"/>
      <c r="I49" s="378"/>
      <c r="J49" s="378"/>
      <c r="K49" s="378"/>
      <c r="L49" s="378"/>
      <c r="M49" s="378"/>
      <c r="N49" s="378"/>
      <c r="O49" s="378"/>
      <c r="P49" s="378"/>
      <c r="Q49" s="378"/>
      <c r="R49" s="378"/>
      <c r="S49" s="379"/>
      <c r="T49" s="36"/>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5"/>
      <c r="BH49" s="5"/>
      <c r="BI49" s="5"/>
      <c r="BJ49" s="5"/>
      <c r="BK49" s="5"/>
      <c r="BL49" s="5"/>
      <c r="BM49" s="5"/>
      <c r="BN49" s="5"/>
      <c r="BO49" s="5"/>
      <c r="BP49" s="5"/>
      <c r="BQ49" s="5"/>
      <c r="BR49" s="5"/>
      <c r="BS49" s="5"/>
      <c r="BT49" s="5"/>
      <c r="BU49" s="5"/>
      <c r="BV49" s="5"/>
    </row>
    <row r="50" spans="1:74" ht="75" customHeight="1" x14ac:dyDescent="0.2">
      <c r="A50" s="5"/>
      <c r="B50" s="376" t="str">
        <f t="shared" si="14"/>
        <v/>
      </c>
      <c r="C50" s="377"/>
      <c r="D50" s="378"/>
      <c r="E50" s="378"/>
      <c r="F50" s="378"/>
      <c r="G50" s="378"/>
      <c r="H50" s="378"/>
      <c r="I50" s="378"/>
      <c r="J50" s="378"/>
      <c r="K50" s="378"/>
      <c r="L50" s="378"/>
      <c r="M50" s="378"/>
      <c r="N50" s="378"/>
      <c r="O50" s="378"/>
      <c r="P50" s="378"/>
      <c r="Q50" s="378"/>
      <c r="R50" s="378"/>
      <c r="S50" s="379"/>
      <c r="T50" s="36"/>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5"/>
      <c r="BH50" s="5"/>
      <c r="BI50" s="5"/>
      <c r="BJ50" s="5"/>
      <c r="BK50" s="5"/>
      <c r="BL50" s="5"/>
      <c r="BM50" s="5"/>
      <c r="BN50" s="5"/>
      <c r="BO50" s="5"/>
      <c r="BP50" s="5"/>
      <c r="BQ50" s="5"/>
      <c r="BR50" s="5"/>
      <c r="BS50" s="5"/>
      <c r="BT50" s="5"/>
      <c r="BU50" s="5"/>
      <c r="BV50" s="5"/>
    </row>
    <row r="51" spans="1:74" ht="75" customHeight="1" x14ac:dyDescent="0.2">
      <c r="A51" s="5"/>
      <c r="B51" s="376" t="str">
        <f t="shared" si="14"/>
        <v/>
      </c>
      <c r="C51" s="377"/>
      <c r="D51" s="378"/>
      <c r="E51" s="378"/>
      <c r="F51" s="378"/>
      <c r="G51" s="378"/>
      <c r="H51" s="378"/>
      <c r="I51" s="378"/>
      <c r="J51" s="378"/>
      <c r="K51" s="378"/>
      <c r="L51" s="378"/>
      <c r="M51" s="378"/>
      <c r="N51" s="378"/>
      <c r="O51" s="378"/>
      <c r="P51" s="378"/>
      <c r="Q51" s="378"/>
      <c r="R51" s="378"/>
      <c r="S51" s="379"/>
      <c r="T51" s="36"/>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5"/>
      <c r="BH51" s="5"/>
      <c r="BI51" s="5"/>
      <c r="BJ51" s="5"/>
      <c r="BK51" s="5"/>
      <c r="BL51" s="5"/>
      <c r="BM51" s="5"/>
      <c r="BN51" s="5"/>
      <c r="BO51" s="5"/>
      <c r="BP51" s="5"/>
      <c r="BQ51" s="5"/>
      <c r="BR51" s="5"/>
      <c r="BS51" s="5"/>
      <c r="BT51" s="5"/>
      <c r="BU51" s="5"/>
      <c r="BV51" s="5"/>
    </row>
    <row r="52" spans="1:74" ht="75" customHeight="1" x14ac:dyDescent="0.2">
      <c r="A52" s="5"/>
      <c r="B52" s="376" t="str">
        <f t="shared" si="14"/>
        <v/>
      </c>
      <c r="C52" s="377"/>
      <c r="D52" s="378"/>
      <c r="E52" s="378"/>
      <c r="F52" s="378"/>
      <c r="G52" s="378"/>
      <c r="H52" s="378"/>
      <c r="I52" s="378"/>
      <c r="J52" s="378"/>
      <c r="K52" s="378"/>
      <c r="L52" s="378"/>
      <c r="M52" s="378"/>
      <c r="N52" s="378"/>
      <c r="O52" s="378"/>
      <c r="P52" s="378"/>
      <c r="Q52" s="378"/>
      <c r="R52" s="378"/>
      <c r="S52" s="379"/>
      <c r="T52" s="36"/>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5"/>
      <c r="BH52" s="5"/>
      <c r="BI52" s="5"/>
      <c r="BJ52" s="5"/>
      <c r="BK52" s="5"/>
      <c r="BL52" s="5"/>
      <c r="BM52" s="5"/>
      <c r="BN52" s="5"/>
      <c r="BO52" s="5"/>
      <c r="BP52" s="5"/>
      <c r="BQ52" s="5"/>
      <c r="BR52" s="5"/>
      <c r="BS52" s="5"/>
      <c r="BT52" s="5"/>
      <c r="BU52" s="5"/>
      <c r="BV52" s="5"/>
    </row>
    <row r="53" spans="1:74" ht="75" customHeight="1" x14ac:dyDescent="0.2">
      <c r="A53" s="5"/>
      <c r="B53" s="376" t="str">
        <f t="shared" si="14"/>
        <v/>
      </c>
      <c r="C53" s="377"/>
      <c r="D53" s="378"/>
      <c r="E53" s="378"/>
      <c r="F53" s="378"/>
      <c r="G53" s="378"/>
      <c r="H53" s="378"/>
      <c r="I53" s="378"/>
      <c r="J53" s="378"/>
      <c r="K53" s="378"/>
      <c r="L53" s="378"/>
      <c r="M53" s="378"/>
      <c r="N53" s="378"/>
      <c r="O53" s="378"/>
      <c r="P53" s="378"/>
      <c r="Q53" s="378"/>
      <c r="R53" s="378"/>
      <c r="S53" s="379"/>
      <c r="T53" s="36"/>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5"/>
      <c r="BH53" s="5"/>
      <c r="BI53" s="5"/>
      <c r="BJ53" s="5"/>
      <c r="BK53" s="5"/>
      <c r="BL53" s="5"/>
      <c r="BM53" s="5"/>
      <c r="BN53" s="5"/>
      <c r="BO53" s="5"/>
      <c r="BP53" s="5"/>
      <c r="BQ53" s="5"/>
      <c r="BR53" s="5"/>
      <c r="BS53" s="5"/>
      <c r="BT53" s="5"/>
      <c r="BU53" s="5"/>
      <c r="BV53" s="5"/>
    </row>
    <row r="54" spans="1:74" ht="75" customHeight="1" x14ac:dyDescent="0.2">
      <c r="A54" s="5"/>
      <c r="B54" s="376" t="str">
        <f t="shared" si="14"/>
        <v/>
      </c>
      <c r="C54" s="377"/>
      <c r="D54" s="378"/>
      <c r="E54" s="378"/>
      <c r="F54" s="378"/>
      <c r="G54" s="378"/>
      <c r="H54" s="378"/>
      <c r="I54" s="378"/>
      <c r="J54" s="378"/>
      <c r="K54" s="378"/>
      <c r="L54" s="378"/>
      <c r="M54" s="378"/>
      <c r="N54" s="378"/>
      <c r="O54" s="378"/>
      <c r="P54" s="378"/>
      <c r="Q54" s="378"/>
      <c r="R54" s="378"/>
      <c r="S54" s="379"/>
      <c r="T54" s="36"/>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5"/>
      <c r="BH54" s="5"/>
      <c r="BI54" s="5"/>
      <c r="BJ54" s="5"/>
      <c r="BK54" s="5"/>
      <c r="BL54" s="5"/>
      <c r="BM54" s="5"/>
      <c r="BN54" s="5"/>
      <c r="BO54" s="5"/>
      <c r="BP54" s="5"/>
      <c r="BQ54" s="5"/>
      <c r="BR54" s="5"/>
      <c r="BS54" s="5"/>
      <c r="BT54" s="5"/>
      <c r="BU54" s="5"/>
      <c r="BV54" s="5"/>
    </row>
    <row r="55" spans="1:74" ht="75" customHeight="1" x14ac:dyDescent="0.2">
      <c r="A55" s="5"/>
      <c r="B55" s="376" t="str">
        <f t="shared" si="14"/>
        <v/>
      </c>
      <c r="C55" s="377"/>
      <c r="D55" s="378"/>
      <c r="E55" s="378"/>
      <c r="F55" s="378"/>
      <c r="G55" s="378"/>
      <c r="H55" s="378"/>
      <c r="I55" s="378"/>
      <c r="J55" s="378"/>
      <c r="K55" s="378"/>
      <c r="L55" s="378"/>
      <c r="M55" s="378"/>
      <c r="N55" s="378"/>
      <c r="O55" s="378"/>
      <c r="P55" s="378"/>
      <c r="Q55" s="378"/>
      <c r="R55" s="378"/>
      <c r="S55" s="379"/>
      <c r="T55" s="36"/>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5"/>
      <c r="BH55" s="5"/>
      <c r="BI55" s="5"/>
      <c r="BJ55" s="5"/>
      <c r="BK55" s="5"/>
      <c r="BL55" s="5"/>
      <c r="BM55" s="5"/>
      <c r="BN55" s="5"/>
      <c r="BO55" s="5"/>
      <c r="BP55" s="5"/>
      <c r="BQ55" s="5"/>
      <c r="BR55" s="5"/>
      <c r="BS55" s="5"/>
      <c r="BT55" s="5"/>
      <c r="BU55" s="5"/>
      <c r="BV55" s="5"/>
    </row>
    <row r="56" spans="1:74" ht="75" customHeight="1" x14ac:dyDescent="0.2">
      <c r="A56" s="5"/>
      <c r="B56" s="376" t="str">
        <f t="shared" si="14"/>
        <v/>
      </c>
      <c r="C56" s="377"/>
      <c r="D56" s="378"/>
      <c r="E56" s="378"/>
      <c r="F56" s="378"/>
      <c r="G56" s="378"/>
      <c r="H56" s="378"/>
      <c r="I56" s="378"/>
      <c r="J56" s="378"/>
      <c r="K56" s="378"/>
      <c r="L56" s="378"/>
      <c r="M56" s="378"/>
      <c r="N56" s="378"/>
      <c r="O56" s="378"/>
      <c r="P56" s="378"/>
      <c r="Q56" s="378"/>
      <c r="R56" s="378"/>
      <c r="S56" s="379"/>
      <c r="T56" s="36"/>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5"/>
      <c r="BH56" s="5"/>
      <c r="BI56" s="5"/>
      <c r="BJ56" s="5"/>
      <c r="BK56" s="5"/>
      <c r="BL56" s="5"/>
      <c r="BM56" s="5"/>
      <c r="BN56" s="5"/>
      <c r="BO56" s="5"/>
      <c r="BP56" s="5"/>
      <c r="BQ56" s="5"/>
      <c r="BR56" s="5"/>
      <c r="BS56" s="5"/>
      <c r="BT56" s="5"/>
      <c r="BU56" s="5"/>
      <c r="BV56" s="5"/>
    </row>
    <row r="57" spans="1:74" ht="75" customHeight="1" x14ac:dyDescent="0.2">
      <c r="A57" s="5"/>
      <c r="B57" s="376" t="str">
        <f t="shared" si="14"/>
        <v/>
      </c>
      <c r="C57" s="377"/>
      <c r="D57" s="378"/>
      <c r="E57" s="378"/>
      <c r="F57" s="378"/>
      <c r="G57" s="378"/>
      <c r="H57" s="378"/>
      <c r="I57" s="378"/>
      <c r="J57" s="378"/>
      <c r="K57" s="378"/>
      <c r="L57" s="378"/>
      <c r="M57" s="378"/>
      <c r="N57" s="378"/>
      <c r="O57" s="378"/>
      <c r="P57" s="378"/>
      <c r="Q57" s="378"/>
      <c r="R57" s="378"/>
      <c r="S57" s="379"/>
      <c r="T57" s="36"/>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5"/>
      <c r="BH57" s="5"/>
      <c r="BI57" s="5"/>
      <c r="BJ57" s="5"/>
      <c r="BK57" s="5"/>
      <c r="BL57" s="5"/>
      <c r="BM57" s="5"/>
      <c r="BN57" s="5"/>
      <c r="BO57" s="5"/>
      <c r="BP57" s="5"/>
      <c r="BQ57" s="5"/>
      <c r="BR57" s="5"/>
      <c r="BS57" s="5"/>
      <c r="BT57" s="5"/>
      <c r="BU57" s="5"/>
      <c r="BV57" s="5"/>
    </row>
    <row r="58" spans="1:74" ht="75" customHeight="1" x14ac:dyDescent="0.2">
      <c r="A58" s="5"/>
      <c r="B58" s="376" t="str">
        <f t="shared" si="14"/>
        <v/>
      </c>
      <c r="C58" s="377"/>
      <c r="D58" s="378"/>
      <c r="E58" s="378"/>
      <c r="F58" s="378"/>
      <c r="G58" s="378"/>
      <c r="H58" s="378"/>
      <c r="I58" s="378"/>
      <c r="J58" s="378"/>
      <c r="K58" s="378"/>
      <c r="L58" s="378"/>
      <c r="M58" s="378"/>
      <c r="N58" s="378"/>
      <c r="O58" s="378"/>
      <c r="P58" s="378"/>
      <c r="Q58" s="378"/>
      <c r="R58" s="378"/>
      <c r="S58" s="379"/>
      <c r="T58" s="36"/>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5"/>
      <c r="BH58" s="5"/>
      <c r="BI58" s="5"/>
      <c r="BJ58" s="5"/>
      <c r="BK58" s="5"/>
      <c r="BL58" s="5"/>
      <c r="BM58" s="5"/>
      <c r="BN58" s="5"/>
      <c r="BO58" s="5"/>
      <c r="BP58" s="5"/>
      <c r="BQ58" s="5"/>
      <c r="BR58" s="5"/>
      <c r="BS58" s="5"/>
      <c r="BT58" s="5"/>
      <c r="BU58" s="5"/>
      <c r="BV58" s="5"/>
    </row>
    <row r="59" spans="1:74" ht="75" customHeight="1" x14ac:dyDescent="0.2">
      <c r="A59" s="5"/>
      <c r="B59" s="376" t="str">
        <f t="shared" si="14"/>
        <v/>
      </c>
      <c r="C59" s="377"/>
      <c r="D59" s="378"/>
      <c r="E59" s="378"/>
      <c r="F59" s="378"/>
      <c r="G59" s="378"/>
      <c r="H59" s="378"/>
      <c r="I59" s="378"/>
      <c r="J59" s="378"/>
      <c r="K59" s="378"/>
      <c r="L59" s="378"/>
      <c r="M59" s="378"/>
      <c r="N59" s="378"/>
      <c r="O59" s="378"/>
      <c r="P59" s="378"/>
      <c r="Q59" s="378"/>
      <c r="R59" s="378"/>
      <c r="S59" s="379"/>
      <c r="T59" s="36"/>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5"/>
      <c r="BH59" s="5"/>
      <c r="BI59" s="5"/>
      <c r="BJ59" s="5"/>
      <c r="BK59" s="5"/>
      <c r="BL59" s="5"/>
      <c r="BM59" s="5"/>
      <c r="BN59" s="5"/>
      <c r="BO59" s="5"/>
      <c r="BP59" s="5"/>
      <c r="BQ59" s="5"/>
      <c r="BR59" s="5"/>
      <c r="BS59" s="5"/>
      <c r="BT59" s="5"/>
      <c r="BU59" s="5"/>
      <c r="BV59" s="5"/>
    </row>
    <row r="60" spans="1:74" ht="75" customHeight="1" x14ac:dyDescent="0.2">
      <c r="A60" s="5"/>
      <c r="B60" s="376" t="str">
        <f t="shared" si="14"/>
        <v/>
      </c>
      <c r="C60" s="377"/>
      <c r="D60" s="378"/>
      <c r="E60" s="378"/>
      <c r="F60" s="378"/>
      <c r="G60" s="378"/>
      <c r="H60" s="378"/>
      <c r="I60" s="378"/>
      <c r="J60" s="378"/>
      <c r="K60" s="378"/>
      <c r="L60" s="378"/>
      <c r="M60" s="378"/>
      <c r="N60" s="378"/>
      <c r="O60" s="378"/>
      <c r="P60" s="378"/>
      <c r="Q60" s="378"/>
      <c r="R60" s="378"/>
      <c r="S60" s="379"/>
      <c r="T60" s="36"/>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5"/>
      <c r="BH60" s="5"/>
      <c r="BI60" s="5"/>
      <c r="BJ60" s="5"/>
      <c r="BK60" s="5"/>
      <c r="BL60" s="5"/>
      <c r="BM60" s="5"/>
      <c r="BN60" s="5"/>
      <c r="BO60" s="5"/>
      <c r="BP60" s="5"/>
      <c r="BQ60" s="5"/>
      <c r="BR60" s="5"/>
      <c r="BS60" s="5"/>
      <c r="BT60" s="5"/>
      <c r="BU60" s="5"/>
      <c r="BV60" s="5"/>
    </row>
    <row r="61" spans="1:74" ht="75" customHeight="1" x14ac:dyDescent="0.2">
      <c r="A61" s="5"/>
      <c r="B61" s="376" t="str">
        <f t="shared" si="14"/>
        <v/>
      </c>
      <c r="C61" s="377"/>
      <c r="D61" s="378"/>
      <c r="E61" s="378"/>
      <c r="F61" s="378"/>
      <c r="G61" s="378"/>
      <c r="H61" s="378"/>
      <c r="I61" s="378"/>
      <c r="J61" s="378"/>
      <c r="K61" s="378"/>
      <c r="L61" s="378"/>
      <c r="M61" s="378"/>
      <c r="N61" s="378"/>
      <c r="O61" s="378"/>
      <c r="P61" s="378"/>
      <c r="Q61" s="378"/>
      <c r="R61" s="378"/>
      <c r="S61" s="379"/>
      <c r="T61" s="36"/>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5"/>
      <c r="BH61" s="5"/>
      <c r="BI61" s="5"/>
      <c r="BJ61" s="5"/>
      <c r="BK61" s="5"/>
      <c r="BL61" s="5"/>
      <c r="BM61" s="5"/>
      <c r="BN61" s="5"/>
      <c r="BO61" s="5"/>
      <c r="BP61" s="5"/>
      <c r="BQ61" s="5"/>
      <c r="BR61" s="5"/>
      <c r="BS61" s="5"/>
      <c r="BT61" s="5"/>
      <c r="BU61" s="5"/>
      <c r="BV61" s="5"/>
    </row>
    <row r="62" spans="1:74" ht="75" customHeight="1" x14ac:dyDescent="0.2">
      <c r="A62" s="5"/>
      <c r="B62" s="376" t="str">
        <f t="shared" si="14"/>
        <v/>
      </c>
      <c r="C62" s="377"/>
      <c r="D62" s="378"/>
      <c r="E62" s="378"/>
      <c r="F62" s="378"/>
      <c r="G62" s="378"/>
      <c r="H62" s="378"/>
      <c r="I62" s="378"/>
      <c r="J62" s="378"/>
      <c r="K62" s="378"/>
      <c r="L62" s="378"/>
      <c r="M62" s="378"/>
      <c r="N62" s="378"/>
      <c r="O62" s="378"/>
      <c r="P62" s="378"/>
      <c r="Q62" s="378"/>
      <c r="R62" s="378"/>
      <c r="S62" s="379"/>
      <c r="T62" s="36"/>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5"/>
      <c r="BH62" s="5"/>
      <c r="BI62" s="5"/>
      <c r="BJ62" s="5"/>
      <c r="BK62" s="5"/>
      <c r="BL62" s="5"/>
      <c r="BM62" s="5"/>
      <c r="BN62" s="5"/>
      <c r="BO62" s="5"/>
      <c r="BP62" s="5"/>
      <c r="BQ62" s="5"/>
      <c r="BR62" s="5"/>
      <c r="BS62" s="5"/>
      <c r="BT62" s="5"/>
      <c r="BU62" s="5"/>
      <c r="BV62" s="5"/>
    </row>
    <row r="63" spans="1:74" ht="75" customHeight="1" x14ac:dyDescent="0.2">
      <c r="A63" s="5"/>
      <c r="B63" s="376" t="str">
        <f t="shared" si="14"/>
        <v/>
      </c>
      <c r="C63" s="377"/>
      <c r="D63" s="378"/>
      <c r="E63" s="378"/>
      <c r="F63" s="378"/>
      <c r="G63" s="378"/>
      <c r="H63" s="378"/>
      <c r="I63" s="378"/>
      <c r="J63" s="378"/>
      <c r="K63" s="378"/>
      <c r="L63" s="378"/>
      <c r="M63" s="378"/>
      <c r="N63" s="378"/>
      <c r="O63" s="378"/>
      <c r="P63" s="378"/>
      <c r="Q63" s="378"/>
      <c r="R63" s="378"/>
      <c r="S63" s="379"/>
      <c r="T63" s="36"/>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5"/>
      <c r="BH63" s="5"/>
      <c r="BI63" s="5"/>
      <c r="BJ63" s="5"/>
      <c r="BK63" s="5"/>
      <c r="BL63" s="5"/>
      <c r="BM63" s="5"/>
      <c r="BN63" s="5"/>
      <c r="BO63" s="5"/>
      <c r="BP63" s="5"/>
      <c r="BQ63" s="5"/>
      <c r="BR63" s="5"/>
      <c r="BS63" s="5"/>
      <c r="BT63" s="5"/>
      <c r="BU63" s="5"/>
      <c r="BV63" s="5"/>
    </row>
    <row r="64" spans="1:74" ht="75" customHeight="1" x14ac:dyDescent="0.2">
      <c r="A64" s="5"/>
      <c r="B64" s="376" t="str">
        <f t="shared" si="14"/>
        <v/>
      </c>
      <c r="C64" s="377"/>
      <c r="D64" s="378"/>
      <c r="E64" s="378"/>
      <c r="F64" s="378"/>
      <c r="G64" s="378"/>
      <c r="H64" s="378"/>
      <c r="I64" s="378"/>
      <c r="J64" s="378"/>
      <c r="K64" s="378"/>
      <c r="L64" s="378"/>
      <c r="M64" s="378"/>
      <c r="N64" s="378"/>
      <c r="O64" s="378"/>
      <c r="P64" s="378"/>
      <c r="Q64" s="378"/>
      <c r="R64" s="378"/>
      <c r="S64" s="379"/>
      <c r="T64" s="36"/>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5"/>
      <c r="BH64" s="5"/>
      <c r="BI64" s="5"/>
      <c r="BJ64" s="5"/>
      <c r="BK64" s="5"/>
      <c r="BL64" s="5"/>
      <c r="BM64" s="5"/>
      <c r="BN64" s="5"/>
      <c r="BO64" s="5"/>
      <c r="BP64" s="5"/>
      <c r="BQ64" s="5"/>
      <c r="BR64" s="5"/>
      <c r="BS64" s="5"/>
      <c r="BT64" s="5"/>
      <c r="BU64" s="5"/>
      <c r="BV64" s="5"/>
    </row>
    <row r="65" spans="1:74" ht="75" customHeight="1" x14ac:dyDescent="0.2">
      <c r="A65" s="5"/>
      <c r="B65" s="376" t="str">
        <f t="shared" si="14"/>
        <v/>
      </c>
      <c r="C65" s="377"/>
      <c r="D65" s="378"/>
      <c r="E65" s="378"/>
      <c r="F65" s="378"/>
      <c r="G65" s="378"/>
      <c r="H65" s="378"/>
      <c r="I65" s="378"/>
      <c r="J65" s="378"/>
      <c r="K65" s="378"/>
      <c r="L65" s="378"/>
      <c r="M65" s="378"/>
      <c r="N65" s="378"/>
      <c r="O65" s="378"/>
      <c r="P65" s="378"/>
      <c r="Q65" s="378"/>
      <c r="R65" s="378"/>
      <c r="S65" s="379"/>
      <c r="T65" s="36"/>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5"/>
      <c r="BH65" s="5"/>
      <c r="BI65" s="5"/>
      <c r="BJ65" s="5"/>
      <c r="BK65" s="5"/>
      <c r="BL65" s="5"/>
      <c r="BM65" s="5"/>
      <c r="BN65" s="5"/>
      <c r="BO65" s="5"/>
      <c r="BP65" s="5"/>
      <c r="BQ65" s="5"/>
      <c r="BR65" s="5"/>
      <c r="BS65" s="5"/>
      <c r="BT65" s="5"/>
      <c r="BU65" s="5"/>
      <c r="BV65" s="5"/>
    </row>
    <row r="66" spans="1:74" x14ac:dyDescent="0.2">
      <c r="A66" s="5"/>
      <c r="B66" s="5"/>
      <c r="C66" s="166"/>
      <c r="D66" s="166"/>
      <c r="E66" s="166"/>
      <c r="F66" s="166"/>
      <c r="G66" s="166"/>
      <c r="H66" s="166"/>
      <c r="I66" s="166"/>
      <c r="J66" s="166"/>
      <c r="K66" s="166"/>
      <c r="L66" s="166"/>
      <c r="M66" s="166"/>
      <c r="N66" s="166"/>
      <c r="O66" s="166"/>
      <c r="P66" s="166"/>
      <c r="Q66" s="5"/>
      <c r="R66" s="5"/>
      <c r="S66" s="5"/>
      <c r="T66" s="36"/>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5"/>
      <c r="BH66" s="5"/>
      <c r="BI66" s="5"/>
      <c r="BJ66" s="5"/>
      <c r="BK66" s="5"/>
      <c r="BL66" s="5"/>
      <c r="BM66" s="5"/>
      <c r="BN66" s="5"/>
      <c r="BO66" s="5"/>
      <c r="BP66" s="5"/>
      <c r="BQ66" s="5"/>
      <c r="BR66" s="5"/>
      <c r="BS66" s="5"/>
      <c r="BT66" s="5"/>
      <c r="BU66" s="5"/>
      <c r="BV66" s="5"/>
    </row>
    <row r="67" spans="1:74" x14ac:dyDescent="0.2">
      <c r="A67" s="5"/>
      <c r="B67" s="5"/>
      <c r="C67" s="166"/>
      <c r="D67" s="166"/>
      <c r="E67" s="166"/>
      <c r="F67" s="166"/>
      <c r="G67" s="166"/>
      <c r="H67" s="166"/>
      <c r="I67" s="166"/>
      <c r="J67" s="166"/>
      <c r="K67" s="166"/>
      <c r="L67" s="166"/>
      <c r="M67" s="166"/>
      <c r="N67" s="166"/>
      <c r="O67" s="166"/>
      <c r="P67" s="166"/>
      <c r="Q67" s="5"/>
      <c r="R67" s="5"/>
      <c r="S67" s="5"/>
      <c r="T67" s="36"/>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5"/>
      <c r="BH67" s="5"/>
      <c r="BI67" s="5"/>
      <c r="BJ67" s="5"/>
      <c r="BK67" s="5"/>
      <c r="BL67" s="5"/>
      <c r="BM67" s="5"/>
      <c r="BN67" s="5"/>
      <c r="BO67" s="5"/>
      <c r="BP67" s="5"/>
      <c r="BQ67" s="5"/>
      <c r="BR67" s="5"/>
      <c r="BS67" s="5"/>
      <c r="BT67" s="5"/>
      <c r="BU67" s="5"/>
      <c r="BV67" s="5"/>
    </row>
    <row r="68" spans="1:74" x14ac:dyDescent="0.2">
      <c r="A68" s="5"/>
      <c r="B68" s="5"/>
      <c r="C68" s="166"/>
      <c r="D68" s="166"/>
      <c r="E68" s="166"/>
      <c r="F68" s="166"/>
      <c r="G68" s="166"/>
      <c r="H68" s="166"/>
      <c r="I68" s="166"/>
      <c r="J68" s="166"/>
      <c r="K68" s="166"/>
      <c r="L68" s="166"/>
      <c r="M68" s="166"/>
      <c r="N68" s="166"/>
      <c r="O68" s="166"/>
      <c r="P68" s="166"/>
      <c r="Q68" s="5"/>
      <c r="R68" s="5"/>
      <c r="S68" s="5"/>
      <c r="T68" s="36"/>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5"/>
      <c r="BH68" s="5"/>
      <c r="BI68" s="5"/>
      <c r="BJ68" s="5"/>
      <c r="BK68" s="5"/>
      <c r="BL68" s="5"/>
      <c r="BM68" s="5"/>
      <c r="BN68" s="5"/>
      <c r="BO68" s="5"/>
      <c r="BP68" s="5"/>
      <c r="BQ68" s="5"/>
      <c r="BR68" s="5"/>
      <c r="BS68" s="5"/>
      <c r="BT68" s="5"/>
      <c r="BU68" s="5"/>
      <c r="BV68" s="5"/>
    </row>
    <row r="69" spans="1:74" x14ac:dyDescent="0.2">
      <c r="A69" s="5"/>
      <c r="B69" s="5"/>
      <c r="C69" s="5"/>
      <c r="D69" s="5"/>
      <c r="E69" s="5"/>
      <c r="F69" s="5"/>
      <c r="G69" s="5"/>
      <c r="H69" s="5"/>
      <c r="I69" s="5"/>
      <c r="J69" s="5"/>
      <c r="K69" s="5"/>
      <c r="L69" s="5"/>
      <c r="M69" s="5"/>
      <c r="N69" s="5"/>
      <c r="O69" s="5"/>
      <c r="P69" s="5"/>
      <c r="Q69" s="5"/>
      <c r="R69" s="5"/>
      <c r="S69" s="5"/>
      <c r="T69" s="5"/>
      <c r="U69" s="5"/>
      <c r="V69" s="5"/>
      <c r="W69" s="5"/>
      <c r="X69" s="5"/>
      <c r="Y69" s="5"/>
      <c r="Z69" s="5"/>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5"/>
      <c r="BH69" s="5"/>
      <c r="BI69" s="5"/>
    </row>
    <row r="70" spans="1:74" x14ac:dyDescent="0.2">
      <c r="A70" s="5"/>
      <c r="B70" s="5"/>
      <c r="C70" s="5"/>
      <c r="D70" s="5"/>
      <c r="E70" s="5"/>
      <c r="F70" s="5"/>
      <c r="G70" s="5"/>
      <c r="H70" s="5"/>
      <c r="I70" s="5"/>
      <c r="J70" s="5"/>
      <c r="K70" s="5"/>
      <c r="L70" s="5"/>
      <c r="M70" s="5"/>
      <c r="N70" s="5"/>
      <c r="O70" s="5"/>
      <c r="P70" s="5"/>
      <c r="Q70" s="5"/>
      <c r="R70" s="5"/>
      <c r="S70" s="5"/>
      <c r="T70" s="5"/>
      <c r="U70" s="5"/>
      <c r="V70" s="5"/>
      <c r="W70" s="5"/>
      <c r="X70" s="5"/>
      <c r="Y70" s="5"/>
      <c r="Z70" s="5"/>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5"/>
      <c r="BH70" s="5"/>
      <c r="BI70" s="5"/>
    </row>
    <row r="71" spans="1:74" x14ac:dyDescent="0.2">
      <c r="A71" s="5"/>
      <c r="B71" s="5"/>
      <c r="C71" s="5"/>
      <c r="D71" s="5"/>
      <c r="E71" s="5"/>
      <c r="F71" s="5"/>
      <c r="G71" s="5"/>
      <c r="H71" s="5"/>
      <c r="I71" s="5"/>
      <c r="J71" s="5"/>
      <c r="K71" s="5"/>
      <c r="L71" s="5"/>
      <c r="M71" s="5"/>
      <c r="N71" s="5"/>
      <c r="O71" s="5"/>
      <c r="P71" s="5"/>
      <c r="Q71" s="5"/>
      <c r="R71" s="5"/>
      <c r="S71" s="5"/>
      <c r="T71" s="5"/>
      <c r="U71" s="5"/>
      <c r="V71" s="5"/>
      <c r="W71" s="5"/>
      <c r="X71" s="5"/>
      <c r="Y71" s="5"/>
      <c r="Z71" s="5"/>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5"/>
      <c r="BH71" s="5"/>
      <c r="BI71" s="5"/>
    </row>
    <row r="72" spans="1:74" x14ac:dyDescent="0.2">
      <c r="A72" s="5"/>
      <c r="B72" s="5"/>
      <c r="C72" s="5"/>
      <c r="D72" s="5"/>
      <c r="E72" s="5"/>
      <c r="F72" s="5"/>
      <c r="G72" s="5"/>
      <c r="H72" s="5"/>
      <c r="I72" s="5"/>
      <c r="J72" s="5"/>
      <c r="K72" s="5"/>
      <c r="L72" s="5"/>
      <c r="M72" s="5"/>
      <c r="N72" s="5"/>
      <c r="O72" s="5"/>
      <c r="P72" s="5"/>
      <c r="Q72" s="5"/>
      <c r="R72" s="5"/>
      <c r="S72" s="5"/>
      <c r="T72" s="5"/>
      <c r="U72" s="5"/>
      <c r="V72" s="5"/>
      <c r="W72" s="5"/>
      <c r="X72" s="5"/>
      <c r="Y72" s="5"/>
      <c r="Z72" s="5"/>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5"/>
      <c r="BH72" s="5"/>
      <c r="BI72" s="5"/>
    </row>
    <row r="73" spans="1:74" x14ac:dyDescent="0.2">
      <c r="A73" s="5"/>
      <c r="B73" s="5"/>
      <c r="C73" s="5"/>
      <c r="D73" s="5"/>
      <c r="E73" s="5"/>
      <c r="F73" s="5"/>
      <c r="G73" s="5"/>
      <c r="H73" s="5"/>
      <c r="I73" s="5"/>
      <c r="J73" s="5"/>
      <c r="K73" s="5"/>
      <c r="L73" s="5"/>
      <c r="M73" s="5"/>
      <c r="N73" s="5"/>
      <c r="O73" s="5"/>
      <c r="P73" s="5"/>
      <c r="Q73" s="5"/>
      <c r="R73" s="5"/>
      <c r="S73" s="5"/>
      <c r="T73" s="5"/>
      <c r="U73" s="5"/>
      <c r="V73" s="5"/>
      <c r="W73" s="5"/>
      <c r="X73" s="5"/>
      <c r="Y73" s="5"/>
      <c r="Z73" s="5"/>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5"/>
      <c r="BH73" s="5"/>
      <c r="BI73" s="5"/>
    </row>
    <row r="74" spans="1:74" x14ac:dyDescent="0.2">
      <c r="A74" s="5"/>
      <c r="B74" s="5"/>
      <c r="C74" s="5"/>
      <c r="D74" s="5"/>
      <c r="E74" s="5"/>
      <c r="F74" s="5"/>
      <c r="G74" s="5"/>
      <c r="H74" s="5"/>
      <c r="I74" s="5"/>
      <c r="J74" s="5"/>
      <c r="K74" s="5"/>
      <c r="L74" s="5"/>
      <c r="M74" s="5"/>
      <c r="N74" s="5"/>
      <c r="O74" s="5"/>
      <c r="P74" s="5"/>
      <c r="Q74" s="5"/>
      <c r="R74" s="5"/>
      <c r="S74" s="5"/>
      <c r="T74" s="5"/>
      <c r="U74" s="5"/>
      <c r="V74" s="5"/>
      <c r="W74" s="5"/>
      <c r="X74" s="5"/>
      <c r="Y74" s="5"/>
      <c r="Z74" s="5"/>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5"/>
      <c r="BH74" s="5"/>
      <c r="BI74" s="5"/>
    </row>
    <row r="75" spans="1:74" x14ac:dyDescent="0.2">
      <c r="A75" s="5"/>
      <c r="B75" s="5"/>
      <c r="C75" s="5"/>
      <c r="D75" s="5"/>
      <c r="E75" s="5"/>
      <c r="F75" s="5"/>
      <c r="G75" s="5"/>
      <c r="H75" s="5"/>
      <c r="I75" s="5"/>
      <c r="J75" s="5"/>
      <c r="K75" s="5"/>
      <c r="L75" s="5"/>
      <c r="M75" s="5"/>
      <c r="N75" s="5"/>
      <c r="O75" s="5"/>
      <c r="P75" s="5"/>
      <c r="Q75" s="5"/>
      <c r="R75" s="5"/>
      <c r="S75" s="5"/>
      <c r="T75" s="5"/>
      <c r="U75" s="5"/>
      <c r="V75" s="5"/>
      <c r="W75" s="5"/>
      <c r="X75" s="5"/>
      <c r="Y75" s="5"/>
      <c r="Z75" s="5"/>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5"/>
      <c r="BH75" s="5"/>
      <c r="BI75" s="5"/>
    </row>
    <row r="76" spans="1:74" x14ac:dyDescent="0.2">
      <c r="A76" s="5"/>
      <c r="B76" s="5"/>
      <c r="C76" s="5"/>
      <c r="D76" s="5"/>
      <c r="E76" s="5"/>
      <c r="F76" s="5"/>
      <c r="G76" s="5"/>
      <c r="H76" s="5"/>
      <c r="I76" s="5"/>
      <c r="J76" s="5"/>
      <c r="K76" s="5"/>
      <c r="L76" s="5"/>
      <c r="M76" s="5"/>
      <c r="N76" s="5"/>
      <c r="O76" s="5"/>
      <c r="P76" s="5"/>
      <c r="Q76" s="5"/>
      <c r="R76" s="5"/>
      <c r="S76" s="5"/>
      <c r="T76" s="5"/>
      <c r="U76" s="5"/>
      <c r="V76" s="5"/>
      <c r="W76" s="5"/>
      <c r="X76" s="5"/>
      <c r="Y76" s="5"/>
      <c r="Z76" s="5"/>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5"/>
      <c r="BH76" s="5"/>
      <c r="BI76" s="5"/>
    </row>
    <row r="77" spans="1:74" x14ac:dyDescent="0.2">
      <c r="A77" s="5"/>
      <c r="B77" s="5"/>
      <c r="C77" s="5"/>
      <c r="D77" s="5"/>
      <c r="E77" s="5"/>
      <c r="F77" s="5"/>
      <c r="G77" s="5"/>
      <c r="H77" s="5"/>
      <c r="I77" s="5"/>
      <c r="J77" s="5"/>
      <c r="K77" s="5"/>
      <c r="L77" s="5"/>
      <c r="M77" s="5"/>
      <c r="N77" s="5"/>
      <c r="O77" s="5"/>
      <c r="P77" s="5"/>
      <c r="Q77" s="5"/>
      <c r="R77" s="5"/>
      <c r="S77" s="5"/>
      <c r="T77" s="5"/>
      <c r="U77" s="5"/>
      <c r="V77" s="5"/>
      <c r="W77" s="5"/>
      <c r="X77" s="5"/>
      <c r="Y77" s="5"/>
      <c r="Z77" s="5"/>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5"/>
      <c r="BH77" s="5"/>
      <c r="BI77" s="5"/>
    </row>
    <row r="78" spans="1:74" x14ac:dyDescent="0.2">
      <c r="A78" s="5"/>
      <c r="B78" s="5"/>
      <c r="C78" s="5"/>
      <c r="D78" s="5"/>
      <c r="E78" s="5"/>
      <c r="F78" s="5"/>
      <c r="G78" s="5"/>
      <c r="H78" s="5"/>
      <c r="I78" s="5"/>
      <c r="J78" s="5"/>
      <c r="K78" s="5"/>
      <c r="L78" s="5"/>
      <c r="M78" s="5"/>
      <c r="N78" s="5"/>
      <c r="O78" s="5"/>
      <c r="P78" s="5"/>
      <c r="Q78" s="5"/>
      <c r="R78" s="5"/>
      <c r="S78" s="5"/>
      <c r="T78" s="5"/>
      <c r="U78" s="5"/>
      <c r="V78" s="5"/>
      <c r="W78" s="5"/>
      <c r="X78" s="5"/>
      <c r="Y78" s="5"/>
      <c r="Z78" s="5"/>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5"/>
      <c r="BH78" s="5"/>
      <c r="BI78" s="5"/>
    </row>
    <row r="79" spans="1:74" x14ac:dyDescent="0.2">
      <c r="A79" s="5"/>
      <c r="B79" s="5"/>
      <c r="C79" s="5"/>
      <c r="D79" s="5"/>
      <c r="E79" s="5"/>
      <c r="F79" s="5"/>
      <c r="G79" s="5"/>
      <c r="H79" s="5"/>
      <c r="I79" s="5"/>
      <c r="J79" s="5"/>
      <c r="K79" s="5"/>
      <c r="L79" s="5"/>
      <c r="M79" s="5"/>
      <c r="N79" s="5"/>
      <c r="O79" s="5"/>
      <c r="P79" s="5"/>
      <c r="Q79" s="5"/>
      <c r="R79" s="5"/>
      <c r="S79" s="5"/>
      <c r="T79" s="5"/>
      <c r="U79" s="5"/>
      <c r="V79" s="5"/>
      <c r="W79" s="5"/>
      <c r="X79" s="5"/>
      <c r="Y79" s="5"/>
      <c r="Z79" s="5"/>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5"/>
      <c r="BH79" s="5"/>
      <c r="BI79" s="5"/>
    </row>
    <row r="80" spans="1:74" x14ac:dyDescent="0.2">
      <c r="A80" s="5"/>
      <c r="B80" s="5"/>
      <c r="C80" s="5"/>
      <c r="D80" s="5"/>
      <c r="E80" s="5"/>
      <c r="F80" s="5"/>
      <c r="G80" s="5"/>
      <c r="H80" s="5"/>
      <c r="I80" s="5"/>
      <c r="J80" s="5"/>
      <c r="K80" s="5"/>
      <c r="L80" s="5"/>
      <c r="M80" s="5"/>
      <c r="N80" s="5"/>
      <c r="O80" s="5"/>
      <c r="P80" s="5"/>
      <c r="Q80" s="5"/>
      <c r="R80" s="5"/>
      <c r="S80" s="5"/>
      <c r="T80" s="5"/>
      <c r="U80" s="5"/>
      <c r="V80" s="5"/>
      <c r="W80" s="5"/>
      <c r="X80" s="5"/>
      <c r="Y80" s="5"/>
      <c r="Z80" s="5"/>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5"/>
      <c r="BH80" s="5"/>
      <c r="BI80" s="5"/>
    </row>
    <row r="81" spans="1:61" x14ac:dyDescent="0.2">
      <c r="A81" s="5"/>
      <c r="B81" s="5"/>
      <c r="C81" s="5"/>
      <c r="D81" s="5"/>
      <c r="E81" s="5"/>
      <c r="F81" s="5"/>
      <c r="G81" s="5"/>
      <c r="H81" s="5"/>
      <c r="I81" s="5"/>
      <c r="J81" s="5"/>
      <c r="K81" s="5"/>
      <c r="L81" s="5"/>
      <c r="M81" s="5"/>
      <c r="N81" s="5"/>
      <c r="O81" s="5"/>
      <c r="P81" s="5"/>
      <c r="Q81" s="5"/>
      <c r="R81" s="5"/>
      <c r="S81" s="5"/>
      <c r="T81" s="5"/>
      <c r="U81" s="5"/>
      <c r="V81" s="5"/>
      <c r="W81" s="5"/>
      <c r="X81" s="5"/>
      <c r="Y81" s="5"/>
      <c r="Z81" s="5"/>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5"/>
      <c r="BH81" s="5"/>
      <c r="BI81" s="5"/>
    </row>
    <row r="82" spans="1:61" x14ac:dyDescent="0.2">
      <c r="A82" s="5"/>
      <c r="B82" s="5"/>
      <c r="C82" s="5"/>
      <c r="D82" s="5"/>
      <c r="E82" s="5"/>
      <c r="F82" s="5"/>
      <c r="G82" s="5"/>
      <c r="H82" s="5"/>
      <c r="I82" s="5"/>
      <c r="J82" s="5"/>
      <c r="K82" s="5"/>
      <c r="L82" s="5"/>
      <c r="M82" s="5"/>
      <c r="N82" s="5"/>
      <c r="O82" s="5"/>
      <c r="P82" s="5"/>
      <c r="Q82" s="5"/>
      <c r="R82" s="5"/>
      <c r="S82" s="5"/>
      <c r="T82" s="5"/>
      <c r="U82" s="5"/>
      <c r="V82" s="5"/>
      <c r="W82" s="5"/>
      <c r="X82" s="5"/>
      <c r="Y82" s="5"/>
      <c r="Z82" s="5"/>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5"/>
      <c r="BH82" s="5"/>
      <c r="BI82" s="5"/>
    </row>
    <row r="83" spans="1:61" x14ac:dyDescent="0.2">
      <c r="A83" s="5"/>
      <c r="B83" s="5"/>
      <c r="C83" s="5"/>
      <c r="D83" s="5"/>
      <c r="E83" s="5"/>
      <c r="F83" s="5"/>
      <c r="G83" s="5"/>
      <c r="H83" s="5"/>
      <c r="I83" s="5"/>
      <c r="J83" s="5"/>
      <c r="K83" s="5"/>
      <c r="L83" s="5"/>
      <c r="M83" s="5"/>
      <c r="N83" s="5"/>
      <c r="O83" s="5"/>
      <c r="P83" s="5"/>
      <c r="Q83" s="5"/>
      <c r="R83" s="5"/>
      <c r="S83" s="5"/>
      <c r="T83" s="5"/>
      <c r="U83" s="5"/>
      <c r="V83" s="5"/>
      <c r="W83" s="5"/>
      <c r="X83" s="5"/>
      <c r="Y83" s="5"/>
      <c r="Z83" s="5"/>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5"/>
      <c r="BH83" s="5"/>
      <c r="BI83" s="5"/>
    </row>
    <row r="84" spans="1:61" x14ac:dyDescent="0.2">
      <c r="A84" s="5"/>
      <c r="B84" s="5"/>
      <c r="C84" s="5"/>
      <c r="D84" s="5"/>
      <c r="E84" s="5"/>
      <c r="F84" s="5"/>
      <c r="G84" s="5"/>
      <c r="H84" s="5"/>
      <c r="I84" s="5"/>
      <c r="J84" s="5"/>
      <c r="K84" s="5"/>
      <c r="L84" s="5"/>
      <c r="M84" s="5"/>
      <c r="N84" s="5"/>
      <c r="O84" s="5"/>
      <c r="P84" s="5"/>
      <c r="Q84" s="5"/>
      <c r="R84" s="5"/>
      <c r="S84" s="5"/>
      <c r="T84" s="5"/>
      <c r="U84" s="5"/>
      <c r="V84" s="5"/>
      <c r="W84" s="5"/>
      <c r="X84" s="5"/>
      <c r="Y84" s="5"/>
      <c r="Z84" s="5"/>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5"/>
      <c r="BH84" s="5"/>
      <c r="BI84" s="5"/>
    </row>
    <row r="85" spans="1:61" x14ac:dyDescent="0.2">
      <c r="A85" s="5"/>
      <c r="B85" s="5"/>
      <c r="C85" s="5"/>
      <c r="D85" s="5"/>
      <c r="E85" s="5"/>
      <c r="F85" s="5"/>
      <c r="G85" s="5"/>
      <c r="H85" s="5"/>
      <c r="I85" s="5"/>
      <c r="J85" s="5"/>
      <c r="K85" s="5"/>
      <c r="L85" s="5"/>
      <c r="M85" s="5"/>
      <c r="N85" s="5"/>
      <c r="O85" s="5"/>
      <c r="P85" s="5"/>
      <c r="Q85" s="5"/>
      <c r="R85" s="5"/>
      <c r="S85" s="5"/>
      <c r="T85" s="5"/>
      <c r="U85" s="5"/>
      <c r="V85" s="5"/>
      <c r="W85" s="5"/>
      <c r="X85" s="5"/>
      <c r="Y85" s="5"/>
      <c r="Z85" s="5"/>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5"/>
      <c r="BH85" s="5"/>
      <c r="BI85" s="5"/>
    </row>
    <row r="86" spans="1:61" x14ac:dyDescent="0.2">
      <c r="A86" s="5"/>
      <c r="B86" s="5"/>
      <c r="C86" s="5"/>
      <c r="D86" s="5"/>
      <c r="E86" s="5"/>
      <c r="F86" s="5"/>
      <c r="G86" s="5"/>
      <c r="H86" s="5"/>
      <c r="I86" s="5"/>
      <c r="J86" s="5"/>
      <c r="K86" s="5"/>
      <c r="L86" s="5"/>
      <c r="M86" s="5"/>
      <c r="N86" s="5"/>
      <c r="O86" s="5"/>
      <c r="P86" s="5"/>
      <c r="Q86" s="5"/>
      <c r="R86" s="5"/>
      <c r="S86" s="5"/>
      <c r="T86" s="5"/>
      <c r="U86" s="5"/>
      <c r="V86" s="5"/>
      <c r="W86" s="5"/>
      <c r="X86" s="5"/>
      <c r="Y86" s="5"/>
      <c r="Z86" s="5"/>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5"/>
      <c r="BH86" s="5"/>
      <c r="BI86" s="5"/>
    </row>
    <row r="87" spans="1:61" x14ac:dyDescent="0.2">
      <c r="A87" s="5"/>
      <c r="B87" s="5"/>
      <c r="C87" s="5"/>
      <c r="D87" s="5"/>
      <c r="E87" s="5"/>
      <c r="F87" s="5"/>
      <c r="G87" s="5"/>
      <c r="H87" s="5"/>
      <c r="I87" s="5"/>
      <c r="J87" s="5"/>
      <c r="K87" s="5"/>
      <c r="L87" s="5"/>
      <c r="M87" s="5"/>
      <c r="N87" s="5"/>
      <c r="O87" s="5"/>
      <c r="P87" s="5"/>
      <c r="Q87" s="5"/>
      <c r="R87" s="5"/>
      <c r="S87" s="5"/>
      <c r="T87" s="5"/>
      <c r="U87" s="5"/>
      <c r="V87" s="5"/>
      <c r="W87" s="5"/>
      <c r="X87" s="5"/>
      <c r="Y87" s="5"/>
      <c r="Z87" s="5"/>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5"/>
      <c r="BH87" s="5"/>
      <c r="BI87" s="5"/>
    </row>
    <row r="88" spans="1:61" x14ac:dyDescent="0.2">
      <c r="A88" s="5"/>
      <c r="B88" s="5"/>
      <c r="C88" s="5"/>
      <c r="D88" s="5"/>
      <c r="E88" s="5"/>
      <c r="F88" s="5"/>
      <c r="G88" s="5"/>
      <c r="H88" s="5"/>
      <c r="I88" s="5"/>
      <c r="J88" s="5"/>
      <c r="K88" s="5"/>
      <c r="L88" s="5"/>
      <c r="M88" s="5"/>
      <c r="N88" s="5"/>
      <c r="O88" s="5"/>
      <c r="P88" s="5"/>
      <c r="Q88" s="5"/>
      <c r="R88" s="5"/>
      <c r="S88" s="5"/>
      <c r="T88" s="5"/>
      <c r="U88" s="5"/>
      <c r="V88" s="5"/>
      <c r="W88" s="5"/>
      <c r="X88" s="5"/>
      <c r="Y88" s="5"/>
      <c r="Z88" s="5"/>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5"/>
      <c r="BH88" s="5"/>
      <c r="BI88" s="5"/>
    </row>
    <row r="89" spans="1:61" x14ac:dyDescent="0.2">
      <c r="A89" s="5"/>
      <c r="B89" s="5"/>
      <c r="C89" s="5"/>
      <c r="D89" s="5"/>
      <c r="E89" s="5"/>
      <c r="F89" s="5"/>
      <c r="G89" s="5"/>
      <c r="H89" s="5"/>
      <c r="I89" s="5"/>
      <c r="J89" s="5"/>
      <c r="K89" s="5"/>
      <c r="L89" s="5"/>
      <c r="M89" s="5"/>
      <c r="N89" s="5"/>
      <c r="O89" s="5"/>
      <c r="P89" s="5"/>
      <c r="Q89" s="5"/>
      <c r="R89" s="5"/>
      <c r="S89" s="5"/>
      <c r="T89" s="5"/>
      <c r="U89" s="5"/>
      <c r="V89" s="5"/>
      <c r="W89" s="5"/>
      <c r="X89" s="5"/>
      <c r="Y89" s="5"/>
      <c r="Z89" s="5"/>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5"/>
      <c r="BH89" s="5"/>
      <c r="BI89" s="5"/>
    </row>
    <row r="90" spans="1:61" x14ac:dyDescent="0.2">
      <c r="A90" s="5"/>
      <c r="B90" s="5"/>
      <c r="C90" s="5"/>
      <c r="D90" s="5"/>
      <c r="E90" s="5"/>
      <c r="F90" s="5"/>
      <c r="G90" s="5"/>
      <c r="H90" s="5"/>
      <c r="I90" s="5"/>
      <c r="J90" s="5"/>
      <c r="K90" s="5"/>
      <c r="L90" s="5"/>
      <c r="M90" s="5"/>
      <c r="N90" s="5"/>
      <c r="O90" s="5"/>
      <c r="P90" s="5"/>
      <c r="Q90" s="5"/>
      <c r="R90" s="5"/>
      <c r="S90" s="5"/>
      <c r="T90" s="5"/>
      <c r="U90" s="5"/>
      <c r="V90" s="5"/>
      <c r="W90" s="5"/>
      <c r="X90" s="5"/>
      <c r="Y90" s="5"/>
      <c r="Z90" s="5"/>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5"/>
      <c r="BH90" s="5"/>
      <c r="BI90" s="5"/>
    </row>
    <row r="91" spans="1:61" x14ac:dyDescent="0.2">
      <c r="A91" s="5"/>
      <c r="B91" s="5"/>
      <c r="C91" s="5"/>
      <c r="D91" s="5"/>
      <c r="E91" s="5"/>
      <c r="F91" s="5"/>
      <c r="G91" s="5"/>
      <c r="H91" s="5"/>
      <c r="I91" s="5"/>
      <c r="J91" s="5"/>
      <c r="K91" s="5"/>
      <c r="L91" s="5"/>
      <c r="M91" s="5"/>
      <c r="N91" s="5"/>
      <c r="O91" s="5"/>
      <c r="P91" s="5"/>
      <c r="Q91" s="5"/>
      <c r="R91" s="5"/>
      <c r="S91" s="5"/>
      <c r="T91" s="5"/>
      <c r="U91" s="5"/>
      <c r="V91" s="5"/>
      <c r="W91" s="5"/>
      <c r="X91" s="5"/>
      <c r="Y91" s="5"/>
      <c r="Z91" s="5"/>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5"/>
      <c r="BH91" s="5"/>
      <c r="BI91" s="5"/>
    </row>
    <row r="92" spans="1:61" x14ac:dyDescent="0.2">
      <c r="A92" s="5"/>
      <c r="B92" s="5"/>
      <c r="C92" s="5"/>
      <c r="D92" s="5"/>
      <c r="E92" s="5"/>
      <c r="F92" s="5"/>
      <c r="G92" s="5"/>
      <c r="H92" s="5"/>
      <c r="I92" s="5"/>
      <c r="J92" s="5"/>
      <c r="K92" s="5"/>
      <c r="L92" s="5"/>
      <c r="M92" s="5"/>
      <c r="N92" s="5"/>
      <c r="O92" s="5"/>
      <c r="P92" s="5"/>
      <c r="Q92" s="5"/>
      <c r="R92" s="5"/>
      <c r="S92" s="5"/>
      <c r="T92" s="5"/>
      <c r="U92" s="5"/>
      <c r="V92" s="5"/>
      <c r="W92" s="5"/>
      <c r="X92" s="5"/>
      <c r="Y92" s="5"/>
      <c r="Z92" s="5"/>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5"/>
      <c r="BH92" s="5"/>
      <c r="BI92" s="5"/>
    </row>
    <row r="93" spans="1:61" x14ac:dyDescent="0.2">
      <c r="A93" s="5"/>
      <c r="B93" s="5"/>
      <c r="C93" s="5"/>
      <c r="D93" s="5"/>
      <c r="E93" s="5"/>
      <c r="F93" s="5"/>
      <c r="G93" s="5"/>
      <c r="H93" s="5"/>
      <c r="I93" s="5"/>
      <c r="J93" s="5"/>
      <c r="K93" s="5"/>
      <c r="L93" s="5"/>
      <c r="M93" s="5"/>
      <c r="N93" s="5"/>
      <c r="O93" s="5"/>
      <c r="P93" s="5"/>
      <c r="Q93" s="5"/>
      <c r="R93" s="5"/>
      <c r="S93" s="5"/>
      <c r="T93" s="5"/>
      <c r="U93" s="5"/>
      <c r="V93" s="5"/>
      <c r="W93" s="5"/>
      <c r="X93" s="5"/>
      <c r="Y93" s="5"/>
      <c r="Z93" s="5"/>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5"/>
      <c r="BH93" s="5"/>
      <c r="BI93" s="5"/>
    </row>
    <row r="94" spans="1:61" x14ac:dyDescent="0.2">
      <c r="A94" s="5"/>
      <c r="B94" s="5"/>
      <c r="C94" s="5"/>
      <c r="D94" s="5"/>
      <c r="E94" s="5"/>
      <c r="F94" s="5"/>
      <c r="G94" s="5"/>
      <c r="H94" s="5"/>
      <c r="I94" s="5"/>
      <c r="J94" s="5"/>
      <c r="K94" s="5"/>
      <c r="L94" s="5"/>
      <c r="M94" s="5"/>
      <c r="N94" s="5"/>
      <c r="O94" s="5"/>
      <c r="P94" s="5"/>
      <c r="Q94" s="5"/>
      <c r="R94" s="5"/>
      <c r="S94" s="5"/>
      <c r="T94" s="5"/>
      <c r="U94" s="5"/>
      <c r="V94" s="5"/>
      <c r="W94" s="5"/>
      <c r="X94" s="5"/>
      <c r="Y94" s="5"/>
      <c r="Z94" s="5"/>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5"/>
      <c r="BH94" s="5"/>
      <c r="BI94" s="5"/>
    </row>
    <row r="95" spans="1:61" x14ac:dyDescent="0.2">
      <c r="A95" s="5"/>
      <c r="B95" s="5"/>
      <c r="C95" s="5"/>
      <c r="D95" s="5"/>
      <c r="E95" s="5"/>
      <c r="F95" s="5"/>
      <c r="G95" s="5"/>
      <c r="H95" s="5"/>
      <c r="I95" s="5"/>
      <c r="J95" s="5"/>
      <c r="K95" s="5"/>
      <c r="L95" s="5"/>
      <c r="M95" s="5"/>
      <c r="N95" s="5"/>
      <c r="O95" s="5"/>
      <c r="P95" s="5"/>
      <c r="Q95" s="5"/>
      <c r="R95" s="5"/>
      <c r="S95" s="5"/>
      <c r="T95" s="5"/>
      <c r="U95" s="5"/>
      <c r="V95" s="5"/>
      <c r="W95" s="5"/>
      <c r="X95" s="5"/>
      <c r="Y95" s="5"/>
      <c r="Z95" s="5"/>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5"/>
      <c r="BH95" s="5"/>
      <c r="BI95" s="5"/>
    </row>
    <row r="96" spans="1:61" x14ac:dyDescent="0.2">
      <c r="A96" s="5"/>
      <c r="B96" s="5"/>
      <c r="C96" s="5"/>
      <c r="D96" s="5"/>
      <c r="E96" s="5"/>
      <c r="F96" s="5"/>
      <c r="G96" s="5"/>
      <c r="H96" s="5"/>
      <c r="I96" s="5"/>
      <c r="J96" s="5"/>
      <c r="K96" s="5"/>
      <c r="L96" s="5"/>
      <c r="M96" s="5"/>
      <c r="N96" s="5"/>
      <c r="O96" s="5"/>
      <c r="P96" s="5"/>
      <c r="Q96" s="5"/>
      <c r="R96" s="5"/>
      <c r="S96" s="5"/>
      <c r="T96" s="5"/>
      <c r="U96" s="5"/>
      <c r="V96" s="5"/>
      <c r="W96" s="5"/>
      <c r="X96" s="5"/>
      <c r="Y96" s="5"/>
      <c r="Z96" s="5"/>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5"/>
      <c r="BH96" s="5"/>
      <c r="BI96" s="5"/>
    </row>
    <row r="97" spans="1:61" x14ac:dyDescent="0.2">
      <c r="A97" s="5"/>
      <c r="B97" s="5"/>
      <c r="C97" s="5"/>
      <c r="D97" s="5"/>
      <c r="E97" s="5"/>
      <c r="F97" s="5"/>
      <c r="G97" s="5"/>
      <c r="H97" s="5"/>
      <c r="I97" s="5"/>
      <c r="J97" s="5"/>
      <c r="K97" s="5"/>
      <c r="L97" s="5"/>
      <c r="M97" s="5"/>
      <c r="N97" s="5"/>
      <c r="O97" s="5"/>
      <c r="P97" s="5"/>
      <c r="Q97" s="5"/>
      <c r="R97" s="5"/>
      <c r="S97" s="5"/>
      <c r="T97" s="5"/>
      <c r="U97" s="5"/>
      <c r="V97" s="5"/>
      <c r="W97" s="5"/>
      <c r="X97" s="5"/>
      <c r="Y97" s="5"/>
      <c r="Z97" s="5"/>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5"/>
      <c r="BH97" s="5"/>
      <c r="BI97" s="5"/>
    </row>
    <row r="98" spans="1:61" x14ac:dyDescent="0.2">
      <c r="A98" s="5"/>
      <c r="B98" s="5"/>
      <c r="C98" s="5"/>
      <c r="D98" s="5"/>
      <c r="E98" s="5"/>
      <c r="F98" s="5"/>
      <c r="G98" s="5"/>
      <c r="H98" s="5"/>
      <c r="I98" s="5"/>
      <c r="J98" s="5"/>
      <c r="K98" s="5"/>
      <c r="L98" s="5"/>
      <c r="M98" s="5"/>
      <c r="N98" s="5"/>
      <c r="O98" s="5"/>
      <c r="P98" s="5"/>
      <c r="Q98" s="5"/>
      <c r="R98" s="5"/>
      <c r="S98" s="5"/>
      <c r="T98" s="5"/>
      <c r="U98" s="5"/>
      <c r="V98" s="5"/>
      <c r="W98" s="5"/>
      <c r="X98" s="5"/>
      <c r="Y98" s="5"/>
      <c r="Z98" s="5"/>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5"/>
      <c r="BH98" s="5"/>
      <c r="BI98" s="5"/>
    </row>
    <row r="99" spans="1:61" x14ac:dyDescent="0.2">
      <c r="A99" s="5"/>
      <c r="B99" s="5"/>
      <c r="C99" s="5"/>
      <c r="D99" s="5"/>
      <c r="E99" s="5"/>
      <c r="F99" s="5"/>
      <c r="G99" s="5"/>
      <c r="H99" s="5"/>
      <c r="I99" s="5"/>
      <c r="J99" s="5"/>
      <c r="K99" s="5"/>
      <c r="L99" s="5"/>
      <c r="M99" s="5"/>
      <c r="N99" s="5"/>
      <c r="O99" s="5"/>
      <c r="P99" s="5"/>
      <c r="Q99" s="5"/>
      <c r="R99" s="5"/>
      <c r="S99" s="5"/>
      <c r="T99" s="5"/>
      <c r="U99" s="5"/>
      <c r="V99" s="5"/>
      <c r="W99" s="5"/>
      <c r="X99" s="5"/>
      <c r="Y99" s="5"/>
      <c r="Z99" s="5"/>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5"/>
      <c r="BH99" s="5"/>
      <c r="BI99" s="5"/>
    </row>
    <row r="100" spans="1:61" x14ac:dyDescent="0.2">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5"/>
      <c r="BH100" s="5"/>
      <c r="BI100" s="5"/>
    </row>
    <row r="101" spans="1:61" x14ac:dyDescent="0.2">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BG101" s="5"/>
      <c r="BH101" s="5"/>
      <c r="BI101" s="5"/>
    </row>
    <row r="102" spans="1:61" x14ac:dyDescent="0.2">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BG102" s="5"/>
      <c r="BH102" s="5"/>
      <c r="BI102" s="5"/>
    </row>
    <row r="103" spans="1:61" x14ac:dyDescent="0.2">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BG103" s="5"/>
      <c r="BH103" s="5"/>
      <c r="BI103" s="5"/>
    </row>
    <row r="104" spans="1:61" x14ac:dyDescent="0.2">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BG104" s="5"/>
      <c r="BH104" s="5"/>
      <c r="BI104" s="5"/>
    </row>
    <row r="105" spans="1:61" x14ac:dyDescent="0.2">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BG105" s="5"/>
      <c r="BH105" s="5"/>
      <c r="BI105" s="5"/>
    </row>
    <row r="106" spans="1:61" x14ac:dyDescent="0.2">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BG106" s="5"/>
      <c r="BH106" s="5"/>
      <c r="BI106" s="5"/>
    </row>
    <row r="107" spans="1:61" x14ac:dyDescent="0.2">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BG107" s="5"/>
      <c r="BH107" s="5"/>
      <c r="BI107" s="5"/>
    </row>
    <row r="108" spans="1:61" x14ac:dyDescent="0.2">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BG108" s="5"/>
      <c r="BH108" s="5"/>
      <c r="BI108" s="5"/>
    </row>
    <row r="109" spans="1:61" x14ac:dyDescent="0.2">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BG109" s="5"/>
      <c r="BH109" s="5"/>
      <c r="BI109" s="5"/>
    </row>
    <row r="110" spans="1:61" x14ac:dyDescent="0.2">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BG110" s="5"/>
      <c r="BH110" s="5"/>
      <c r="BI110" s="5"/>
    </row>
    <row r="111" spans="1:61" x14ac:dyDescent="0.2">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BG111" s="5"/>
      <c r="BH111" s="5"/>
      <c r="BI111" s="5"/>
    </row>
    <row r="112" spans="1:61" x14ac:dyDescent="0.2">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BG112" s="5"/>
      <c r="BH112" s="5"/>
      <c r="BI112" s="5"/>
    </row>
    <row r="113" spans="1:61" x14ac:dyDescent="0.2">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BG113" s="5"/>
      <c r="BH113" s="5"/>
      <c r="BI113" s="5"/>
    </row>
    <row r="114" spans="1:61" x14ac:dyDescent="0.2">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BG114" s="5"/>
      <c r="BH114" s="5"/>
      <c r="BI114" s="5"/>
    </row>
    <row r="115" spans="1:61" x14ac:dyDescent="0.2">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BG115" s="5"/>
      <c r="BH115" s="5"/>
      <c r="BI115" s="5"/>
    </row>
    <row r="116" spans="1:61" x14ac:dyDescent="0.2">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BG116" s="5"/>
      <c r="BH116" s="5"/>
      <c r="BI116" s="5"/>
    </row>
    <row r="117" spans="1:61" x14ac:dyDescent="0.2">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BG117" s="5"/>
      <c r="BH117" s="5"/>
      <c r="BI117" s="5"/>
    </row>
    <row r="118" spans="1:61" x14ac:dyDescent="0.2">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BG118" s="5"/>
      <c r="BH118" s="5"/>
      <c r="BI118" s="5"/>
    </row>
    <row r="119" spans="1:61" x14ac:dyDescent="0.2">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BG119" s="5"/>
      <c r="BH119" s="5"/>
      <c r="BI119" s="5"/>
    </row>
    <row r="120" spans="1:61" x14ac:dyDescent="0.2">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BG120" s="5"/>
      <c r="BH120" s="5"/>
      <c r="BI120" s="5"/>
    </row>
    <row r="121" spans="1:61" x14ac:dyDescent="0.2">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BG121" s="5"/>
      <c r="BH121" s="5"/>
      <c r="BI121" s="5"/>
    </row>
    <row r="122" spans="1:61" x14ac:dyDescent="0.2">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BG122" s="5"/>
      <c r="BH122" s="5"/>
      <c r="BI122" s="5"/>
    </row>
    <row r="123" spans="1:61" x14ac:dyDescent="0.2">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BG123" s="5"/>
      <c r="BH123" s="5"/>
      <c r="BI123" s="5"/>
    </row>
    <row r="124" spans="1:61" x14ac:dyDescent="0.2">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BG124" s="5"/>
      <c r="BH124" s="5"/>
      <c r="BI124" s="5"/>
    </row>
    <row r="125" spans="1:61" x14ac:dyDescent="0.2">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BG125" s="5"/>
      <c r="BH125" s="5"/>
      <c r="BI125" s="5"/>
    </row>
    <row r="126" spans="1:61" x14ac:dyDescent="0.2">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BG126" s="5"/>
      <c r="BH126" s="5"/>
      <c r="BI126" s="5"/>
    </row>
    <row r="127" spans="1:61" x14ac:dyDescent="0.2">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BG127" s="5"/>
      <c r="BH127" s="5"/>
      <c r="BI127" s="5"/>
    </row>
    <row r="128" spans="1:61" x14ac:dyDescent="0.2">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BG128" s="5"/>
      <c r="BH128" s="5"/>
      <c r="BI128" s="5"/>
    </row>
    <row r="129" spans="1:61" x14ac:dyDescent="0.2">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BG129" s="5"/>
      <c r="BH129" s="5"/>
      <c r="BI129" s="5"/>
    </row>
    <row r="130" spans="1:61" x14ac:dyDescent="0.2">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BG130" s="5"/>
      <c r="BH130" s="5"/>
      <c r="BI130" s="5"/>
    </row>
    <row r="131" spans="1:61" x14ac:dyDescent="0.2">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BG131" s="5"/>
      <c r="BH131" s="5"/>
      <c r="BI131" s="5"/>
    </row>
    <row r="132" spans="1:61" x14ac:dyDescent="0.2">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BG132" s="5"/>
      <c r="BH132" s="5"/>
      <c r="BI132" s="5"/>
    </row>
    <row r="133" spans="1:61" x14ac:dyDescent="0.2">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BG133" s="5"/>
      <c r="BH133" s="5"/>
      <c r="BI133" s="5"/>
    </row>
    <row r="134" spans="1:61" x14ac:dyDescent="0.2">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BG134" s="5"/>
      <c r="BH134" s="5"/>
      <c r="BI134" s="5"/>
    </row>
    <row r="135" spans="1:61" x14ac:dyDescent="0.2">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BG135" s="5"/>
      <c r="BH135" s="5"/>
      <c r="BI135" s="5"/>
    </row>
    <row r="136" spans="1:61" x14ac:dyDescent="0.2">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BG136" s="5"/>
      <c r="BH136" s="5"/>
      <c r="BI136" s="5"/>
    </row>
    <row r="137" spans="1:61" x14ac:dyDescent="0.2">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BG137" s="5"/>
      <c r="BH137" s="5"/>
      <c r="BI137" s="5"/>
    </row>
    <row r="138" spans="1:61" x14ac:dyDescent="0.2">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BG138" s="5"/>
      <c r="BH138" s="5"/>
      <c r="BI138" s="5"/>
    </row>
    <row r="139" spans="1:61" x14ac:dyDescent="0.2">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BG139" s="5"/>
      <c r="BH139" s="5"/>
      <c r="BI139" s="5"/>
    </row>
    <row r="140" spans="1:61" x14ac:dyDescent="0.2">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BG140" s="5"/>
      <c r="BH140" s="5"/>
      <c r="BI140" s="5"/>
    </row>
    <row r="141" spans="1:61" x14ac:dyDescent="0.2">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BG141" s="5"/>
      <c r="BH141" s="5"/>
      <c r="BI141" s="5"/>
    </row>
    <row r="142" spans="1:61" x14ac:dyDescent="0.2">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BG142" s="5"/>
      <c r="BH142" s="5"/>
      <c r="BI142" s="5"/>
    </row>
    <row r="143" spans="1:61" x14ac:dyDescent="0.2">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BG143" s="5"/>
      <c r="BH143" s="5"/>
      <c r="BI143" s="5"/>
    </row>
    <row r="144" spans="1:61" x14ac:dyDescent="0.2">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BG144" s="5"/>
      <c r="BH144" s="5"/>
      <c r="BI144" s="5"/>
    </row>
    <row r="145" spans="1:61" x14ac:dyDescent="0.2">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BG145" s="5"/>
      <c r="BH145" s="5"/>
      <c r="BI145" s="5"/>
    </row>
    <row r="146" spans="1:61" x14ac:dyDescent="0.2">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BG146" s="5"/>
      <c r="BH146" s="5"/>
      <c r="BI146" s="5"/>
    </row>
    <row r="147" spans="1:61" x14ac:dyDescent="0.2">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BG147" s="5"/>
      <c r="BH147" s="5"/>
      <c r="BI147" s="5"/>
    </row>
    <row r="148" spans="1:61" x14ac:dyDescent="0.2">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BG148" s="5"/>
      <c r="BH148" s="5"/>
      <c r="BI148" s="5"/>
    </row>
    <row r="149" spans="1:61" x14ac:dyDescent="0.2">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BG149" s="5"/>
      <c r="BH149" s="5"/>
      <c r="BI149" s="5"/>
    </row>
    <row r="150" spans="1:61" x14ac:dyDescent="0.2">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BG150" s="5"/>
      <c r="BH150" s="5"/>
      <c r="BI150" s="5"/>
    </row>
    <row r="151" spans="1:61" x14ac:dyDescent="0.2">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BG151" s="5"/>
      <c r="BH151" s="5"/>
      <c r="BI151" s="5"/>
    </row>
    <row r="152" spans="1:61" x14ac:dyDescent="0.2">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BG152" s="5"/>
      <c r="BH152" s="5"/>
      <c r="BI152" s="5"/>
    </row>
    <row r="153" spans="1:61" x14ac:dyDescent="0.2">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BG153" s="5"/>
      <c r="BH153" s="5"/>
      <c r="BI153" s="5"/>
    </row>
    <row r="154" spans="1:61" x14ac:dyDescent="0.2">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BG154" s="5"/>
      <c r="BH154" s="5"/>
      <c r="BI154" s="5"/>
    </row>
    <row r="155" spans="1:61" x14ac:dyDescent="0.2">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BG155" s="5"/>
      <c r="BH155" s="5"/>
      <c r="BI155" s="5"/>
    </row>
    <row r="156" spans="1:61" x14ac:dyDescent="0.2">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BG156" s="5"/>
      <c r="BH156" s="5"/>
      <c r="BI156" s="5"/>
    </row>
    <row r="157" spans="1:61" x14ac:dyDescent="0.2">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BG157" s="5"/>
      <c r="BH157" s="5"/>
      <c r="BI157" s="5"/>
    </row>
    <row r="158" spans="1:61" x14ac:dyDescent="0.2">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BG158" s="5"/>
      <c r="BH158" s="5"/>
      <c r="BI158" s="5"/>
    </row>
    <row r="159" spans="1:61" x14ac:dyDescent="0.2">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BG159" s="5"/>
      <c r="BH159" s="5"/>
      <c r="BI159" s="5"/>
    </row>
    <row r="160" spans="1:61" x14ac:dyDescent="0.2">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BG160" s="5"/>
      <c r="BH160" s="5"/>
      <c r="BI160" s="5"/>
    </row>
    <row r="161" spans="1:61" x14ac:dyDescent="0.2">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BG161" s="5"/>
      <c r="BH161" s="5"/>
      <c r="BI161" s="5"/>
    </row>
    <row r="162" spans="1:61" x14ac:dyDescent="0.2">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BG162" s="5"/>
      <c r="BH162" s="5"/>
      <c r="BI162" s="5"/>
    </row>
    <row r="163" spans="1:61" x14ac:dyDescent="0.2">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BG163" s="5"/>
      <c r="BH163" s="5"/>
      <c r="BI163" s="5"/>
    </row>
    <row r="164" spans="1:61" x14ac:dyDescent="0.2">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BG164" s="5"/>
      <c r="BH164" s="5"/>
      <c r="BI164" s="5"/>
    </row>
    <row r="165" spans="1:61" x14ac:dyDescent="0.2">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BG165" s="5"/>
      <c r="BH165" s="5"/>
      <c r="BI165" s="5"/>
    </row>
    <row r="166" spans="1:61" x14ac:dyDescent="0.2">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BG166" s="5"/>
      <c r="BH166" s="5"/>
      <c r="BI166" s="5"/>
    </row>
    <row r="167" spans="1:61" x14ac:dyDescent="0.2">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BG167" s="5"/>
      <c r="BH167" s="5"/>
      <c r="BI167" s="5"/>
    </row>
    <row r="168" spans="1:61" x14ac:dyDescent="0.2">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BG168" s="5"/>
      <c r="BH168" s="5"/>
      <c r="BI168" s="5"/>
    </row>
    <row r="169" spans="1:61" x14ac:dyDescent="0.2">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BG169" s="5"/>
      <c r="BH169" s="5"/>
      <c r="BI169" s="5"/>
    </row>
    <row r="170" spans="1:61" x14ac:dyDescent="0.2">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BG170" s="5"/>
      <c r="BH170" s="5"/>
      <c r="BI170" s="5"/>
    </row>
    <row r="171" spans="1:61" x14ac:dyDescent="0.2">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BG171" s="5"/>
      <c r="BH171" s="5"/>
      <c r="BI171" s="5"/>
    </row>
    <row r="172" spans="1:61" x14ac:dyDescent="0.2">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BG172" s="5"/>
      <c r="BH172" s="5"/>
      <c r="BI172" s="5"/>
    </row>
    <row r="173" spans="1:61" x14ac:dyDescent="0.2">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BG173" s="5"/>
      <c r="BH173" s="5"/>
      <c r="BI173" s="5"/>
    </row>
    <row r="174" spans="1:61" x14ac:dyDescent="0.2">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BG174" s="5"/>
      <c r="BH174" s="5"/>
      <c r="BI174" s="5"/>
    </row>
    <row r="175" spans="1:61" x14ac:dyDescent="0.2">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BG175" s="5"/>
      <c r="BH175" s="5"/>
      <c r="BI175" s="5"/>
    </row>
    <row r="176" spans="1:61" x14ac:dyDescent="0.2">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BG176" s="5"/>
      <c r="BH176" s="5"/>
      <c r="BI176" s="5"/>
    </row>
    <row r="177" spans="1:61" x14ac:dyDescent="0.2">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BG177" s="5"/>
      <c r="BH177" s="5"/>
      <c r="BI177" s="5"/>
    </row>
    <row r="178" spans="1:61" x14ac:dyDescent="0.2">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BG178" s="5"/>
      <c r="BH178" s="5"/>
      <c r="BI178" s="5"/>
    </row>
    <row r="179" spans="1:61" x14ac:dyDescent="0.2">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BG179" s="5"/>
      <c r="BH179" s="5"/>
      <c r="BI179" s="5"/>
    </row>
    <row r="180" spans="1:61" x14ac:dyDescent="0.2">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BG180" s="5"/>
      <c r="BH180" s="5"/>
      <c r="BI180" s="5"/>
    </row>
    <row r="181" spans="1:61" x14ac:dyDescent="0.2">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BG181" s="5"/>
      <c r="BH181" s="5"/>
      <c r="BI181" s="5"/>
    </row>
    <row r="182" spans="1:61" x14ac:dyDescent="0.2">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BG182" s="5"/>
      <c r="BH182" s="5"/>
      <c r="BI182" s="5"/>
    </row>
    <row r="183" spans="1:61" x14ac:dyDescent="0.2">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BG183" s="5"/>
      <c r="BH183" s="5"/>
      <c r="BI183" s="5"/>
    </row>
    <row r="184" spans="1:61" x14ac:dyDescent="0.2">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BG184" s="5"/>
      <c r="BH184" s="5"/>
      <c r="BI184" s="5"/>
    </row>
    <row r="185" spans="1:61" x14ac:dyDescent="0.2">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BG185" s="5"/>
      <c r="BH185" s="5"/>
      <c r="BI185" s="5"/>
    </row>
    <row r="186" spans="1:61" x14ac:dyDescent="0.2">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BG186" s="5"/>
      <c r="BH186" s="5"/>
      <c r="BI186" s="5"/>
    </row>
    <row r="187" spans="1:61" x14ac:dyDescent="0.2">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BG187" s="5"/>
      <c r="BH187" s="5"/>
      <c r="BI187" s="5"/>
    </row>
    <row r="188" spans="1:61" x14ac:dyDescent="0.2">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BG188" s="5"/>
      <c r="BH188" s="5"/>
      <c r="BI188" s="5"/>
    </row>
    <row r="189" spans="1:61" x14ac:dyDescent="0.2">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BG189" s="5"/>
      <c r="BH189" s="5"/>
      <c r="BI189" s="5"/>
    </row>
    <row r="190" spans="1:61" x14ac:dyDescent="0.2">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BG190" s="5"/>
      <c r="BH190" s="5"/>
      <c r="BI190" s="5"/>
    </row>
    <row r="191" spans="1:61" x14ac:dyDescent="0.2">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BG191" s="5"/>
      <c r="BH191" s="5"/>
      <c r="BI191" s="5"/>
    </row>
    <row r="192" spans="1:61" x14ac:dyDescent="0.2">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BG192" s="5"/>
      <c r="BH192" s="5"/>
      <c r="BI192" s="5"/>
    </row>
    <row r="193" spans="1:61" x14ac:dyDescent="0.2">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BG193" s="5"/>
      <c r="BH193" s="5"/>
      <c r="BI193" s="5"/>
    </row>
    <row r="194" spans="1:61" x14ac:dyDescent="0.2">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BG194" s="5"/>
      <c r="BH194" s="5"/>
      <c r="BI194" s="5"/>
    </row>
    <row r="195" spans="1:61" x14ac:dyDescent="0.2">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BG195" s="5"/>
      <c r="BH195" s="5"/>
      <c r="BI195" s="5"/>
    </row>
    <row r="196" spans="1:61" x14ac:dyDescent="0.2">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BG196" s="5"/>
      <c r="BH196" s="5"/>
      <c r="BI196" s="5"/>
    </row>
    <row r="197" spans="1:61" x14ac:dyDescent="0.2">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BG197" s="5"/>
      <c r="BH197" s="5"/>
      <c r="BI197" s="5"/>
    </row>
    <row r="198" spans="1:61" x14ac:dyDescent="0.2">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BG198" s="5"/>
      <c r="BH198" s="5"/>
      <c r="BI198" s="5"/>
    </row>
    <row r="199" spans="1:61" x14ac:dyDescent="0.2">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BG199" s="5"/>
      <c r="BH199" s="5"/>
      <c r="BI199" s="5"/>
    </row>
    <row r="200" spans="1:61" x14ac:dyDescent="0.2">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row>
    <row r="201" spans="1:61" x14ac:dyDescent="0.2">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row>
    <row r="202" spans="1:61" x14ac:dyDescent="0.2">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row>
    <row r="203" spans="1:61" x14ac:dyDescent="0.2">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row>
    <row r="204" spans="1:61" x14ac:dyDescent="0.2">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row>
    <row r="205" spans="1:61" x14ac:dyDescent="0.2">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row>
    <row r="206" spans="1:61" x14ac:dyDescent="0.2">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row>
    <row r="207" spans="1:61" x14ac:dyDescent="0.2">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row>
    <row r="208" spans="1:61" x14ac:dyDescent="0.2">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row>
    <row r="209" spans="1:29" x14ac:dyDescent="0.2">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row>
    <row r="210" spans="1:29" x14ac:dyDescent="0.2">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row>
    <row r="211" spans="1:29" x14ac:dyDescent="0.2">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row>
    <row r="212" spans="1:29" x14ac:dyDescent="0.2">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row>
    <row r="213" spans="1:29" x14ac:dyDescent="0.2">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row>
    <row r="214" spans="1:29" x14ac:dyDescent="0.2">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row>
    <row r="215" spans="1:29" x14ac:dyDescent="0.2">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row>
    <row r="216" spans="1:29" x14ac:dyDescent="0.2">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row>
    <row r="217" spans="1:29" x14ac:dyDescent="0.2">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row>
    <row r="218" spans="1:29" x14ac:dyDescent="0.2">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row>
    <row r="219" spans="1:29" x14ac:dyDescent="0.2">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row>
    <row r="220" spans="1:29" x14ac:dyDescent="0.2">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row>
    <row r="221" spans="1:29" x14ac:dyDescent="0.2">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row>
    <row r="222" spans="1:29" x14ac:dyDescent="0.2">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row>
    <row r="223" spans="1:29" x14ac:dyDescent="0.2">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row>
    <row r="224" spans="1:29" x14ac:dyDescent="0.2">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row>
    <row r="225" spans="1:29" x14ac:dyDescent="0.2">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row>
    <row r="226" spans="1:29" x14ac:dyDescent="0.2">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row>
    <row r="227" spans="1:29" x14ac:dyDescent="0.2">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row>
    <row r="228" spans="1:29" x14ac:dyDescent="0.2">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row>
    <row r="229" spans="1:29" x14ac:dyDescent="0.2">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row>
    <row r="230" spans="1:29" x14ac:dyDescent="0.2">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row>
    <row r="231" spans="1:29" x14ac:dyDescent="0.2">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row>
    <row r="232" spans="1:29" x14ac:dyDescent="0.2">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row>
    <row r="233" spans="1:29" x14ac:dyDescent="0.2">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row>
    <row r="234" spans="1:29" x14ac:dyDescent="0.2">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row>
    <row r="235" spans="1:29" x14ac:dyDescent="0.2">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row>
    <row r="236" spans="1:29" x14ac:dyDescent="0.2">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row>
    <row r="237" spans="1:29" x14ac:dyDescent="0.2">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row>
    <row r="238" spans="1:29" x14ac:dyDescent="0.2">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row>
    <row r="239" spans="1:29" x14ac:dyDescent="0.2">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row>
    <row r="240" spans="1:29" x14ac:dyDescent="0.2">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row>
    <row r="241" spans="1:29" x14ac:dyDescent="0.2">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row>
    <row r="242" spans="1:29" x14ac:dyDescent="0.2">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row>
    <row r="243" spans="1:29" x14ac:dyDescent="0.2">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row>
    <row r="244" spans="1:29" x14ac:dyDescent="0.2">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row>
    <row r="245" spans="1:29" x14ac:dyDescent="0.2">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row>
    <row r="246" spans="1:29" x14ac:dyDescent="0.2">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row>
    <row r="247" spans="1:29" x14ac:dyDescent="0.2">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row>
    <row r="248" spans="1:29" x14ac:dyDescent="0.2">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row>
    <row r="249" spans="1:29" x14ac:dyDescent="0.2">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row>
    <row r="250" spans="1:29" x14ac:dyDescent="0.2">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row>
    <row r="251" spans="1:29" x14ac:dyDescent="0.2">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row>
    <row r="252" spans="1:29" x14ac:dyDescent="0.2">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row>
    <row r="253" spans="1:29" x14ac:dyDescent="0.2">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row>
    <row r="254" spans="1:29" x14ac:dyDescent="0.2">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row>
    <row r="255" spans="1:29" x14ac:dyDescent="0.2">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row>
    <row r="256" spans="1:29" x14ac:dyDescent="0.2">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row>
    <row r="257" spans="1:29" x14ac:dyDescent="0.2">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row>
    <row r="258" spans="1:29" x14ac:dyDescent="0.2">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row>
    <row r="259" spans="1:29" x14ac:dyDescent="0.2">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row>
    <row r="260" spans="1:29" x14ac:dyDescent="0.2">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row>
    <row r="261" spans="1:29" x14ac:dyDescent="0.2">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row>
    <row r="262" spans="1:29" x14ac:dyDescent="0.2">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row>
    <row r="263" spans="1:29" x14ac:dyDescent="0.2">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row>
    <row r="264" spans="1:29" x14ac:dyDescent="0.2">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row>
    <row r="265" spans="1:29" x14ac:dyDescent="0.2">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row>
    <row r="266" spans="1:29" x14ac:dyDescent="0.2">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row>
    <row r="267" spans="1:29" x14ac:dyDescent="0.2">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row>
    <row r="268" spans="1:29" x14ac:dyDescent="0.2">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row>
    <row r="269" spans="1:29" x14ac:dyDescent="0.2">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row>
    <row r="270" spans="1:29" x14ac:dyDescent="0.2">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row>
    <row r="271" spans="1:29" x14ac:dyDescent="0.2">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row>
    <row r="272" spans="1:29" x14ac:dyDescent="0.2">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row>
  </sheetData>
  <sheetProtection password="F6CC" sheet="1" objects="1" scenarios="1" formatCells="0" formatColumns="0" formatRows="0" insertHyperlinks="0" sort="0" autoFilter="0" pivotTables="0"/>
  <mergeCells count="83">
    <mergeCell ref="B64:C64"/>
    <mergeCell ref="D64:S64"/>
    <mergeCell ref="B65:C65"/>
    <mergeCell ref="D65:S65"/>
    <mergeCell ref="B61:C61"/>
    <mergeCell ref="D61:S61"/>
    <mergeCell ref="B62:C62"/>
    <mergeCell ref="D62:S62"/>
    <mergeCell ref="B63:C63"/>
    <mergeCell ref="D63:S63"/>
    <mergeCell ref="B58:C58"/>
    <mergeCell ref="D58:S58"/>
    <mergeCell ref="B59:C59"/>
    <mergeCell ref="D59:S59"/>
    <mergeCell ref="B60:C60"/>
    <mergeCell ref="D60:S60"/>
    <mergeCell ref="B55:C55"/>
    <mergeCell ref="D55:S55"/>
    <mergeCell ref="B56:C56"/>
    <mergeCell ref="D56:S56"/>
    <mergeCell ref="B57:C57"/>
    <mergeCell ref="D57:S57"/>
    <mergeCell ref="B52:C52"/>
    <mergeCell ref="D52:S52"/>
    <mergeCell ref="B53:C53"/>
    <mergeCell ref="D53:S53"/>
    <mergeCell ref="B54:C54"/>
    <mergeCell ref="D54:S54"/>
    <mergeCell ref="B49:C49"/>
    <mergeCell ref="D44:S44"/>
    <mergeCell ref="B50:C50"/>
    <mergeCell ref="D50:S50"/>
    <mergeCell ref="B51:C51"/>
    <mergeCell ref="D51:S51"/>
    <mergeCell ref="D49:S49"/>
    <mergeCell ref="B46:C46"/>
    <mergeCell ref="D46:S46"/>
    <mergeCell ref="B47:C47"/>
    <mergeCell ref="D47:S47"/>
    <mergeCell ref="B48:C48"/>
    <mergeCell ref="D48:S48"/>
    <mergeCell ref="B43:C43"/>
    <mergeCell ref="D43:S43"/>
    <mergeCell ref="B44:C44"/>
    <mergeCell ref="B45:C45"/>
    <mergeCell ref="D45:S45"/>
    <mergeCell ref="B42:C42"/>
    <mergeCell ref="D42:S42"/>
    <mergeCell ref="B37:D37"/>
    <mergeCell ref="F37:G37"/>
    <mergeCell ref="H37:J37"/>
    <mergeCell ref="B38:C39"/>
    <mergeCell ref="F38:J38"/>
    <mergeCell ref="F39:J39"/>
    <mergeCell ref="B40:C40"/>
    <mergeCell ref="D40:L40"/>
    <mergeCell ref="M40:S40"/>
    <mergeCell ref="B41:C41"/>
    <mergeCell ref="D41:S41"/>
    <mergeCell ref="AR7:AW7"/>
    <mergeCell ref="AX7:BE7"/>
    <mergeCell ref="BF7:BG7"/>
    <mergeCell ref="B34:D34"/>
    <mergeCell ref="G34:J34"/>
    <mergeCell ref="K34:L36"/>
    <mergeCell ref="N34:N36"/>
    <mergeCell ref="S34:S36"/>
    <mergeCell ref="B7:S7"/>
    <mergeCell ref="AC7:AQ7"/>
    <mergeCell ref="AC5:AI5"/>
    <mergeCell ref="D6:E6"/>
    <mergeCell ref="F6:G6"/>
    <mergeCell ref="H6:I6"/>
    <mergeCell ref="K6:S6"/>
    <mergeCell ref="B5:C5"/>
    <mergeCell ref="D5:E5"/>
    <mergeCell ref="F5:G5"/>
    <mergeCell ref="N5:S5"/>
    <mergeCell ref="B1:S1"/>
    <mergeCell ref="B2:S2"/>
    <mergeCell ref="B3:S3"/>
    <mergeCell ref="B4:C4"/>
    <mergeCell ref="D4:S4"/>
  </mergeCells>
  <conditionalFormatting sqref="M38:N39">
    <cfRule type="cellIs" dxfId="11" priority="6" stopIfTrue="1" operator="equal">
      <formula>$M$5</formula>
    </cfRule>
  </conditionalFormatting>
  <conditionalFormatting sqref="E20:F33 E9:F11 E13:F18 K9:K12 K14:K33">
    <cfRule type="cellIs" dxfId="10" priority="7" stopIfTrue="1" operator="equal">
      <formula>"Re-Link"</formula>
    </cfRule>
  </conditionalFormatting>
  <conditionalFormatting sqref="L5">
    <cfRule type="cellIs" dxfId="9" priority="8" stopIfTrue="1" operator="equal">
      <formula>"Normal Distribution"</formula>
    </cfRule>
    <cfRule type="cellIs" dxfId="8" priority="9" stopIfTrue="1" operator="equal">
      <formula>"Student's t-Distribution"</formula>
    </cfRule>
  </conditionalFormatting>
  <conditionalFormatting sqref="L9:L12 L14:L33">
    <cfRule type="cellIs" dxfId="7" priority="10" stopIfTrue="1" operator="equal">
      <formula>"Re-Link"</formula>
    </cfRule>
  </conditionalFormatting>
  <conditionalFormatting sqref="K37">
    <cfRule type="cellIs" dxfId="6" priority="11" stopIfTrue="1" operator="lessThan">
      <formula>20</formula>
    </cfRule>
    <cfRule type="cellIs" dxfId="5" priority="12" stopIfTrue="1" operator="lessThan">
      <formula>29</formula>
    </cfRule>
  </conditionalFormatting>
  <conditionalFormatting sqref="E19:F19">
    <cfRule type="cellIs" dxfId="4" priority="5" stopIfTrue="1" operator="equal">
      <formula>"Re-Link"</formula>
    </cfRule>
  </conditionalFormatting>
  <conditionalFormatting sqref="E12">
    <cfRule type="cellIs" dxfId="3" priority="4" stopIfTrue="1" operator="equal">
      <formula>"Re-Link"</formula>
    </cfRule>
  </conditionalFormatting>
  <conditionalFormatting sqref="F12">
    <cfRule type="cellIs" dxfId="2" priority="3" stopIfTrue="1" operator="equal">
      <formula>"Re-Link"</formula>
    </cfRule>
  </conditionalFormatting>
  <conditionalFormatting sqref="K13">
    <cfRule type="cellIs" dxfId="1" priority="1" stopIfTrue="1" operator="equal">
      <formula>"Re-Link"</formula>
    </cfRule>
  </conditionalFormatting>
  <conditionalFormatting sqref="L13">
    <cfRule type="cellIs" dxfId="0" priority="2" stopIfTrue="1" operator="equal">
      <formula>"Re-Link"</formula>
    </cfRule>
  </conditionalFormatting>
  <printOptions horizontalCentered="1" verticalCentered="1"/>
  <pageMargins left="0.7" right="0.7" top="0.75" bottom="0.75" header="0.3" footer="0.3"/>
  <pageSetup scale="65" fitToHeight="2" orientation="landscape" blackAndWhite="1" horizontalDpi="300" verticalDpi="300" r:id="rId1"/>
  <headerFooter alignWithMargins="0">
    <oddHeader>&amp;LPrinted: &amp;D&amp;T&amp;CBUDGET&amp;RFile: &amp;F</oddHeader>
    <oddFooter>Page &amp;P of &amp;N</oddFooter>
  </headerFooter>
  <rowBreaks count="1" manualBreakCount="1">
    <brk id="39" min="1" max="18" man="1"/>
  </rowBreaks>
  <drawing r:id="rId2"/>
  <legacyDrawing r:id="rId3"/>
  <oleObjects>
    <mc:AlternateContent xmlns:mc="http://schemas.openxmlformats.org/markup-compatibility/2006">
      <mc:Choice Requires="x14">
        <oleObject progId="Equation.DSMT4" shapeId="2054" r:id="rId4">
          <objectPr defaultSize="0" autoPict="0" r:id="rId5">
            <anchor moveWithCells="1" sizeWithCells="1">
              <from>
                <xdr:col>1</xdr:col>
                <xdr:colOff>85725</xdr:colOff>
                <xdr:row>37</xdr:row>
                <xdr:rowOff>19050</xdr:rowOff>
              </from>
              <to>
                <xdr:col>2</xdr:col>
                <xdr:colOff>1990725</xdr:colOff>
                <xdr:row>38</xdr:row>
                <xdr:rowOff>209550</xdr:rowOff>
              </to>
            </anchor>
          </objectPr>
        </oleObject>
      </mc:Choice>
      <mc:Fallback>
        <oleObject progId="Equation.DSMT4" shapeId="2054" r:id="rId4"/>
      </mc:Fallback>
    </mc:AlternateContent>
    <mc:AlternateContent xmlns:mc="http://schemas.openxmlformats.org/markup-compatibility/2006">
      <mc:Choice Requires="x14">
        <oleObject progId="Equation.DSMT4" shapeId="2058" r:id="rId6">
          <objectPr defaultSize="0" autoPict="0" r:id="rId7">
            <anchor moveWithCells="1" sizeWithCells="1">
              <from>
                <xdr:col>13</xdr:col>
                <xdr:colOff>914400</xdr:colOff>
                <xdr:row>37</xdr:row>
                <xdr:rowOff>47625</xdr:rowOff>
              </from>
              <to>
                <xdr:col>18</xdr:col>
                <xdr:colOff>533400</xdr:colOff>
                <xdr:row>38</xdr:row>
                <xdr:rowOff>371475</xdr:rowOff>
              </to>
            </anchor>
          </objectPr>
        </oleObject>
      </mc:Choice>
      <mc:Fallback>
        <oleObject progId="Equation.DSMT4" shapeId="2058" r:id="rId6"/>
      </mc:Fallback>
    </mc:AlternateContent>
    <mc:AlternateContent xmlns:mc="http://schemas.openxmlformats.org/markup-compatibility/2006">
      <mc:Choice Requires="x14">
        <oleObject progId="Equation.DSMT4" shapeId="2064" r:id="rId8">
          <objectPr defaultSize="0" autoPict="0" r:id="rId9">
            <anchor moveWithCells="1" sizeWithCells="1">
              <from>
                <xdr:col>1</xdr:col>
                <xdr:colOff>190500</xdr:colOff>
                <xdr:row>33</xdr:row>
                <xdr:rowOff>66675</xdr:rowOff>
              </from>
              <to>
                <xdr:col>3</xdr:col>
                <xdr:colOff>257175</xdr:colOff>
                <xdr:row>35</xdr:row>
                <xdr:rowOff>95250</xdr:rowOff>
              </to>
            </anchor>
          </objectPr>
        </oleObject>
      </mc:Choice>
      <mc:Fallback>
        <oleObject progId="Equation.DSMT4" shapeId="2064" r:id="rId8"/>
      </mc:Fallback>
    </mc:AlternateContent>
  </oleObjects>
  <controls>
    <mc:AlternateContent xmlns:mc="http://schemas.openxmlformats.org/markup-compatibility/2006">
      <mc:Choice Requires="x14">
        <control shapeId="2063" r:id="rId10" name="cmdBtnNotes">
          <controlPr defaultSize="0" print="0" autoLine="0" r:id="rId11">
            <anchor moveWithCells="1">
              <from>
                <xdr:col>3</xdr:col>
                <xdr:colOff>76200</xdr:colOff>
                <xdr:row>39</xdr:row>
                <xdr:rowOff>238125</xdr:rowOff>
              </from>
              <to>
                <xdr:col>5</xdr:col>
                <xdr:colOff>619125</xdr:colOff>
                <xdr:row>39</xdr:row>
                <xdr:rowOff>638175</xdr:rowOff>
              </to>
            </anchor>
          </controlPr>
        </control>
      </mc:Choice>
      <mc:Fallback>
        <control shapeId="2063" r:id="rId10" name="cmdBtnNotes"/>
      </mc:Fallback>
    </mc:AlternateContent>
    <mc:AlternateContent xmlns:mc="http://schemas.openxmlformats.org/markup-compatibility/2006">
      <mc:Choice Requires="x14">
        <control shapeId="2062" r:id="rId12" name="ComboBox4">
          <controlPr defaultSize="0" print="0" autoFill="0" autoLine="0" linkedCell="F36" listFillRange="B8:B33" r:id="rId13">
            <anchor moveWithCells="1">
              <from>
                <xdr:col>5</xdr:col>
                <xdr:colOff>0</xdr:colOff>
                <xdr:row>34</xdr:row>
                <xdr:rowOff>180975</xdr:rowOff>
              </from>
              <to>
                <xdr:col>6</xdr:col>
                <xdr:colOff>0</xdr:colOff>
                <xdr:row>36</xdr:row>
                <xdr:rowOff>0</xdr:rowOff>
              </to>
            </anchor>
          </controlPr>
        </control>
      </mc:Choice>
      <mc:Fallback>
        <control shapeId="2062" r:id="rId12" name="ComboBox4"/>
      </mc:Fallback>
    </mc:AlternateContent>
    <mc:AlternateContent xmlns:mc="http://schemas.openxmlformats.org/markup-compatibility/2006">
      <mc:Choice Requires="x14">
        <control shapeId="2061" r:id="rId14" name="ComboBox3">
          <controlPr defaultSize="0" print="0" autoFill="0" autoLine="0" linkedCell="E36" listFillRange="B8:B33" r:id="rId13">
            <anchor moveWithCells="1">
              <from>
                <xdr:col>4</xdr:col>
                <xdr:colOff>0</xdr:colOff>
                <xdr:row>34</xdr:row>
                <xdr:rowOff>180975</xdr:rowOff>
              </from>
              <to>
                <xdr:col>5</xdr:col>
                <xdr:colOff>9525</xdr:colOff>
                <xdr:row>36</xdr:row>
                <xdr:rowOff>0</xdr:rowOff>
              </to>
            </anchor>
          </controlPr>
        </control>
      </mc:Choice>
      <mc:Fallback>
        <control shapeId="2061" r:id="rId14" name="ComboBox3"/>
      </mc:Fallback>
    </mc:AlternateContent>
    <mc:AlternateContent xmlns:mc="http://schemas.openxmlformats.org/markup-compatibility/2006">
      <mc:Choice Requires="x14">
        <control shapeId="2060" r:id="rId15" name="ComboBox2">
          <controlPr defaultSize="0" print="0" autoFill="0" autoLine="0" linkedCell="F35" listFillRange="B8:B33" r:id="rId13">
            <anchor moveWithCells="1">
              <from>
                <xdr:col>5</xdr:col>
                <xdr:colOff>0</xdr:colOff>
                <xdr:row>33</xdr:row>
                <xdr:rowOff>180975</xdr:rowOff>
              </from>
              <to>
                <xdr:col>6</xdr:col>
                <xdr:colOff>0</xdr:colOff>
                <xdr:row>35</xdr:row>
                <xdr:rowOff>9525</xdr:rowOff>
              </to>
            </anchor>
          </controlPr>
        </control>
      </mc:Choice>
      <mc:Fallback>
        <control shapeId="2060" r:id="rId15" name="ComboBox2"/>
      </mc:Fallback>
    </mc:AlternateContent>
    <mc:AlternateContent xmlns:mc="http://schemas.openxmlformats.org/markup-compatibility/2006">
      <mc:Choice Requires="x14">
        <control shapeId="2059" r:id="rId16" name="ComboBox1">
          <controlPr defaultSize="0" print="0" autoFill="0" autoLine="0" linkedCell="E35" listFillRange="B8:B33" r:id="rId13">
            <anchor moveWithCells="1">
              <from>
                <xdr:col>4</xdr:col>
                <xdr:colOff>0</xdr:colOff>
                <xdr:row>33</xdr:row>
                <xdr:rowOff>180975</xdr:rowOff>
              </from>
              <to>
                <xdr:col>5</xdr:col>
                <xdr:colOff>9525</xdr:colOff>
                <xdr:row>35</xdr:row>
                <xdr:rowOff>9525</xdr:rowOff>
              </to>
            </anchor>
          </controlPr>
        </control>
      </mc:Choice>
      <mc:Fallback>
        <control shapeId="2059" r:id="rId16" name="ComboBox1"/>
      </mc:Fallback>
    </mc:AlternateContent>
    <mc:AlternateContent xmlns:mc="http://schemas.openxmlformats.org/markup-compatibility/2006">
      <mc:Choice Requires="x14">
        <control shapeId="2057" r:id="rId17" name="btnUpdateCalc">
          <controlPr defaultSize="0" print="0" autoFill="0" autoLine="0" r:id="rId18">
            <anchor moveWithCells="1">
              <from>
                <xdr:col>13</xdr:col>
                <xdr:colOff>28575</xdr:colOff>
                <xdr:row>33</xdr:row>
                <xdr:rowOff>28575</xdr:rowOff>
              </from>
              <to>
                <xdr:col>18</xdr:col>
                <xdr:colOff>0</xdr:colOff>
                <xdr:row>35</xdr:row>
                <xdr:rowOff>180975</xdr:rowOff>
              </to>
            </anchor>
          </controlPr>
        </control>
      </mc:Choice>
      <mc:Fallback>
        <control shapeId="2057" r:id="rId17" name="btnUpdateCalc"/>
      </mc:Fallback>
    </mc:AlternateContent>
    <mc:AlternateContent xmlns:mc="http://schemas.openxmlformats.org/markup-compatibility/2006">
      <mc:Choice Requires="x14">
        <control shapeId="2056" r:id="rId19" name="optbtn_Normal">
          <controlPr defaultSize="0" autoLine="0" linkedCell="Q39" r:id="rId20">
            <anchor moveWithCells="1">
              <from>
                <xdr:col>11</xdr:col>
                <xdr:colOff>38100</xdr:colOff>
                <xdr:row>38</xdr:row>
                <xdr:rowOff>209550</xdr:rowOff>
              </from>
              <to>
                <xdr:col>11</xdr:col>
                <xdr:colOff>190500</xdr:colOff>
                <xdr:row>38</xdr:row>
                <xdr:rowOff>381000</xdr:rowOff>
              </to>
            </anchor>
          </controlPr>
        </control>
      </mc:Choice>
      <mc:Fallback>
        <control shapeId="2056" r:id="rId19" name="optbtn_Normal"/>
      </mc:Fallback>
    </mc:AlternateContent>
    <mc:AlternateContent xmlns:mc="http://schemas.openxmlformats.org/markup-compatibility/2006">
      <mc:Choice Requires="x14">
        <control shapeId="2055" r:id="rId21" name="optbtn_t_Dist">
          <controlPr defaultSize="0" autoLine="0" linkedCell="Q38" r:id="rId22">
            <anchor moveWithCells="1">
              <from>
                <xdr:col>11</xdr:col>
                <xdr:colOff>38100</xdr:colOff>
                <xdr:row>37</xdr:row>
                <xdr:rowOff>152400</xdr:rowOff>
              </from>
              <to>
                <xdr:col>11</xdr:col>
                <xdr:colOff>190500</xdr:colOff>
                <xdr:row>37</xdr:row>
                <xdr:rowOff>323850</xdr:rowOff>
              </to>
            </anchor>
          </controlPr>
        </control>
      </mc:Choice>
      <mc:Fallback>
        <control shapeId="2055" r:id="rId21" name="optbtn_t_Dist"/>
      </mc:Fallback>
    </mc:AlternateContent>
    <mc:AlternateContent xmlns:mc="http://schemas.openxmlformats.org/markup-compatibility/2006">
      <mc:Choice Requires="x14">
        <control shapeId="2053" r:id="rId23" name="cmdInsertDate">
          <controlPr defaultSize="0" print="0" autoFill="0" autoLine="0" r:id="rId24">
            <anchor moveWithCells="1">
              <from>
                <xdr:col>5</xdr:col>
                <xdr:colOff>19050</xdr:colOff>
                <xdr:row>5</xdr:row>
                <xdr:rowOff>38100</xdr:rowOff>
              </from>
              <to>
                <xdr:col>5</xdr:col>
                <xdr:colOff>419100</xdr:colOff>
                <xdr:row>5</xdr:row>
                <xdr:rowOff>276225</xdr:rowOff>
              </to>
            </anchor>
          </controlPr>
        </control>
      </mc:Choice>
      <mc:Fallback>
        <control shapeId="2053" r:id="rId23" name="cmdInsertDate"/>
      </mc:Fallback>
    </mc:AlternateContent>
    <mc:AlternateContent xmlns:mc="http://schemas.openxmlformats.org/markup-compatibility/2006">
      <mc:Choice Requires="x14">
        <control shapeId="2052" r:id="rId25" name="cmbEntry">
          <controlPr defaultSize="0" print="0" autoFill="0" autoLine="0" r:id="rId26">
            <anchor moveWithCells="1">
              <from>
                <xdr:col>2</xdr:col>
                <xdr:colOff>514350</xdr:colOff>
                <xdr:row>5</xdr:row>
                <xdr:rowOff>47625</xdr:rowOff>
              </from>
              <to>
                <xdr:col>2</xdr:col>
                <xdr:colOff>1495425</xdr:colOff>
                <xdr:row>6</xdr:row>
                <xdr:rowOff>314325</xdr:rowOff>
              </to>
            </anchor>
          </controlPr>
        </control>
      </mc:Choice>
      <mc:Fallback>
        <control shapeId="2052" r:id="rId25" name="cmbEntry"/>
      </mc:Fallback>
    </mc:AlternateContent>
    <mc:AlternateContent xmlns:mc="http://schemas.openxmlformats.org/markup-compatibility/2006">
      <mc:Choice Requires="x14">
        <control shapeId="2051" r:id="rId27" name="FullScreen">
          <controlPr defaultSize="0" print="0" autoFill="0" autoLine="0" r:id="rId28">
            <anchor moveWithCells="1">
              <from>
                <xdr:col>1</xdr:col>
                <xdr:colOff>28575</xdr:colOff>
                <xdr:row>5</xdr:row>
                <xdr:rowOff>219075</xdr:rowOff>
              </from>
              <to>
                <xdr:col>2</xdr:col>
                <xdr:colOff>400050</xdr:colOff>
                <xdr:row>6</xdr:row>
                <xdr:rowOff>314325</xdr:rowOff>
              </to>
            </anchor>
          </controlPr>
        </control>
      </mc:Choice>
      <mc:Fallback>
        <control shapeId="2051" r:id="rId27" name="FullScreen"/>
      </mc:Fallback>
    </mc:AlternateContent>
    <mc:AlternateContent xmlns:mc="http://schemas.openxmlformats.org/markup-compatibility/2006">
      <mc:Choice Requires="x14">
        <control shapeId="2050" r:id="rId29" name="btnHideDisplayComments">
          <controlPr defaultSize="0" print="0" autoFill="0" autoLine="0" r:id="rId30">
            <anchor moveWithCells="1">
              <from>
                <xdr:col>1</xdr:col>
                <xdr:colOff>28575</xdr:colOff>
                <xdr:row>4</xdr:row>
                <xdr:rowOff>104775</xdr:rowOff>
              </from>
              <to>
                <xdr:col>2</xdr:col>
                <xdr:colOff>400050</xdr:colOff>
                <xdr:row>5</xdr:row>
                <xdr:rowOff>180975</xdr:rowOff>
              </to>
            </anchor>
          </controlPr>
        </control>
      </mc:Choice>
      <mc:Fallback>
        <control shapeId="2050" r:id="rId29" name="btnHideDisplayComments"/>
      </mc:Fallback>
    </mc:AlternateContent>
    <mc:AlternateContent xmlns:mc="http://schemas.openxmlformats.org/markup-compatibility/2006">
      <mc:Choice Requires="x14">
        <control shapeId="2049" r:id="rId31" name="AutosizeBudget">
          <controlPr defaultSize="0" print="0" autoFill="0" autoLine="0" r:id="rId32">
            <anchor moveWithCells="1">
              <from>
                <xdr:col>1</xdr:col>
                <xdr:colOff>28575</xdr:colOff>
                <xdr:row>3</xdr:row>
                <xdr:rowOff>28575</xdr:rowOff>
              </from>
              <to>
                <xdr:col>2</xdr:col>
                <xdr:colOff>400050</xdr:colOff>
                <xdr:row>4</xdr:row>
                <xdr:rowOff>66675</xdr:rowOff>
              </to>
            </anchor>
          </controlPr>
        </control>
      </mc:Choice>
      <mc:Fallback>
        <control shapeId="2049" r:id="rId31" name="AutosizeBudg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Z1186"/>
  <sheetViews>
    <sheetView showGridLines="0" zoomScaleNormal="100" workbookViewId="0">
      <selection activeCell="D9" sqref="D9"/>
    </sheetView>
  </sheetViews>
  <sheetFormatPr defaultRowHeight="12.75" x14ac:dyDescent="0.2"/>
  <cols>
    <col min="1" max="1" width="1.85546875" style="3" customWidth="1"/>
    <col min="2" max="2" width="19.28515625" style="3" customWidth="1"/>
    <col min="3" max="3" width="23.140625" style="36" customWidth="1"/>
    <col min="4" max="4" width="20.28515625" style="36" customWidth="1"/>
    <col min="5" max="5" width="20.140625" style="36" customWidth="1"/>
    <col min="6" max="6" width="18.7109375" style="3" hidden="1" customWidth="1"/>
    <col min="7" max="7" width="21.85546875" style="3" hidden="1" customWidth="1"/>
    <col min="8" max="8" width="22.7109375" style="36" hidden="1" customWidth="1"/>
    <col min="9" max="9" width="2.7109375" style="3" customWidth="1"/>
    <col min="10" max="10" width="27.140625" style="3" customWidth="1"/>
    <col min="11" max="11" width="8.28515625" style="3" customWidth="1"/>
    <col min="12" max="12" width="4" style="3" customWidth="1"/>
    <col min="13" max="13" width="13" style="3" customWidth="1"/>
    <col min="14" max="24" width="9.140625" style="3"/>
    <col min="25" max="26" width="9.140625" style="3" hidden="1" customWidth="1"/>
    <col min="27" max="256" width="9.140625" style="3"/>
    <col min="257" max="257" width="1.85546875" style="3" customWidth="1"/>
    <col min="258" max="258" width="19.28515625" style="3" customWidth="1"/>
    <col min="259" max="259" width="23.140625" style="3" customWidth="1"/>
    <col min="260" max="260" width="20.28515625" style="3" customWidth="1"/>
    <col min="261" max="261" width="20.140625" style="3" customWidth="1"/>
    <col min="262" max="264" width="0" style="3" hidden="1" customWidth="1"/>
    <col min="265" max="265" width="2.7109375" style="3" customWidth="1"/>
    <col min="266" max="266" width="27.140625" style="3" customWidth="1"/>
    <col min="267" max="267" width="8.28515625" style="3" customWidth="1"/>
    <col min="268" max="268" width="4" style="3" customWidth="1"/>
    <col min="269" max="269" width="13" style="3" customWidth="1"/>
    <col min="270" max="280" width="9.140625" style="3"/>
    <col min="281" max="282" width="0" style="3" hidden="1" customWidth="1"/>
    <col min="283" max="512" width="9.140625" style="3"/>
    <col min="513" max="513" width="1.85546875" style="3" customWidth="1"/>
    <col min="514" max="514" width="19.28515625" style="3" customWidth="1"/>
    <col min="515" max="515" width="23.140625" style="3" customWidth="1"/>
    <col min="516" max="516" width="20.28515625" style="3" customWidth="1"/>
    <col min="517" max="517" width="20.140625" style="3" customWidth="1"/>
    <col min="518" max="520" width="0" style="3" hidden="1" customWidth="1"/>
    <col min="521" max="521" width="2.7109375" style="3" customWidth="1"/>
    <col min="522" max="522" width="27.140625" style="3" customWidth="1"/>
    <col min="523" max="523" width="8.28515625" style="3" customWidth="1"/>
    <col min="524" max="524" width="4" style="3" customWidth="1"/>
    <col min="525" max="525" width="13" style="3" customWidth="1"/>
    <col min="526" max="536" width="9.140625" style="3"/>
    <col min="537" max="538" width="0" style="3" hidden="1" customWidth="1"/>
    <col min="539" max="768" width="9.140625" style="3"/>
    <col min="769" max="769" width="1.85546875" style="3" customWidth="1"/>
    <col min="770" max="770" width="19.28515625" style="3" customWidth="1"/>
    <col min="771" max="771" width="23.140625" style="3" customWidth="1"/>
    <col min="772" max="772" width="20.28515625" style="3" customWidth="1"/>
    <col min="773" max="773" width="20.140625" style="3" customWidth="1"/>
    <col min="774" max="776" width="0" style="3" hidden="1" customWidth="1"/>
    <col min="777" max="777" width="2.7109375" style="3" customWidth="1"/>
    <col min="778" max="778" width="27.140625" style="3" customWidth="1"/>
    <col min="779" max="779" width="8.28515625" style="3" customWidth="1"/>
    <col min="780" max="780" width="4" style="3" customWidth="1"/>
    <col min="781" max="781" width="13" style="3" customWidth="1"/>
    <col min="782" max="792" width="9.140625" style="3"/>
    <col min="793" max="794" width="0" style="3" hidden="1" customWidth="1"/>
    <col min="795" max="1024" width="9.140625" style="3"/>
    <col min="1025" max="1025" width="1.85546875" style="3" customWidth="1"/>
    <col min="1026" max="1026" width="19.28515625" style="3" customWidth="1"/>
    <col min="1027" max="1027" width="23.140625" style="3" customWidth="1"/>
    <col min="1028" max="1028" width="20.28515625" style="3" customWidth="1"/>
    <col min="1029" max="1029" width="20.140625" style="3" customWidth="1"/>
    <col min="1030" max="1032" width="0" style="3" hidden="1" customWidth="1"/>
    <col min="1033" max="1033" width="2.7109375" style="3" customWidth="1"/>
    <col min="1034" max="1034" width="27.140625" style="3" customWidth="1"/>
    <col min="1035" max="1035" width="8.28515625" style="3" customWidth="1"/>
    <col min="1036" max="1036" width="4" style="3" customWidth="1"/>
    <col min="1037" max="1037" width="13" style="3" customWidth="1"/>
    <col min="1038" max="1048" width="9.140625" style="3"/>
    <col min="1049" max="1050" width="0" style="3" hidden="1" customWidth="1"/>
    <col min="1051" max="1280" width="9.140625" style="3"/>
    <col min="1281" max="1281" width="1.85546875" style="3" customWidth="1"/>
    <col min="1282" max="1282" width="19.28515625" style="3" customWidth="1"/>
    <col min="1283" max="1283" width="23.140625" style="3" customWidth="1"/>
    <col min="1284" max="1284" width="20.28515625" style="3" customWidth="1"/>
    <col min="1285" max="1285" width="20.140625" style="3" customWidth="1"/>
    <col min="1286" max="1288" width="0" style="3" hidden="1" customWidth="1"/>
    <col min="1289" max="1289" width="2.7109375" style="3" customWidth="1"/>
    <col min="1290" max="1290" width="27.140625" style="3" customWidth="1"/>
    <col min="1291" max="1291" width="8.28515625" style="3" customWidth="1"/>
    <col min="1292" max="1292" width="4" style="3" customWidth="1"/>
    <col min="1293" max="1293" width="13" style="3" customWidth="1"/>
    <col min="1294" max="1304" width="9.140625" style="3"/>
    <col min="1305" max="1306" width="0" style="3" hidden="1" customWidth="1"/>
    <col min="1307" max="1536" width="9.140625" style="3"/>
    <col min="1537" max="1537" width="1.85546875" style="3" customWidth="1"/>
    <col min="1538" max="1538" width="19.28515625" style="3" customWidth="1"/>
    <col min="1539" max="1539" width="23.140625" style="3" customWidth="1"/>
    <col min="1540" max="1540" width="20.28515625" style="3" customWidth="1"/>
    <col min="1541" max="1541" width="20.140625" style="3" customWidth="1"/>
    <col min="1542" max="1544" width="0" style="3" hidden="1" customWidth="1"/>
    <col min="1545" max="1545" width="2.7109375" style="3" customWidth="1"/>
    <col min="1546" max="1546" width="27.140625" style="3" customWidth="1"/>
    <col min="1547" max="1547" width="8.28515625" style="3" customWidth="1"/>
    <col min="1548" max="1548" width="4" style="3" customWidth="1"/>
    <col min="1549" max="1549" width="13" style="3" customWidth="1"/>
    <col min="1550" max="1560" width="9.140625" style="3"/>
    <col min="1561" max="1562" width="0" style="3" hidden="1" customWidth="1"/>
    <col min="1563" max="1792" width="9.140625" style="3"/>
    <col min="1793" max="1793" width="1.85546875" style="3" customWidth="1"/>
    <col min="1794" max="1794" width="19.28515625" style="3" customWidth="1"/>
    <col min="1795" max="1795" width="23.140625" style="3" customWidth="1"/>
    <col min="1796" max="1796" width="20.28515625" style="3" customWidth="1"/>
    <col min="1797" max="1797" width="20.140625" style="3" customWidth="1"/>
    <col min="1798" max="1800" width="0" style="3" hidden="1" customWidth="1"/>
    <col min="1801" max="1801" width="2.7109375" style="3" customWidth="1"/>
    <col min="1802" max="1802" width="27.140625" style="3" customWidth="1"/>
    <col min="1803" max="1803" width="8.28515625" style="3" customWidth="1"/>
    <col min="1804" max="1804" width="4" style="3" customWidth="1"/>
    <col min="1805" max="1805" width="13" style="3" customWidth="1"/>
    <col min="1806" max="1816" width="9.140625" style="3"/>
    <col min="1817" max="1818" width="0" style="3" hidden="1" customWidth="1"/>
    <col min="1819" max="2048" width="9.140625" style="3"/>
    <col min="2049" max="2049" width="1.85546875" style="3" customWidth="1"/>
    <col min="2050" max="2050" width="19.28515625" style="3" customWidth="1"/>
    <col min="2051" max="2051" width="23.140625" style="3" customWidth="1"/>
    <col min="2052" max="2052" width="20.28515625" style="3" customWidth="1"/>
    <col min="2053" max="2053" width="20.140625" style="3" customWidth="1"/>
    <col min="2054" max="2056" width="0" style="3" hidden="1" customWidth="1"/>
    <col min="2057" max="2057" width="2.7109375" style="3" customWidth="1"/>
    <col min="2058" max="2058" width="27.140625" style="3" customWidth="1"/>
    <col min="2059" max="2059" width="8.28515625" style="3" customWidth="1"/>
    <col min="2060" max="2060" width="4" style="3" customWidth="1"/>
    <col min="2061" max="2061" width="13" style="3" customWidth="1"/>
    <col min="2062" max="2072" width="9.140625" style="3"/>
    <col min="2073" max="2074" width="0" style="3" hidden="1" customWidth="1"/>
    <col min="2075" max="2304" width="9.140625" style="3"/>
    <col min="2305" max="2305" width="1.85546875" style="3" customWidth="1"/>
    <col min="2306" max="2306" width="19.28515625" style="3" customWidth="1"/>
    <col min="2307" max="2307" width="23.140625" style="3" customWidth="1"/>
    <col min="2308" max="2308" width="20.28515625" style="3" customWidth="1"/>
    <col min="2309" max="2309" width="20.140625" style="3" customWidth="1"/>
    <col min="2310" max="2312" width="0" style="3" hidden="1" customWidth="1"/>
    <col min="2313" max="2313" width="2.7109375" style="3" customWidth="1"/>
    <col min="2314" max="2314" width="27.140625" style="3" customWidth="1"/>
    <col min="2315" max="2315" width="8.28515625" style="3" customWidth="1"/>
    <col min="2316" max="2316" width="4" style="3" customWidth="1"/>
    <col min="2317" max="2317" width="13" style="3" customWidth="1"/>
    <col min="2318" max="2328" width="9.140625" style="3"/>
    <col min="2329" max="2330" width="0" style="3" hidden="1" customWidth="1"/>
    <col min="2331" max="2560" width="9.140625" style="3"/>
    <col min="2561" max="2561" width="1.85546875" style="3" customWidth="1"/>
    <col min="2562" max="2562" width="19.28515625" style="3" customWidth="1"/>
    <col min="2563" max="2563" width="23.140625" style="3" customWidth="1"/>
    <col min="2564" max="2564" width="20.28515625" style="3" customWidth="1"/>
    <col min="2565" max="2565" width="20.140625" style="3" customWidth="1"/>
    <col min="2566" max="2568" width="0" style="3" hidden="1" customWidth="1"/>
    <col min="2569" max="2569" width="2.7109375" style="3" customWidth="1"/>
    <col min="2570" max="2570" width="27.140625" style="3" customWidth="1"/>
    <col min="2571" max="2571" width="8.28515625" style="3" customWidth="1"/>
    <col min="2572" max="2572" width="4" style="3" customWidth="1"/>
    <col min="2573" max="2573" width="13" style="3" customWidth="1"/>
    <col min="2574" max="2584" width="9.140625" style="3"/>
    <col min="2585" max="2586" width="0" style="3" hidden="1" customWidth="1"/>
    <col min="2587" max="2816" width="9.140625" style="3"/>
    <col min="2817" max="2817" width="1.85546875" style="3" customWidth="1"/>
    <col min="2818" max="2818" width="19.28515625" style="3" customWidth="1"/>
    <col min="2819" max="2819" width="23.140625" style="3" customWidth="1"/>
    <col min="2820" max="2820" width="20.28515625" style="3" customWidth="1"/>
    <col min="2821" max="2821" width="20.140625" style="3" customWidth="1"/>
    <col min="2822" max="2824" width="0" style="3" hidden="1" customWidth="1"/>
    <col min="2825" max="2825" width="2.7109375" style="3" customWidth="1"/>
    <col min="2826" max="2826" width="27.140625" style="3" customWidth="1"/>
    <col min="2827" max="2827" width="8.28515625" style="3" customWidth="1"/>
    <col min="2828" max="2828" width="4" style="3" customWidth="1"/>
    <col min="2829" max="2829" width="13" style="3" customWidth="1"/>
    <col min="2830" max="2840" width="9.140625" style="3"/>
    <col min="2841" max="2842" width="0" style="3" hidden="1" customWidth="1"/>
    <col min="2843" max="3072" width="9.140625" style="3"/>
    <col min="3073" max="3073" width="1.85546875" style="3" customWidth="1"/>
    <col min="3074" max="3074" width="19.28515625" style="3" customWidth="1"/>
    <col min="3075" max="3075" width="23.140625" style="3" customWidth="1"/>
    <col min="3076" max="3076" width="20.28515625" style="3" customWidth="1"/>
    <col min="3077" max="3077" width="20.140625" style="3" customWidth="1"/>
    <col min="3078" max="3080" width="0" style="3" hidden="1" customWidth="1"/>
    <col min="3081" max="3081" width="2.7109375" style="3" customWidth="1"/>
    <col min="3082" max="3082" width="27.140625" style="3" customWidth="1"/>
    <col min="3083" max="3083" width="8.28515625" style="3" customWidth="1"/>
    <col min="3084" max="3084" width="4" style="3" customWidth="1"/>
    <col min="3085" max="3085" width="13" style="3" customWidth="1"/>
    <col min="3086" max="3096" width="9.140625" style="3"/>
    <col min="3097" max="3098" width="0" style="3" hidden="1" customWidth="1"/>
    <col min="3099" max="3328" width="9.140625" style="3"/>
    <col min="3329" max="3329" width="1.85546875" style="3" customWidth="1"/>
    <col min="3330" max="3330" width="19.28515625" style="3" customWidth="1"/>
    <col min="3331" max="3331" width="23.140625" style="3" customWidth="1"/>
    <col min="3332" max="3332" width="20.28515625" style="3" customWidth="1"/>
    <col min="3333" max="3333" width="20.140625" style="3" customWidth="1"/>
    <col min="3334" max="3336" width="0" style="3" hidden="1" customWidth="1"/>
    <col min="3337" max="3337" width="2.7109375" style="3" customWidth="1"/>
    <col min="3338" max="3338" width="27.140625" style="3" customWidth="1"/>
    <col min="3339" max="3339" width="8.28515625" style="3" customWidth="1"/>
    <col min="3340" max="3340" width="4" style="3" customWidth="1"/>
    <col min="3341" max="3341" width="13" style="3" customWidth="1"/>
    <col min="3342" max="3352" width="9.140625" style="3"/>
    <col min="3353" max="3354" width="0" style="3" hidden="1" customWidth="1"/>
    <col min="3355" max="3584" width="9.140625" style="3"/>
    <col min="3585" max="3585" width="1.85546875" style="3" customWidth="1"/>
    <col min="3586" max="3586" width="19.28515625" style="3" customWidth="1"/>
    <col min="3587" max="3587" width="23.140625" style="3" customWidth="1"/>
    <col min="3588" max="3588" width="20.28515625" style="3" customWidth="1"/>
    <col min="3589" max="3589" width="20.140625" style="3" customWidth="1"/>
    <col min="3590" max="3592" width="0" style="3" hidden="1" customWidth="1"/>
    <col min="3593" max="3593" width="2.7109375" style="3" customWidth="1"/>
    <col min="3594" max="3594" width="27.140625" style="3" customWidth="1"/>
    <col min="3595" max="3595" width="8.28515625" style="3" customWidth="1"/>
    <col min="3596" max="3596" width="4" style="3" customWidth="1"/>
    <col min="3597" max="3597" width="13" style="3" customWidth="1"/>
    <col min="3598" max="3608" width="9.140625" style="3"/>
    <col min="3609" max="3610" width="0" style="3" hidden="1" customWidth="1"/>
    <col min="3611" max="3840" width="9.140625" style="3"/>
    <col min="3841" max="3841" width="1.85546875" style="3" customWidth="1"/>
    <col min="3842" max="3842" width="19.28515625" style="3" customWidth="1"/>
    <col min="3843" max="3843" width="23.140625" style="3" customWidth="1"/>
    <col min="3844" max="3844" width="20.28515625" style="3" customWidth="1"/>
    <col min="3845" max="3845" width="20.140625" style="3" customWidth="1"/>
    <col min="3846" max="3848" width="0" style="3" hidden="1" customWidth="1"/>
    <col min="3849" max="3849" width="2.7109375" style="3" customWidth="1"/>
    <col min="3850" max="3850" width="27.140625" style="3" customWidth="1"/>
    <col min="3851" max="3851" width="8.28515625" style="3" customWidth="1"/>
    <col min="3852" max="3852" width="4" style="3" customWidth="1"/>
    <col min="3853" max="3853" width="13" style="3" customWidth="1"/>
    <col min="3854" max="3864" width="9.140625" style="3"/>
    <col min="3865" max="3866" width="0" style="3" hidden="1" customWidth="1"/>
    <col min="3867" max="4096" width="9.140625" style="3"/>
    <col min="4097" max="4097" width="1.85546875" style="3" customWidth="1"/>
    <col min="4098" max="4098" width="19.28515625" style="3" customWidth="1"/>
    <col min="4099" max="4099" width="23.140625" style="3" customWidth="1"/>
    <col min="4100" max="4100" width="20.28515625" style="3" customWidth="1"/>
    <col min="4101" max="4101" width="20.140625" style="3" customWidth="1"/>
    <col min="4102" max="4104" width="0" style="3" hidden="1" customWidth="1"/>
    <col min="4105" max="4105" width="2.7109375" style="3" customWidth="1"/>
    <col min="4106" max="4106" width="27.140625" style="3" customWidth="1"/>
    <col min="4107" max="4107" width="8.28515625" style="3" customWidth="1"/>
    <col min="4108" max="4108" width="4" style="3" customWidth="1"/>
    <col min="4109" max="4109" width="13" style="3" customWidth="1"/>
    <col min="4110" max="4120" width="9.140625" style="3"/>
    <col min="4121" max="4122" width="0" style="3" hidden="1" customWidth="1"/>
    <col min="4123" max="4352" width="9.140625" style="3"/>
    <col min="4353" max="4353" width="1.85546875" style="3" customWidth="1"/>
    <col min="4354" max="4354" width="19.28515625" style="3" customWidth="1"/>
    <col min="4355" max="4355" width="23.140625" style="3" customWidth="1"/>
    <col min="4356" max="4356" width="20.28515625" style="3" customWidth="1"/>
    <col min="4357" max="4357" width="20.140625" style="3" customWidth="1"/>
    <col min="4358" max="4360" width="0" style="3" hidden="1" customWidth="1"/>
    <col min="4361" max="4361" width="2.7109375" style="3" customWidth="1"/>
    <col min="4362" max="4362" width="27.140625" style="3" customWidth="1"/>
    <col min="4363" max="4363" width="8.28515625" style="3" customWidth="1"/>
    <col min="4364" max="4364" width="4" style="3" customWidth="1"/>
    <col min="4365" max="4365" width="13" style="3" customWidth="1"/>
    <col min="4366" max="4376" width="9.140625" style="3"/>
    <col min="4377" max="4378" width="0" style="3" hidden="1" customWidth="1"/>
    <col min="4379" max="4608" width="9.140625" style="3"/>
    <col min="4609" max="4609" width="1.85546875" style="3" customWidth="1"/>
    <col min="4610" max="4610" width="19.28515625" style="3" customWidth="1"/>
    <col min="4611" max="4611" width="23.140625" style="3" customWidth="1"/>
    <col min="4612" max="4612" width="20.28515625" style="3" customWidth="1"/>
    <col min="4613" max="4613" width="20.140625" style="3" customWidth="1"/>
    <col min="4614" max="4616" width="0" style="3" hidden="1" customWidth="1"/>
    <col min="4617" max="4617" width="2.7109375" style="3" customWidth="1"/>
    <col min="4618" max="4618" width="27.140625" style="3" customWidth="1"/>
    <col min="4619" max="4619" width="8.28515625" style="3" customWidth="1"/>
    <col min="4620" max="4620" width="4" style="3" customWidth="1"/>
    <col min="4621" max="4621" width="13" style="3" customWidth="1"/>
    <col min="4622" max="4632" width="9.140625" style="3"/>
    <col min="4633" max="4634" width="0" style="3" hidden="1" customWidth="1"/>
    <col min="4635" max="4864" width="9.140625" style="3"/>
    <col min="4865" max="4865" width="1.85546875" style="3" customWidth="1"/>
    <col min="4866" max="4866" width="19.28515625" style="3" customWidth="1"/>
    <col min="4867" max="4867" width="23.140625" style="3" customWidth="1"/>
    <col min="4868" max="4868" width="20.28515625" style="3" customWidth="1"/>
    <col min="4869" max="4869" width="20.140625" style="3" customWidth="1"/>
    <col min="4870" max="4872" width="0" style="3" hidden="1" customWidth="1"/>
    <col min="4873" max="4873" width="2.7109375" style="3" customWidth="1"/>
    <col min="4874" max="4874" width="27.140625" style="3" customWidth="1"/>
    <col min="4875" max="4875" width="8.28515625" style="3" customWidth="1"/>
    <col min="4876" max="4876" width="4" style="3" customWidth="1"/>
    <col min="4877" max="4877" width="13" style="3" customWidth="1"/>
    <col min="4878" max="4888" width="9.140625" style="3"/>
    <col min="4889" max="4890" width="0" style="3" hidden="1" customWidth="1"/>
    <col min="4891" max="5120" width="9.140625" style="3"/>
    <col min="5121" max="5121" width="1.85546875" style="3" customWidth="1"/>
    <col min="5122" max="5122" width="19.28515625" style="3" customWidth="1"/>
    <col min="5123" max="5123" width="23.140625" style="3" customWidth="1"/>
    <col min="5124" max="5124" width="20.28515625" style="3" customWidth="1"/>
    <col min="5125" max="5125" width="20.140625" style="3" customWidth="1"/>
    <col min="5126" max="5128" width="0" style="3" hidden="1" customWidth="1"/>
    <col min="5129" max="5129" width="2.7109375" style="3" customWidth="1"/>
    <col min="5130" max="5130" width="27.140625" style="3" customWidth="1"/>
    <col min="5131" max="5131" width="8.28515625" style="3" customWidth="1"/>
    <col min="5132" max="5132" width="4" style="3" customWidth="1"/>
    <col min="5133" max="5133" width="13" style="3" customWidth="1"/>
    <col min="5134" max="5144" width="9.140625" style="3"/>
    <col min="5145" max="5146" width="0" style="3" hidden="1" customWidth="1"/>
    <col min="5147" max="5376" width="9.140625" style="3"/>
    <col min="5377" max="5377" width="1.85546875" style="3" customWidth="1"/>
    <col min="5378" max="5378" width="19.28515625" style="3" customWidth="1"/>
    <col min="5379" max="5379" width="23.140625" style="3" customWidth="1"/>
    <col min="5380" max="5380" width="20.28515625" style="3" customWidth="1"/>
    <col min="5381" max="5381" width="20.140625" style="3" customWidth="1"/>
    <col min="5382" max="5384" width="0" style="3" hidden="1" customWidth="1"/>
    <col min="5385" max="5385" width="2.7109375" style="3" customWidth="1"/>
    <col min="5386" max="5386" width="27.140625" style="3" customWidth="1"/>
    <col min="5387" max="5387" width="8.28515625" style="3" customWidth="1"/>
    <col min="5388" max="5388" width="4" style="3" customWidth="1"/>
    <col min="5389" max="5389" width="13" style="3" customWidth="1"/>
    <col min="5390" max="5400" width="9.140625" style="3"/>
    <col min="5401" max="5402" width="0" style="3" hidden="1" customWidth="1"/>
    <col min="5403" max="5632" width="9.140625" style="3"/>
    <col min="5633" max="5633" width="1.85546875" style="3" customWidth="1"/>
    <col min="5634" max="5634" width="19.28515625" style="3" customWidth="1"/>
    <col min="5635" max="5635" width="23.140625" style="3" customWidth="1"/>
    <col min="5636" max="5636" width="20.28515625" style="3" customWidth="1"/>
    <col min="5637" max="5637" width="20.140625" style="3" customWidth="1"/>
    <col min="5638" max="5640" width="0" style="3" hidden="1" customWidth="1"/>
    <col min="5641" max="5641" width="2.7109375" style="3" customWidth="1"/>
    <col min="5642" max="5642" width="27.140625" style="3" customWidth="1"/>
    <col min="5643" max="5643" width="8.28515625" style="3" customWidth="1"/>
    <col min="5644" max="5644" width="4" style="3" customWidth="1"/>
    <col min="5645" max="5645" width="13" style="3" customWidth="1"/>
    <col min="5646" max="5656" width="9.140625" style="3"/>
    <col min="5657" max="5658" width="0" style="3" hidden="1" customWidth="1"/>
    <col min="5659" max="5888" width="9.140625" style="3"/>
    <col min="5889" max="5889" width="1.85546875" style="3" customWidth="1"/>
    <col min="5890" max="5890" width="19.28515625" style="3" customWidth="1"/>
    <col min="5891" max="5891" width="23.140625" style="3" customWidth="1"/>
    <col min="5892" max="5892" width="20.28515625" style="3" customWidth="1"/>
    <col min="5893" max="5893" width="20.140625" style="3" customWidth="1"/>
    <col min="5894" max="5896" width="0" style="3" hidden="1" customWidth="1"/>
    <col min="5897" max="5897" width="2.7109375" style="3" customWidth="1"/>
    <col min="5898" max="5898" width="27.140625" style="3" customWidth="1"/>
    <col min="5899" max="5899" width="8.28515625" style="3" customWidth="1"/>
    <col min="5900" max="5900" width="4" style="3" customWidth="1"/>
    <col min="5901" max="5901" width="13" style="3" customWidth="1"/>
    <col min="5902" max="5912" width="9.140625" style="3"/>
    <col min="5913" max="5914" width="0" style="3" hidden="1" customWidth="1"/>
    <col min="5915" max="6144" width="9.140625" style="3"/>
    <col min="6145" max="6145" width="1.85546875" style="3" customWidth="1"/>
    <col min="6146" max="6146" width="19.28515625" style="3" customWidth="1"/>
    <col min="6147" max="6147" width="23.140625" style="3" customWidth="1"/>
    <col min="6148" max="6148" width="20.28515625" style="3" customWidth="1"/>
    <col min="6149" max="6149" width="20.140625" style="3" customWidth="1"/>
    <col min="6150" max="6152" width="0" style="3" hidden="1" customWidth="1"/>
    <col min="6153" max="6153" width="2.7109375" style="3" customWidth="1"/>
    <col min="6154" max="6154" width="27.140625" style="3" customWidth="1"/>
    <col min="6155" max="6155" width="8.28515625" style="3" customWidth="1"/>
    <col min="6156" max="6156" width="4" style="3" customWidth="1"/>
    <col min="6157" max="6157" width="13" style="3" customWidth="1"/>
    <col min="6158" max="6168" width="9.140625" style="3"/>
    <col min="6169" max="6170" width="0" style="3" hidden="1" customWidth="1"/>
    <col min="6171" max="6400" width="9.140625" style="3"/>
    <col min="6401" max="6401" width="1.85546875" style="3" customWidth="1"/>
    <col min="6402" max="6402" width="19.28515625" style="3" customWidth="1"/>
    <col min="6403" max="6403" width="23.140625" style="3" customWidth="1"/>
    <col min="6404" max="6404" width="20.28515625" style="3" customWidth="1"/>
    <col min="6405" max="6405" width="20.140625" style="3" customWidth="1"/>
    <col min="6406" max="6408" width="0" style="3" hidden="1" customWidth="1"/>
    <col min="6409" max="6409" width="2.7109375" style="3" customWidth="1"/>
    <col min="6410" max="6410" width="27.140625" style="3" customWidth="1"/>
    <col min="6411" max="6411" width="8.28515625" style="3" customWidth="1"/>
    <col min="6412" max="6412" width="4" style="3" customWidth="1"/>
    <col min="6413" max="6413" width="13" style="3" customWidth="1"/>
    <col min="6414" max="6424" width="9.140625" style="3"/>
    <col min="6425" max="6426" width="0" style="3" hidden="1" customWidth="1"/>
    <col min="6427" max="6656" width="9.140625" style="3"/>
    <col min="6657" max="6657" width="1.85546875" style="3" customWidth="1"/>
    <col min="6658" max="6658" width="19.28515625" style="3" customWidth="1"/>
    <col min="6659" max="6659" width="23.140625" style="3" customWidth="1"/>
    <col min="6660" max="6660" width="20.28515625" style="3" customWidth="1"/>
    <col min="6661" max="6661" width="20.140625" style="3" customWidth="1"/>
    <col min="6662" max="6664" width="0" style="3" hidden="1" customWidth="1"/>
    <col min="6665" max="6665" width="2.7109375" style="3" customWidth="1"/>
    <col min="6666" max="6666" width="27.140625" style="3" customWidth="1"/>
    <col min="6667" max="6667" width="8.28515625" style="3" customWidth="1"/>
    <col min="6668" max="6668" width="4" style="3" customWidth="1"/>
    <col min="6669" max="6669" width="13" style="3" customWidth="1"/>
    <col min="6670" max="6680" width="9.140625" style="3"/>
    <col min="6681" max="6682" width="0" style="3" hidden="1" customWidth="1"/>
    <col min="6683" max="6912" width="9.140625" style="3"/>
    <col min="6913" max="6913" width="1.85546875" style="3" customWidth="1"/>
    <col min="6914" max="6914" width="19.28515625" style="3" customWidth="1"/>
    <col min="6915" max="6915" width="23.140625" style="3" customWidth="1"/>
    <col min="6916" max="6916" width="20.28515625" style="3" customWidth="1"/>
    <col min="6917" max="6917" width="20.140625" style="3" customWidth="1"/>
    <col min="6918" max="6920" width="0" style="3" hidden="1" customWidth="1"/>
    <col min="6921" max="6921" width="2.7109375" style="3" customWidth="1"/>
    <col min="6922" max="6922" width="27.140625" style="3" customWidth="1"/>
    <col min="6923" max="6923" width="8.28515625" style="3" customWidth="1"/>
    <col min="6924" max="6924" width="4" style="3" customWidth="1"/>
    <col min="6925" max="6925" width="13" style="3" customWidth="1"/>
    <col min="6926" max="6936" width="9.140625" style="3"/>
    <col min="6937" max="6938" width="0" style="3" hidden="1" customWidth="1"/>
    <col min="6939" max="7168" width="9.140625" style="3"/>
    <col min="7169" max="7169" width="1.85546875" style="3" customWidth="1"/>
    <col min="7170" max="7170" width="19.28515625" style="3" customWidth="1"/>
    <col min="7171" max="7171" width="23.140625" style="3" customWidth="1"/>
    <col min="7172" max="7172" width="20.28515625" style="3" customWidth="1"/>
    <col min="7173" max="7173" width="20.140625" style="3" customWidth="1"/>
    <col min="7174" max="7176" width="0" style="3" hidden="1" customWidth="1"/>
    <col min="7177" max="7177" width="2.7109375" style="3" customWidth="1"/>
    <col min="7178" max="7178" width="27.140625" style="3" customWidth="1"/>
    <col min="7179" max="7179" width="8.28515625" style="3" customWidth="1"/>
    <col min="7180" max="7180" width="4" style="3" customWidth="1"/>
    <col min="7181" max="7181" width="13" style="3" customWidth="1"/>
    <col min="7182" max="7192" width="9.140625" style="3"/>
    <col min="7193" max="7194" width="0" style="3" hidden="1" customWidth="1"/>
    <col min="7195" max="7424" width="9.140625" style="3"/>
    <col min="7425" max="7425" width="1.85546875" style="3" customWidth="1"/>
    <col min="7426" max="7426" width="19.28515625" style="3" customWidth="1"/>
    <col min="7427" max="7427" width="23.140625" style="3" customWidth="1"/>
    <col min="7428" max="7428" width="20.28515625" style="3" customWidth="1"/>
    <col min="7429" max="7429" width="20.140625" style="3" customWidth="1"/>
    <col min="7430" max="7432" width="0" style="3" hidden="1" customWidth="1"/>
    <col min="7433" max="7433" width="2.7109375" style="3" customWidth="1"/>
    <col min="7434" max="7434" width="27.140625" style="3" customWidth="1"/>
    <col min="7435" max="7435" width="8.28515625" style="3" customWidth="1"/>
    <col min="7436" max="7436" width="4" style="3" customWidth="1"/>
    <col min="7437" max="7437" width="13" style="3" customWidth="1"/>
    <col min="7438" max="7448" width="9.140625" style="3"/>
    <col min="7449" max="7450" width="0" style="3" hidden="1" customWidth="1"/>
    <col min="7451" max="7680" width="9.140625" style="3"/>
    <col min="7681" max="7681" width="1.85546875" style="3" customWidth="1"/>
    <col min="7682" max="7682" width="19.28515625" style="3" customWidth="1"/>
    <col min="7683" max="7683" width="23.140625" style="3" customWidth="1"/>
    <col min="7684" max="7684" width="20.28515625" style="3" customWidth="1"/>
    <col min="7685" max="7685" width="20.140625" style="3" customWidth="1"/>
    <col min="7686" max="7688" width="0" style="3" hidden="1" customWidth="1"/>
    <col min="7689" max="7689" width="2.7109375" style="3" customWidth="1"/>
    <col min="7690" max="7690" width="27.140625" style="3" customWidth="1"/>
    <col min="7691" max="7691" width="8.28515625" style="3" customWidth="1"/>
    <col min="7692" max="7692" width="4" style="3" customWidth="1"/>
    <col min="7693" max="7693" width="13" style="3" customWidth="1"/>
    <col min="7694" max="7704" width="9.140625" style="3"/>
    <col min="7705" max="7706" width="0" style="3" hidden="1" customWidth="1"/>
    <col min="7707" max="7936" width="9.140625" style="3"/>
    <col min="7937" max="7937" width="1.85546875" style="3" customWidth="1"/>
    <col min="7938" max="7938" width="19.28515625" style="3" customWidth="1"/>
    <col min="7939" max="7939" width="23.140625" style="3" customWidth="1"/>
    <col min="7940" max="7940" width="20.28515625" style="3" customWidth="1"/>
    <col min="7941" max="7941" width="20.140625" style="3" customWidth="1"/>
    <col min="7942" max="7944" width="0" style="3" hidden="1" customWidth="1"/>
    <col min="7945" max="7945" width="2.7109375" style="3" customWidth="1"/>
    <col min="7946" max="7946" width="27.140625" style="3" customWidth="1"/>
    <col min="7947" max="7947" width="8.28515625" style="3" customWidth="1"/>
    <col min="7948" max="7948" width="4" style="3" customWidth="1"/>
    <col min="7949" max="7949" width="13" style="3" customWidth="1"/>
    <col min="7950" max="7960" width="9.140625" style="3"/>
    <col min="7961" max="7962" width="0" style="3" hidden="1" customWidth="1"/>
    <col min="7963" max="8192" width="9.140625" style="3"/>
    <col min="8193" max="8193" width="1.85546875" style="3" customWidth="1"/>
    <col min="8194" max="8194" width="19.28515625" style="3" customWidth="1"/>
    <col min="8195" max="8195" width="23.140625" style="3" customWidth="1"/>
    <col min="8196" max="8196" width="20.28515625" style="3" customWidth="1"/>
    <col min="8197" max="8197" width="20.140625" style="3" customWidth="1"/>
    <col min="8198" max="8200" width="0" style="3" hidden="1" customWidth="1"/>
    <col min="8201" max="8201" width="2.7109375" style="3" customWidth="1"/>
    <col min="8202" max="8202" width="27.140625" style="3" customWidth="1"/>
    <col min="8203" max="8203" width="8.28515625" style="3" customWidth="1"/>
    <col min="8204" max="8204" width="4" style="3" customWidth="1"/>
    <col min="8205" max="8205" width="13" style="3" customWidth="1"/>
    <col min="8206" max="8216" width="9.140625" style="3"/>
    <col min="8217" max="8218" width="0" style="3" hidden="1" customWidth="1"/>
    <col min="8219" max="8448" width="9.140625" style="3"/>
    <col min="8449" max="8449" width="1.85546875" style="3" customWidth="1"/>
    <col min="8450" max="8450" width="19.28515625" style="3" customWidth="1"/>
    <col min="8451" max="8451" width="23.140625" style="3" customWidth="1"/>
    <col min="8452" max="8452" width="20.28515625" style="3" customWidth="1"/>
    <col min="8453" max="8453" width="20.140625" style="3" customWidth="1"/>
    <col min="8454" max="8456" width="0" style="3" hidden="1" customWidth="1"/>
    <col min="8457" max="8457" width="2.7109375" style="3" customWidth="1"/>
    <col min="8458" max="8458" width="27.140625" style="3" customWidth="1"/>
    <col min="8459" max="8459" width="8.28515625" style="3" customWidth="1"/>
    <col min="8460" max="8460" width="4" style="3" customWidth="1"/>
    <col min="8461" max="8461" width="13" style="3" customWidth="1"/>
    <col min="8462" max="8472" width="9.140625" style="3"/>
    <col min="8473" max="8474" width="0" style="3" hidden="1" customWidth="1"/>
    <col min="8475" max="8704" width="9.140625" style="3"/>
    <col min="8705" max="8705" width="1.85546875" style="3" customWidth="1"/>
    <col min="8706" max="8706" width="19.28515625" style="3" customWidth="1"/>
    <col min="8707" max="8707" width="23.140625" style="3" customWidth="1"/>
    <col min="8708" max="8708" width="20.28515625" style="3" customWidth="1"/>
    <col min="8709" max="8709" width="20.140625" style="3" customWidth="1"/>
    <col min="8710" max="8712" width="0" style="3" hidden="1" customWidth="1"/>
    <col min="8713" max="8713" width="2.7109375" style="3" customWidth="1"/>
    <col min="8714" max="8714" width="27.140625" style="3" customWidth="1"/>
    <col min="8715" max="8715" width="8.28515625" style="3" customWidth="1"/>
    <col min="8716" max="8716" width="4" style="3" customWidth="1"/>
    <col min="8717" max="8717" width="13" style="3" customWidth="1"/>
    <col min="8718" max="8728" width="9.140625" style="3"/>
    <col min="8729" max="8730" width="0" style="3" hidden="1" customWidth="1"/>
    <col min="8731" max="8960" width="9.140625" style="3"/>
    <col min="8961" max="8961" width="1.85546875" style="3" customWidth="1"/>
    <col min="8962" max="8962" width="19.28515625" style="3" customWidth="1"/>
    <col min="8963" max="8963" width="23.140625" style="3" customWidth="1"/>
    <col min="8964" max="8964" width="20.28515625" style="3" customWidth="1"/>
    <col min="8965" max="8965" width="20.140625" style="3" customWidth="1"/>
    <col min="8966" max="8968" width="0" style="3" hidden="1" customWidth="1"/>
    <col min="8969" max="8969" width="2.7109375" style="3" customWidth="1"/>
    <col min="8970" max="8970" width="27.140625" style="3" customWidth="1"/>
    <col min="8971" max="8971" width="8.28515625" style="3" customWidth="1"/>
    <col min="8972" max="8972" width="4" style="3" customWidth="1"/>
    <col min="8973" max="8973" width="13" style="3" customWidth="1"/>
    <col min="8974" max="8984" width="9.140625" style="3"/>
    <col min="8985" max="8986" width="0" style="3" hidden="1" customWidth="1"/>
    <col min="8987" max="9216" width="9.140625" style="3"/>
    <col min="9217" max="9217" width="1.85546875" style="3" customWidth="1"/>
    <col min="9218" max="9218" width="19.28515625" style="3" customWidth="1"/>
    <col min="9219" max="9219" width="23.140625" style="3" customWidth="1"/>
    <col min="9220" max="9220" width="20.28515625" style="3" customWidth="1"/>
    <col min="9221" max="9221" width="20.140625" style="3" customWidth="1"/>
    <col min="9222" max="9224" width="0" style="3" hidden="1" customWidth="1"/>
    <col min="9225" max="9225" width="2.7109375" style="3" customWidth="1"/>
    <col min="9226" max="9226" width="27.140625" style="3" customWidth="1"/>
    <col min="9227" max="9227" width="8.28515625" style="3" customWidth="1"/>
    <col min="9228" max="9228" width="4" style="3" customWidth="1"/>
    <col min="9229" max="9229" width="13" style="3" customWidth="1"/>
    <col min="9230" max="9240" width="9.140625" style="3"/>
    <col min="9241" max="9242" width="0" style="3" hidden="1" customWidth="1"/>
    <col min="9243" max="9472" width="9.140625" style="3"/>
    <col min="9473" max="9473" width="1.85546875" style="3" customWidth="1"/>
    <col min="9474" max="9474" width="19.28515625" style="3" customWidth="1"/>
    <col min="9475" max="9475" width="23.140625" style="3" customWidth="1"/>
    <col min="9476" max="9476" width="20.28515625" style="3" customWidth="1"/>
    <col min="9477" max="9477" width="20.140625" style="3" customWidth="1"/>
    <col min="9478" max="9480" width="0" style="3" hidden="1" customWidth="1"/>
    <col min="9481" max="9481" width="2.7109375" style="3" customWidth="1"/>
    <col min="9482" max="9482" width="27.140625" style="3" customWidth="1"/>
    <col min="9483" max="9483" width="8.28515625" style="3" customWidth="1"/>
    <col min="9484" max="9484" width="4" style="3" customWidth="1"/>
    <col min="9485" max="9485" width="13" style="3" customWidth="1"/>
    <col min="9486" max="9496" width="9.140625" style="3"/>
    <col min="9497" max="9498" width="0" style="3" hidden="1" customWidth="1"/>
    <col min="9499" max="9728" width="9.140625" style="3"/>
    <col min="9729" max="9729" width="1.85546875" style="3" customWidth="1"/>
    <col min="9730" max="9730" width="19.28515625" style="3" customWidth="1"/>
    <col min="9731" max="9731" width="23.140625" style="3" customWidth="1"/>
    <col min="9732" max="9732" width="20.28515625" style="3" customWidth="1"/>
    <col min="9733" max="9733" width="20.140625" style="3" customWidth="1"/>
    <col min="9734" max="9736" width="0" style="3" hidden="1" customWidth="1"/>
    <col min="9737" max="9737" width="2.7109375" style="3" customWidth="1"/>
    <col min="9738" max="9738" width="27.140625" style="3" customWidth="1"/>
    <col min="9739" max="9739" width="8.28515625" style="3" customWidth="1"/>
    <col min="9740" max="9740" width="4" style="3" customWidth="1"/>
    <col min="9741" max="9741" width="13" style="3" customWidth="1"/>
    <col min="9742" max="9752" width="9.140625" style="3"/>
    <col min="9753" max="9754" width="0" style="3" hidden="1" customWidth="1"/>
    <col min="9755" max="9984" width="9.140625" style="3"/>
    <col min="9985" max="9985" width="1.85546875" style="3" customWidth="1"/>
    <col min="9986" max="9986" width="19.28515625" style="3" customWidth="1"/>
    <col min="9987" max="9987" width="23.140625" style="3" customWidth="1"/>
    <col min="9988" max="9988" width="20.28515625" style="3" customWidth="1"/>
    <col min="9989" max="9989" width="20.140625" style="3" customWidth="1"/>
    <col min="9990" max="9992" width="0" style="3" hidden="1" customWidth="1"/>
    <col min="9993" max="9993" width="2.7109375" style="3" customWidth="1"/>
    <col min="9994" max="9994" width="27.140625" style="3" customWidth="1"/>
    <col min="9995" max="9995" width="8.28515625" style="3" customWidth="1"/>
    <col min="9996" max="9996" width="4" style="3" customWidth="1"/>
    <col min="9997" max="9997" width="13" style="3" customWidth="1"/>
    <col min="9998" max="10008" width="9.140625" style="3"/>
    <col min="10009" max="10010" width="0" style="3" hidden="1" customWidth="1"/>
    <col min="10011" max="10240" width="9.140625" style="3"/>
    <col min="10241" max="10241" width="1.85546875" style="3" customWidth="1"/>
    <col min="10242" max="10242" width="19.28515625" style="3" customWidth="1"/>
    <col min="10243" max="10243" width="23.140625" style="3" customWidth="1"/>
    <col min="10244" max="10244" width="20.28515625" style="3" customWidth="1"/>
    <col min="10245" max="10245" width="20.140625" style="3" customWidth="1"/>
    <col min="10246" max="10248" width="0" style="3" hidden="1" customWidth="1"/>
    <col min="10249" max="10249" width="2.7109375" style="3" customWidth="1"/>
    <col min="10250" max="10250" width="27.140625" style="3" customWidth="1"/>
    <col min="10251" max="10251" width="8.28515625" style="3" customWidth="1"/>
    <col min="10252" max="10252" width="4" style="3" customWidth="1"/>
    <col min="10253" max="10253" width="13" style="3" customWidth="1"/>
    <col min="10254" max="10264" width="9.140625" style="3"/>
    <col min="10265" max="10266" width="0" style="3" hidden="1" customWidth="1"/>
    <col min="10267" max="10496" width="9.140625" style="3"/>
    <col min="10497" max="10497" width="1.85546875" style="3" customWidth="1"/>
    <col min="10498" max="10498" width="19.28515625" style="3" customWidth="1"/>
    <col min="10499" max="10499" width="23.140625" style="3" customWidth="1"/>
    <col min="10500" max="10500" width="20.28515625" style="3" customWidth="1"/>
    <col min="10501" max="10501" width="20.140625" style="3" customWidth="1"/>
    <col min="10502" max="10504" width="0" style="3" hidden="1" customWidth="1"/>
    <col min="10505" max="10505" width="2.7109375" style="3" customWidth="1"/>
    <col min="10506" max="10506" width="27.140625" style="3" customWidth="1"/>
    <col min="10507" max="10507" width="8.28515625" style="3" customWidth="1"/>
    <col min="10508" max="10508" width="4" style="3" customWidth="1"/>
    <col min="10509" max="10509" width="13" style="3" customWidth="1"/>
    <col min="10510" max="10520" width="9.140625" style="3"/>
    <col min="10521" max="10522" width="0" style="3" hidden="1" customWidth="1"/>
    <col min="10523" max="10752" width="9.140625" style="3"/>
    <col min="10753" max="10753" width="1.85546875" style="3" customWidth="1"/>
    <col min="10754" max="10754" width="19.28515625" style="3" customWidth="1"/>
    <col min="10755" max="10755" width="23.140625" style="3" customWidth="1"/>
    <col min="10756" max="10756" width="20.28515625" style="3" customWidth="1"/>
    <col min="10757" max="10757" width="20.140625" style="3" customWidth="1"/>
    <col min="10758" max="10760" width="0" style="3" hidden="1" customWidth="1"/>
    <col min="10761" max="10761" width="2.7109375" style="3" customWidth="1"/>
    <col min="10762" max="10762" width="27.140625" style="3" customWidth="1"/>
    <col min="10763" max="10763" width="8.28515625" style="3" customWidth="1"/>
    <col min="10764" max="10764" width="4" style="3" customWidth="1"/>
    <col min="10765" max="10765" width="13" style="3" customWidth="1"/>
    <col min="10766" max="10776" width="9.140625" style="3"/>
    <col min="10777" max="10778" width="0" style="3" hidden="1" customWidth="1"/>
    <col min="10779" max="11008" width="9.140625" style="3"/>
    <col min="11009" max="11009" width="1.85546875" style="3" customWidth="1"/>
    <col min="11010" max="11010" width="19.28515625" style="3" customWidth="1"/>
    <col min="11011" max="11011" width="23.140625" style="3" customWidth="1"/>
    <col min="11012" max="11012" width="20.28515625" style="3" customWidth="1"/>
    <col min="11013" max="11013" width="20.140625" style="3" customWidth="1"/>
    <col min="11014" max="11016" width="0" style="3" hidden="1" customWidth="1"/>
    <col min="11017" max="11017" width="2.7109375" style="3" customWidth="1"/>
    <col min="11018" max="11018" width="27.140625" style="3" customWidth="1"/>
    <col min="11019" max="11019" width="8.28515625" style="3" customWidth="1"/>
    <col min="11020" max="11020" width="4" style="3" customWidth="1"/>
    <col min="11021" max="11021" width="13" style="3" customWidth="1"/>
    <col min="11022" max="11032" width="9.140625" style="3"/>
    <col min="11033" max="11034" width="0" style="3" hidden="1" customWidth="1"/>
    <col min="11035" max="11264" width="9.140625" style="3"/>
    <col min="11265" max="11265" width="1.85546875" style="3" customWidth="1"/>
    <col min="11266" max="11266" width="19.28515625" style="3" customWidth="1"/>
    <col min="11267" max="11267" width="23.140625" style="3" customWidth="1"/>
    <col min="11268" max="11268" width="20.28515625" style="3" customWidth="1"/>
    <col min="11269" max="11269" width="20.140625" style="3" customWidth="1"/>
    <col min="11270" max="11272" width="0" style="3" hidden="1" customWidth="1"/>
    <col min="11273" max="11273" width="2.7109375" style="3" customWidth="1"/>
    <col min="11274" max="11274" width="27.140625" style="3" customWidth="1"/>
    <col min="11275" max="11275" width="8.28515625" style="3" customWidth="1"/>
    <col min="11276" max="11276" width="4" style="3" customWidth="1"/>
    <col min="11277" max="11277" width="13" style="3" customWidth="1"/>
    <col min="11278" max="11288" width="9.140625" style="3"/>
    <col min="11289" max="11290" width="0" style="3" hidden="1" customWidth="1"/>
    <col min="11291" max="11520" width="9.140625" style="3"/>
    <col min="11521" max="11521" width="1.85546875" style="3" customWidth="1"/>
    <col min="11522" max="11522" width="19.28515625" style="3" customWidth="1"/>
    <col min="11523" max="11523" width="23.140625" style="3" customWidth="1"/>
    <col min="11524" max="11524" width="20.28515625" style="3" customWidth="1"/>
    <col min="11525" max="11525" width="20.140625" style="3" customWidth="1"/>
    <col min="11526" max="11528" width="0" style="3" hidden="1" customWidth="1"/>
    <col min="11529" max="11529" width="2.7109375" style="3" customWidth="1"/>
    <col min="11530" max="11530" width="27.140625" style="3" customWidth="1"/>
    <col min="11531" max="11531" width="8.28515625" style="3" customWidth="1"/>
    <col min="11532" max="11532" width="4" style="3" customWidth="1"/>
    <col min="11533" max="11533" width="13" style="3" customWidth="1"/>
    <col min="11534" max="11544" width="9.140625" style="3"/>
    <col min="11545" max="11546" width="0" style="3" hidden="1" customWidth="1"/>
    <col min="11547" max="11776" width="9.140625" style="3"/>
    <col min="11777" max="11777" width="1.85546875" style="3" customWidth="1"/>
    <col min="11778" max="11778" width="19.28515625" style="3" customWidth="1"/>
    <col min="11779" max="11779" width="23.140625" style="3" customWidth="1"/>
    <col min="11780" max="11780" width="20.28515625" style="3" customWidth="1"/>
    <col min="11781" max="11781" width="20.140625" style="3" customWidth="1"/>
    <col min="11782" max="11784" width="0" style="3" hidden="1" customWidth="1"/>
    <col min="11785" max="11785" width="2.7109375" style="3" customWidth="1"/>
    <col min="11786" max="11786" width="27.140625" style="3" customWidth="1"/>
    <col min="11787" max="11787" width="8.28515625" style="3" customWidth="1"/>
    <col min="11788" max="11788" width="4" style="3" customWidth="1"/>
    <col min="11789" max="11789" width="13" style="3" customWidth="1"/>
    <col min="11790" max="11800" width="9.140625" style="3"/>
    <col min="11801" max="11802" width="0" style="3" hidden="1" customWidth="1"/>
    <col min="11803" max="12032" width="9.140625" style="3"/>
    <col min="12033" max="12033" width="1.85546875" style="3" customWidth="1"/>
    <col min="12034" max="12034" width="19.28515625" style="3" customWidth="1"/>
    <col min="12035" max="12035" width="23.140625" style="3" customWidth="1"/>
    <col min="12036" max="12036" width="20.28515625" style="3" customWidth="1"/>
    <col min="12037" max="12037" width="20.140625" style="3" customWidth="1"/>
    <col min="12038" max="12040" width="0" style="3" hidden="1" customWidth="1"/>
    <col min="12041" max="12041" width="2.7109375" style="3" customWidth="1"/>
    <col min="12042" max="12042" width="27.140625" style="3" customWidth="1"/>
    <col min="12043" max="12043" width="8.28515625" style="3" customWidth="1"/>
    <col min="12044" max="12044" width="4" style="3" customWidth="1"/>
    <col min="12045" max="12045" width="13" style="3" customWidth="1"/>
    <col min="12046" max="12056" width="9.140625" style="3"/>
    <col min="12057" max="12058" width="0" style="3" hidden="1" customWidth="1"/>
    <col min="12059" max="12288" width="9.140625" style="3"/>
    <col min="12289" max="12289" width="1.85546875" style="3" customWidth="1"/>
    <col min="12290" max="12290" width="19.28515625" style="3" customWidth="1"/>
    <col min="12291" max="12291" width="23.140625" style="3" customWidth="1"/>
    <col min="12292" max="12292" width="20.28515625" style="3" customWidth="1"/>
    <col min="12293" max="12293" width="20.140625" style="3" customWidth="1"/>
    <col min="12294" max="12296" width="0" style="3" hidden="1" customWidth="1"/>
    <col min="12297" max="12297" width="2.7109375" style="3" customWidth="1"/>
    <col min="12298" max="12298" width="27.140625" style="3" customWidth="1"/>
    <col min="12299" max="12299" width="8.28515625" style="3" customWidth="1"/>
    <col min="12300" max="12300" width="4" style="3" customWidth="1"/>
    <col min="12301" max="12301" width="13" style="3" customWidth="1"/>
    <col min="12302" max="12312" width="9.140625" style="3"/>
    <col min="12313" max="12314" width="0" style="3" hidden="1" customWidth="1"/>
    <col min="12315" max="12544" width="9.140625" style="3"/>
    <col min="12545" max="12545" width="1.85546875" style="3" customWidth="1"/>
    <col min="12546" max="12546" width="19.28515625" style="3" customWidth="1"/>
    <col min="12547" max="12547" width="23.140625" style="3" customWidth="1"/>
    <col min="12548" max="12548" width="20.28515625" style="3" customWidth="1"/>
    <col min="12549" max="12549" width="20.140625" style="3" customWidth="1"/>
    <col min="12550" max="12552" width="0" style="3" hidden="1" customWidth="1"/>
    <col min="12553" max="12553" width="2.7109375" style="3" customWidth="1"/>
    <col min="12554" max="12554" width="27.140625" style="3" customWidth="1"/>
    <col min="12555" max="12555" width="8.28515625" style="3" customWidth="1"/>
    <col min="12556" max="12556" width="4" style="3" customWidth="1"/>
    <col min="12557" max="12557" width="13" style="3" customWidth="1"/>
    <col min="12558" max="12568" width="9.140625" style="3"/>
    <col min="12569" max="12570" width="0" style="3" hidden="1" customWidth="1"/>
    <col min="12571" max="12800" width="9.140625" style="3"/>
    <col min="12801" max="12801" width="1.85546875" style="3" customWidth="1"/>
    <col min="12802" max="12802" width="19.28515625" style="3" customWidth="1"/>
    <col min="12803" max="12803" width="23.140625" style="3" customWidth="1"/>
    <col min="12804" max="12804" width="20.28515625" style="3" customWidth="1"/>
    <col min="12805" max="12805" width="20.140625" style="3" customWidth="1"/>
    <col min="12806" max="12808" width="0" style="3" hidden="1" customWidth="1"/>
    <col min="12809" max="12809" width="2.7109375" style="3" customWidth="1"/>
    <col min="12810" max="12810" width="27.140625" style="3" customWidth="1"/>
    <col min="12811" max="12811" width="8.28515625" style="3" customWidth="1"/>
    <col min="12812" max="12812" width="4" style="3" customWidth="1"/>
    <col min="12813" max="12813" width="13" style="3" customWidth="1"/>
    <col min="12814" max="12824" width="9.140625" style="3"/>
    <col min="12825" max="12826" width="0" style="3" hidden="1" customWidth="1"/>
    <col min="12827" max="13056" width="9.140625" style="3"/>
    <col min="13057" max="13057" width="1.85546875" style="3" customWidth="1"/>
    <col min="13058" max="13058" width="19.28515625" style="3" customWidth="1"/>
    <col min="13059" max="13059" width="23.140625" style="3" customWidth="1"/>
    <col min="13060" max="13060" width="20.28515625" style="3" customWidth="1"/>
    <col min="13061" max="13061" width="20.140625" style="3" customWidth="1"/>
    <col min="13062" max="13064" width="0" style="3" hidden="1" customWidth="1"/>
    <col min="13065" max="13065" width="2.7109375" style="3" customWidth="1"/>
    <col min="13066" max="13066" width="27.140625" style="3" customWidth="1"/>
    <col min="13067" max="13067" width="8.28515625" style="3" customWidth="1"/>
    <col min="13068" max="13068" width="4" style="3" customWidth="1"/>
    <col min="13069" max="13069" width="13" style="3" customWidth="1"/>
    <col min="13070" max="13080" width="9.140625" style="3"/>
    <col min="13081" max="13082" width="0" style="3" hidden="1" customWidth="1"/>
    <col min="13083" max="13312" width="9.140625" style="3"/>
    <col min="13313" max="13313" width="1.85546875" style="3" customWidth="1"/>
    <col min="13314" max="13314" width="19.28515625" style="3" customWidth="1"/>
    <col min="13315" max="13315" width="23.140625" style="3" customWidth="1"/>
    <col min="13316" max="13316" width="20.28515625" style="3" customWidth="1"/>
    <col min="13317" max="13317" width="20.140625" style="3" customWidth="1"/>
    <col min="13318" max="13320" width="0" style="3" hidden="1" customWidth="1"/>
    <col min="13321" max="13321" width="2.7109375" style="3" customWidth="1"/>
    <col min="13322" max="13322" width="27.140625" style="3" customWidth="1"/>
    <col min="13323" max="13323" width="8.28515625" style="3" customWidth="1"/>
    <col min="13324" max="13324" width="4" style="3" customWidth="1"/>
    <col min="13325" max="13325" width="13" style="3" customWidth="1"/>
    <col min="13326" max="13336" width="9.140625" style="3"/>
    <col min="13337" max="13338" width="0" style="3" hidden="1" customWidth="1"/>
    <col min="13339" max="13568" width="9.140625" style="3"/>
    <col min="13569" max="13569" width="1.85546875" style="3" customWidth="1"/>
    <col min="13570" max="13570" width="19.28515625" style="3" customWidth="1"/>
    <col min="13571" max="13571" width="23.140625" style="3" customWidth="1"/>
    <col min="13572" max="13572" width="20.28515625" style="3" customWidth="1"/>
    <col min="13573" max="13573" width="20.140625" style="3" customWidth="1"/>
    <col min="13574" max="13576" width="0" style="3" hidden="1" customWidth="1"/>
    <col min="13577" max="13577" width="2.7109375" style="3" customWidth="1"/>
    <col min="13578" max="13578" width="27.140625" style="3" customWidth="1"/>
    <col min="13579" max="13579" width="8.28515625" style="3" customWidth="1"/>
    <col min="13580" max="13580" width="4" style="3" customWidth="1"/>
    <col min="13581" max="13581" width="13" style="3" customWidth="1"/>
    <col min="13582" max="13592" width="9.140625" style="3"/>
    <col min="13593" max="13594" width="0" style="3" hidden="1" customWidth="1"/>
    <col min="13595" max="13824" width="9.140625" style="3"/>
    <col min="13825" max="13825" width="1.85546875" style="3" customWidth="1"/>
    <col min="13826" max="13826" width="19.28515625" style="3" customWidth="1"/>
    <col min="13827" max="13827" width="23.140625" style="3" customWidth="1"/>
    <col min="13828" max="13828" width="20.28515625" style="3" customWidth="1"/>
    <col min="13829" max="13829" width="20.140625" style="3" customWidth="1"/>
    <col min="13830" max="13832" width="0" style="3" hidden="1" customWidth="1"/>
    <col min="13833" max="13833" width="2.7109375" style="3" customWidth="1"/>
    <col min="13834" max="13834" width="27.140625" style="3" customWidth="1"/>
    <col min="13835" max="13835" width="8.28515625" style="3" customWidth="1"/>
    <col min="13836" max="13836" width="4" style="3" customWidth="1"/>
    <col min="13837" max="13837" width="13" style="3" customWidth="1"/>
    <col min="13838" max="13848" width="9.140625" style="3"/>
    <col min="13849" max="13850" width="0" style="3" hidden="1" customWidth="1"/>
    <col min="13851" max="14080" width="9.140625" style="3"/>
    <col min="14081" max="14081" width="1.85546875" style="3" customWidth="1"/>
    <col min="14082" max="14082" width="19.28515625" style="3" customWidth="1"/>
    <col min="14083" max="14083" width="23.140625" style="3" customWidth="1"/>
    <col min="14084" max="14084" width="20.28515625" style="3" customWidth="1"/>
    <col min="14085" max="14085" width="20.140625" style="3" customWidth="1"/>
    <col min="14086" max="14088" width="0" style="3" hidden="1" customWidth="1"/>
    <col min="14089" max="14089" width="2.7109375" style="3" customWidth="1"/>
    <col min="14090" max="14090" width="27.140625" style="3" customWidth="1"/>
    <col min="14091" max="14091" width="8.28515625" style="3" customWidth="1"/>
    <col min="14092" max="14092" width="4" style="3" customWidth="1"/>
    <col min="14093" max="14093" width="13" style="3" customWidth="1"/>
    <col min="14094" max="14104" width="9.140625" style="3"/>
    <col min="14105" max="14106" width="0" style="3" hidden="1" customWidth="1"/>
    <col min="14107" max="14336" width="9.140625" style="3"/>
    <col min="14337" max="14337" width="1.85546875" style="3" customWidth="1"/>
    <col min="14338" max="14338" width="19.28515625" style="3" customWidth="1"/>
    <col min="14339" max="14339" width="23.140625" style="3" customWidth="1"/>
    <col min="14340" max="14340" width="20.28515625" style="3" customWidth="1"/>
    <col min="14341" max="14341" width="20.140625" style="3" customWidth="1"/>
    <col min="14342" max="14344" width="0" style="3" hidden="1" customWidth="1"/>
    <col min="14345" max="14345" width="2.7109375" style="3" customWidth="1"/>
    <col min="14346" max="14346" width="27.140625" style="3" customWidth="1"/>
    <col min="14347" max="14347" width="8.28515625" style="3" customWidth="1"/>
    <col min="14348" max="14348" width="4" style="3" customWidth="1"/>
    <col min="14349" max="14349" width="13" style="3" customWidth="1"/>
    <col min="14350" max="14360" width="9.140625" style="3"/>
    <col min="14361" max="14362" width="0" style="3" hidden="1" customWidth="1"/>
    <col min="14363" max="14592" width="9.140625" style="3"/>
    <col min="14593" max="14593" width="1.85546875" style="3" customWidth="1"/>
    <col min="14594" max="14594" width="19.28515625" style="3" customWidth="1"/>
    <col min="14595" max="14595" width="23.140625" style="3" customWidth="1"/>
    <col min="14596" max="14596" width="20.28515625" style="3" customWidth="1"/>
    <col min="14597" max="14597" width="20.140625" style="3" customWidth="1"/>
    <col min="14598" max="14600" width="0" style="3" hidden="1" customWidth="1"/>
    <col min="14601" max="14601" width="2.7109375" style="3" customWidth="1"/>
    <col min="14602" max="14602" width="27.140625" style="3" customWidth="1"/>
    <col min="14603" max="14603" width="8.28515625" style="3" customWidth="1"/>
    <col min="14604" max="14604" width="4" style="3" customWidth="1"/>
    <col min="14605" max="14605" width="13" style="3" customWidth="1"/>
    <col min="14606" max="14616" width="9.140625" style="3"/>
    <col min="14617" max="14618" width="0" style="3" hidden="1" customWidth="1"/>
    <col min="14619" max="14848" width="9.140625" style="3"/>
    <col min="14849" max="14849" width="1.85546875" style="3" customWidth="1"/>
    <col min="14850" max="14850" width="19.28515625" style="3" customWidth="1"/>
    <col min="14851" max="14851" width="23.140625" style="3" customWidth="1"/>
    <col min="14852" max="14852" width="20.28515625" style="3" customWidth="1"/>
    <col min="14853" max="14853" width="20.140625" style="3" customWidth="1"/>
    <col min="14854" max="14856" width="0" style="3" hidden="1" customWidth="1"/>
    <col min="14857" max="14857" width="2.7109375" style="3" customWidth="1"/>
    <col min="14858" max="14858" width="27.140625" style="3" customWidth="1"/>
    <col min="14859" max="14859" width="8.28515625" style="3" customWidth="1"/>
    <col min="14860" max="14860" width="4" style="3" customWidth="1"/>
    <col min="14861" max="14861" width="13" style="3" customWidth="1"/>
    <col min="14862" max="14872" width="9.140625" style="3"/>
    <col min="14873" max="14874" width="0" style="3" hidden="1" customWidth="1"/>
    <col min="14875" max="15104" width="9.140625" style="3"/>
    <col min="15105" max="15105" width="1.85546875" style="3" customWidth="1"/>
    <col min="15106" max="15106" width="19.28515625" style="3" customWidth="1"/>
    <col min="15107" max="15107" width="23.140625" style="3" customWidth="1"/>
    <col min="15108" max="15108" width="20.28515625" style="3" customWidth="1"/>
    <col min="15109" max="15109" width="20.140625" style="3" customWidth="1"/>
    <col min="15110" max="15112" width="0" style="3" hidden="1" customWidth="1"/>
    <col min="15113" max="15113" width="2.7109375" style="3" customWidth="1"/>
    <col min="15114" max="15114" width="27.140625" style="3" customWidth="1"/>
    <col min="15115" max="15115" width="8.28515625" style="3" customWidth="1"/>
    <col min="15116" max="15116" width="4" style="3" customWidth="1"/>
    <col min="15117" max="15117" width="13" style="3" customWidth="1"/>
    <col min="15118" max="15128" width="9.140625" style="3"/>
    <col min="15129" max="15130" width="0" style="3" hidden="1" customWidth="1"/>
    <col min="15131" max="15360" width="9.140625" style="3"/>
    <col min="15361" max="15361" width="1.85546875" style="3" customWidth="1"/>
    <col min="15362" max="15362" width="19.28515625" style="3" customWidth="1"/>
    <col min="15363" max="15363" width="23.140625" style="3" customWidth="1"/>
    <col min="15364" max="15364" width="20.28515625" style="3" customWidth="1"/>
    <col min="15365" max="15365" width="20.140625" style="3" customWidth="1"/>
    <col min="15366" max="15368" width="0" style="3" hidden="1" customWidth="1"/>
    <col min="15369" max="15369" width="2.7109375" style="3" customWidth="1"/>
    <col min="15370" max="15370" width="27.140625" style="3" customWidth="1"/>
    <col min="15371" max="15371" width="8.28515625" style="3" customWidth="1"/>
    <col min="15372" max="15372" width="4" style="3" customWidth="1"/>
    <col min="15373" max="15373" width="13" style="3" customWidth="1"/>
    <col min="15374" max="15384" width="9.140625" style="3"/>
    <col min="15385" max="15386" width="0" style="3" hidden="1" customWidth="1"/>
    <col min="15387" max="15616" width="9.140625" style="3"/>
    <col min="15617" max="15617" width="1.85546875" style="3" customWidth="1"/>
    <col min="15618" max="15618" width="19.28515625" style="3" customWidth="1"/>
    <col min="15619" max="15619" width="23.140625" style="3" customWidth="1"/>
    <col min="15620" max="15620" width="20.28515625" style="3" customWidth="1"/>
    <col min="15621" max="15621" width="20.140625" style="3" customWidth="1"/>
    <col min="15622" max="15624" width="0" style="3" hidden="1" customWidth="1"/>
    <col min="15625" max="15625" width="2.7109375" style="3" customWidth="1"/>
    <col min="15626" max="15626" width="27.140625" style="3" customWidth="1"/>
    <col min="15627" max="15627" width="8.28515625" style="3" customWidth="1"/>
    <col min="15628" max="15628" width="4" style="3" customWidth="1"/>
    <col min="15629" max="15629" width="13" style="3" customWidth="1"/>
    <col min="15630" max="15640" width="9.140625" style="3"/>
    <col min="15641" max="15642" width="0" style="3" hidden="1" customWidth="1"/>
    <col min="15643" max="15872" width="9.140625" style="3"/>
    <col min="15873" max="15873" width="1.85546875" style="3" customWidth="1"/>
    <col min="15874" max="15874" width="19.28515625" style="3" customWidth="1"/>
    <col min="15875" max="15875" width="23.140625" style="3" customWidth="1"/>
    <col min="15876" max="15876" width="20.28515625" style="3" customWidth="1"/>
    <col min="15877" max="15877" width="20.140625" style="3" customWidth="1"/>
    <col min="15878" max="15880" width="0" style="3" hidden="1" customWidth="1"/>
    <col min="15881" max="15881" width="2.7109375" style="3" customWidth="1"/>
    <col min="15882" max="15882" width="27.140625" style="3" customWidth="1"/>
    <col min="15883" max="15883" width="8.28515625" style="3" customWidth="1"/>
    <col min="15884" max="15884" width="4" style="3" customWidth="1"/>
    <col min="15885" max="15885" width="13" style="3" customWidth="1"/>
    <col min="15886" max="15896" width="9.140625" style="3"/>
    <col min="15897" max="15898" width="0" style="3" hidden="1" customWidth="1"/>
    <col min="15899" max="16128" width="9.140625" style="3"/>
    <col min="16129" max="16129" width="1.85546875" style="3" customWidth="1"/>
    <col min="16130" max="16130" width="19.28515625" style="3" customWidth="1"/>
    <col min="16131" max="16131" width="23.140625" style="3" customWidth="1"/>
    <col min="16132" max="16132" width="20.28515625" style="3" customWidth="1"/>
    <col min="16133" max="16133" width="20.140625" style="3" customWidth="1"/>
    <col min="16134" max="16136" width="0" style="3" hidden="1" customWidth="1"/>
    <col min="16137" max="16137" width="2.7109375" style="3" customWidth="1"/>
    <col min="16138" max="16138" width="27.140625" style="3" customWidth="1"/>
    <col min="16139" max="16139" width="8.28515625" style="3" customWidth="1"/>
    <col min="16140" max="16140" width="4" style="3" customWidth="1"/>
    <col min="16141" max="16141" width="13" style="3" customWidth="1"/>
    <col min="16142" max="16152" width="9.140625" style="3"/>
    <col min="16153" max="16154" width="0" style="3" hidden="1" customWidth="1"/>
    <col min="16155" max="16384" width="9.140625" style="3"/>
  </cols>
  <sheetData>
    <row r="1" spans="2:26" ht="12.75" customHeight="1" thickBot="1" x14ac:dyDescent="0.25">
      <c r="B1" s="453" t="s">
        <v>205</v>
      </c>
      <c r="C1" s="453"/>
      <c r="D1" s="453"/>
      <c r="E1" s="453"/>
      <c r="Y1" s="37" t="s">
        <v>0</v>
      </c>
      <c r="Z1" s="37" t="s">
        <v>206</v>
      </c>
    </row>
    <row r="2" spans="2:26" ht="31.5" customHeight="1" thickBot="1" x14ac:dyDescent="0.25">
      <c r="B2" s="454" t="s">
        <v>207</v>
      </c>
      <c r="C2" s="455"/>
      <c r="D2" s="455"/>
      <c r="E2" s="456"/>
      <c r="Y2" s="37" t="s">
        <v>2</v>
      </c>
      <c r="Z2" s="37" t="s">
        <v>208</v>
      </c>
    </row>
    <row r="3" spans="2:26" ht="39.75" customHeight="1" x14ac:dyDescent="0.2">
      <c r="B3" s="457" t="s">
        <v>45</v>
      </c>
      <c r="C3" s="458"/>
      <c r="D3" s="458"/>
      <c r="E3" s="459"/>
      <c r="Y3" s="37" t="s">
        <v>5</v>
      </c>
      <c r="Z3" s="37"/>
    </row>
    <row r="4" spans="2:26" ht="40.5" customHeight="1" thickBot="1" x14ac:dyDescent="0.3">
      <c r="B4" s="460" t="s">
        <v>324</v>
      </c>
      <c r="C4" s="461"/>
      <c r="D4" s="461"/>
      <c r="E4" s="462"/>
      <c r="F4" s="172" t="s">
        <v>287</v>
      </c>
      <c r="Y4" s="37" t="s">
        <v>8</v>
      </c>
      <c r="Z4" s="37" t="s">
        <v>210</v>
      </c>
    </row>
    <row r="5" spans="2:26" ht="84" customHeight="1" thickBot="1" x14ac:dyDescent="0.4">
      <c r="B5" s="173" t="s">
        <v>211</v>
      </c>
      <c r="C5" s="174"/>
      <c r="D5" s="175"/>
      <c r="E5" s="176"/>
      <c r="H5" s="177">
        <v>2</v>
      </c>
      <c r="Y5" s="3">
        <v>2</v>
      </c>
    </row>
    <row r="6" spans="2:26" ht="22.5" customHeight="1" x14ac:dyDescent="0.2">
      <c r="B6" s="463" t="s">
        <v>212</v>
      </c>
      <c r="C6" s="464"/>
      <c r="D6" s="178">
        <v>90.9</v>
      </c>
      <c r="E6" s="179" t="s">
        <v>213</v>
      </c>
      <c r="J6" s="180" t="s">
        <v>214</v>
      </c>
    </row>
    <row r="7" spans="2:26" ht="22.5" customHeight="1" thickBot="1" x14ac:dyDescent="0.25">
      <c r="B7" s="465"/>
      <c r="C7" s="466"/>
      <c r="D7" s="181" t="s">
        <v>335</v>
      </c>
      <c r="E7" s="179" t="s">
        <v>215</v>
      </c>
      <c r="F7" s="182"/>
      <c r="G7" s="183"/>
      <c r="H7" s="184" t="s">
        <v>216</v>
      </c>
      <c r="J7" s="185"/>
      <c r="L7" s="186">
        <f>G40</f>
        <v>3</v>
      </c>
    </row>
    <row r="8" spans="2:26" x14ac:dyDescent="0.2">
      <c r="B8" s="187" t="s">
        <v>217</v>
      </c>
      <c r="C8" s="188" t="s">
        <v>218</v>
      </c>
      <c r="D8" s="189" t="str">
        <f>IF($H$5=1,"Dev from Nominal","Measured Values")</f>
        <v>Measured Values</v>
      </c>
      <c r="E8" s="190" t="str">
        <f>IF($H$5=1,"Measured Values","Dev. From Nominal")</f>
        <v>Dev. From Nominal</v>
      </c>
      <c r="F8" s="191" t="s">
        <v>219</v>
      </c>
      <c r="G8" s="191" t="s">
        <v>220</v>
      </c>
      <c r="H8" s="42" t="s">
        <v>221</v>
      </c>
      <c r="J8" s="192"/>
    </row>
    <row r="9" spans="2:26" ht="15" x14ac:dyDescent="0.25">
      <c r="B9" s="193" t="s">
        <v>222</v>
      </c>
      <c r="C9" s="194" t="s">
        <v>338</v>
      </c>
      <c r="D9" s="288">
        <v>90</v>
      </c>
      <c r="E9" s="195">
        <f t="shared" ref="E9:E38" ca="1" si="0">IF($H$5=1,G9,F9)</f>
        <v>-0.90000000000000568</v>
      </c>
      <c r="F9" s="196">
        <f ca="1">IF(INDIRECT("D9")="","",(INDIRECT("D9")-$D$6))</f>
        <v>-0.90000000000000568</v>
      </c>
      <c r="G9" s="196">
        <f ca="1">IF(INDIRECT("D9")="","",(INDIRECT("D9")+$D$6))</f>
        <v>180.9</v>
      </c>
      <c r="H9" s="196">
        <f ca="1">IF(INDIRECT("D9")="","",(INDIRECT("D9")-$F$42))</f>
        <v>-1.8799999999999812</v>
      </c>
      <c r="J9" s="197"/>
      <c r="L9" s="452" t="s">
        <v>223</v>
      </c>
      <c r="M9" s="452"/>
    </row>
    <row r="10" spans="2:26" ht="15" x14ac:dyDescent="0.25">
      <c r="B10" s="193" t="s">
        <v>224</v>
      </c>
      <c r="C10" s="194" t="s">
        <v>338</v>
      </c>
      <c r="D10" s="288">
        <v>90.8</v>
      </c>
      <c r="E10" s="195">
        <f t="shared" ca="1" si="0"/>
        <v>-0.10000000000000853</v>
      </c>
      <c r="F10" s="196">
        <f ca="1">IF(INDIRECT("D10")="","",(INDIRECT("D10")-$D$6))</f>
        <v>-0.10000000000000853</v>
      </c>
      <c r="G10" s="196">
        <f ca="1">IF(INDIRECT("D10")="","",(INDIRECT("D10")+$D$6))</f>
        <v>181.7</v>
      </c>
      <c r="H10" s="196">
        <f ca="1">IF(INDIRECT("D10")="","",(INDIRECT("D10")-$F$42))</f>
        <v>-1.0799999999999841</v>
      </c>
      <c r="J10" s="197"/>
      <c r="L10" s="429" t="s">
        <v>225</v>
      </c>
      <c r="M10" s="429"/>
    </row>
    <row r="11" spans="2:26" ht="15" x14ac:dyDescent="0.25">
      <c r="B11" s="193" t="s">
        <v>226</v>
      </c>
      <c r="C11" s="194" t="s">
        <v>338</v>
      </c>
      <c r="D11" s="288">
        <v>90.8</v>
      </c>
      <c r="E11" s="195">
        <f t="shared" ca="1" si="0"/>
        <v>-0.10000000000000853</v>
      </c>
      <c r="F11" s="196">
        <f ca="1">IF(INDIRECT("D11")="","",(INDIRECT("D11")-$D$6))</f>
        <v>-0.10000000000000853</v>
      </c>
      <c r="G11" s="196">
        <f ca="1">IF(INDIRECT("D11")="","",(INDIRECT("D11")+$D$6))</f>
        <v>181.7</v>
      </c>
      <c r="H11" s="196">
        <f ca="1">IF(INDIRECT("D11")="","",(INDIRECT("D11")-$F$42))</f>
        <v>-1.0799999999999841</v>
      </c>
      <c r="J11" s="197"/>
      <c r="L11" s="429"/>
      <c r="M11" s="429"/>
    </row>
    <row r="12" spans="2:26" ht="15" customHeight="1" thickBot="1" x14ac:dyDescent="0.3">
      <c r="B12" s="193" t="s">
        <v>227</v>
      </c>
      <c r="C12" s="194" t="s">
        <v>338</v>
      </c>
      <c r="D12" s="288">
        <v>93.2</v>
      </c>
      <c r="E12" s="195">
        <f t="shared" ca="1" si="0"/>
        <v>2.2999999999999972</v>
      </c>
      <c r="F12" s="196">
        <f ca="1">IF(INDIRECT("D12")="","",(INDIRECT("D12")-$D$6))</f>
        <v>2.2999999999999972</v>
      </c>
      <c r="G12" s="196">
        <f ca="1">IF(INDIRECT("D12")="","",(INDIRECT("D12")+$D$6))</f>
        <v>184.10000000000002</v>
      </c>
      <c r="H12" s="196">
        <f ca="1">IF(INDIRECT("D12")="","",(INDIRECT("D12")-$F$42))</f>
        <v>1.3200000000000216</v>
      </c>
      <c r="J12" s="198"/>
    </row>
    <row r="13" spans="2:26" ht="15" customHeight="1" thickBot="1" x14ac:dyDescent="0.3">
      <c r="B13" s="193" t="s">
        <v>228</v>
      </c>
      <c r="C13" s="194" t="s">
        <v>338</v>
      </c>
      <c r="D13" s="288">
        <v>89.6</v>
      </c>
      <c r="E13" s="195">
        <f t="shared" ca="1" si="0"/>
        <v>-1.3000000000000114</v>
      </c>
      <c r="F13" s="196">
        <f ca="1">IF(INDIRECT("D13")="","",(INDIRECT("D13")-$D$6))</f>
        <v>-1.3000000000000114</v>
      </c>
      <c r="G13" s="196">
        <f ca="1">IF(INDIRECT("D13")="","",(INDIRECT("D13")+$D$6))</f>
        <v>180.5</v>
      </c>
      <c r="H13" s="196">
        <f ca="1">IF(INDIRECT("D13")="","",(INDIRECT("D13")-$F$42))</f>
        <v>-2.2799999999999869</v>
      </c>
      <c r="I13" s="36"/>
      <c r="J13" s="199" t="s">
        <v>229</v>
      </c>
      <c r="M13" s="93"/>
    </row>
    <row r="14" spans="2:26" ht="15" customHeight="1" x14ac:dyDescent="0.25">
      <c r="B14" s="193" t="s">
        <v>230</v>
      </c>
      <c r="C14" s="194" t="s">
        <v>338</v>
      </c>
      <c r="D14" s="288">
        <v>90.8</v>
      </c>
      <c r="E14" s="195">
        <f t="shared" ca="1" si="0"/>
        <v>-0.10000000000000853</v>
      </c>
      <c r="F14" s="196">
        <f ca="1">IF(INDIRECT("D14")="","",(INDIRECT("D14")-$D$6))</f>
        <v>-0.10000000000000853</v>
      </c>
      <c r="G14" s="196">
        <f ca="1">IF(INDIRECT("D14")="","",(INDIRECT("D14")+$D$6))</f>
        <v>181.7</v>
      </c>
      <c r="H14" s="196">
        <f ca="1">IF(INDIRECT("D14")="","",(INDIRECT("D14")-$F$42))</f>
        <v>-1.0799999999999841</v>
      </c>
      <c r="I14" s="36"/>
      <c r="J14" s="430" t="s">
        <v>231</v>
      </c>
      <c r="K14" s="431"/>
      <c r="L14" s="431"/>
      <c r="M14" s="432"/>
    </row>
    <row r="15" spans="2:26" ht="15" customHeight="1" x14ac:dyDescent="0.25">
      <c r="B15" s="193" t="s">
        <v>232</v>
      </c>
      <c r="C15" s="194" t="s">
        <v>338</v>
      </c>
      <c r="D15" s="288">
        <v>90.4</v>
      </c>
      <c r="E15" s="195">
        <f t="shared" ca="1" si="0"/>
        <v>-0.5</v>
      </c>
      <c r="F15" s="196">
        <f ca="1">IF(INDIRECT("D15")="","",(INDIRECT("D15")-$D$6))</f>
        <v>-0.5</v>
      </c>
      <c r="G15" s="196">
        <f ca="1">IF(INDIRECT("D15")="","",(INDIRECT("D15")+$D$6))</f>
        <v>181.3</v>
      </c>
      <c r="H15" s="196">
        <f ca="1">IF(INDIRECT("D15")="","",(INDIRECT("D15")-$F$42))</f>
        <v>-1.4799999999999756</v>
      </c>
      <c r="I15" s="36"/>
      <c r="J15" s="433"/>
      <c r="K15" s="434"/>
      <c r="L15" s="434"/>
      <c r="M15" s="435"/>
    </row>
    <row r="16" spans="2:26" ht="15" customHeight="1" x14ac:dyDescent="0.25">
      <c r="B16" s="193" t="s">
        <v>233</v>
      </c>
      <c r="C16" s="194" t="s">
        <v>338</v>
      </c>
      <c r="D16" s="288">
        <v>92</v>
      </c>
      <c r="E16" s="195">
        <f t="shared" ca="1" si="0"/>
        <v>1.0999999999999943</v>
      </c>
      <c r="F16" s="196">
        <f ca="1">IF(INDIRECT("D16")="","",(INDIRECT("D16")-$D$6))</f>
        <v>1.0999999999999943</v>
      </c>
      <c r="G16" s="196">
        <f ca="1">IF(INDIRECT("D16")="","",(INDIRECT("D16")+$D$6))</f>
        <v>182.9</v>
      </c>
      <c r="H16" s="196">
        <f ca="1">IF(INDIRECT("D16")="","",(INDIRECT("D16")-$F$42))</f>
        <v>0.12000000000001876</v>
      </c>
      <c r="I16" s="36"/>
      <c r="J16" s="433"/>
      <c r="K16" s="434"/>
      <c r="L16" s="434"/>
      <c r="M16" s="435"/>
    </row>
    <row r="17" spans="2:13" ht="15" customHeight="1" x14ac:dyDescent="0.25">
      <c r="B17" s="193" t="s">
        <v>234</v>
      </c>
      <c r="C17" s="194" t="s">
        <v>338</v>
      </c>
      <c r="D17" s="288">
        <v>90.8</v>
      </c>
      <c r="E17" s="195">
        <f t="shared" ca="1" si="0"/>
        <v>-0.10000000000000853</v>
      </c>
      <c r="F17" s="196">
        <f ca="1">IF(INDIRECT("D17")="","",(INDIRECT("D17")-$D$6))</f>
        <v>-0.10000000000000853</v>
      </c>
      <c r="G17" s="196">
        <f ca="1">IF(INDIRECT("D17")="","",(INDIRECT("D17")+$D$6))</f>
        <v>181.7</v>
      </c>
      <c r="H17" s="196">
        <f ca="1">IF(INDIRECT("D17")="","",(INDIRECT("D17")-$F$42))</f>
        <v>-1.0799999999999841</v>
      </c>
      <c r="I17" s="36"/>
      <c r="J17" s="433" t="s">
        <v>235</v>
      </c>
      <c r="K17" s="434"/>
      <c r="L17" s="434"/>
      <c r="M17" s="435"/>
    </row>
    <row r="18" spans="2:13" ht="15" x14ac:dyDescent="0.25">
      <c r="B18" s="193" t="s">
        <v>236</v>
      </c>
      <c r="C18" s="194" t="s">
        <v>338</v>
      </c>
      <c r="D18" s="288">
        <v>90.4</v>
      </c>
      <c r="E18" s="195">
        <f t="shared" ca="1" si="0"/>
        <v>-0.5</v>
      </c>
      <c r="F18" s="196">
        <f ca="1">IF(INDIRECT("D18")="","",(INDIRECT("D18")-$D$6))</f>
        <v>-0.5</v>
      </c>
      <c r="G18" s="196">
        <f ca="1">IF(INDIRECT("D18")="","",(INDIRECT("D18")+$D$6))</f>
        <v>181.3</v>
      </c>
      <c r="H18" s="196">
        <f ca="1">IF(INDIRECT("D18")="","",(INDIRECT("D18")-$F$42))</f>
        <v>-1.4799999999999756</v>
      </c>
      <c r="I18" s="36"/>
      <c r="J18" s="433"/>
      <c r="K18" s="434"/>
      <c r="L18" s="434"/>
      <c r="M18" s="435"/>
    </row>
    <row r="19" spans="2:13" ht="15" x14ac:dyDescent="0.25">
      <c r="B19" s="193" t="s">
        <v>237</v>
      </c>
      <c r="C19" s="194"/>
      <c r="D19" s="288"/>
      <c r="E19" s="195" t="str">
        <f t="shared" ca="1" si="0"/>
        <v/>
      </c>
      <c r="F19" s="196" t="str">
        <f ca="1">IF(INDIRECT("D19")="","",(INDIRECT("D19")-$D$6))</f>
        <v/>
      </c>
      <c r="G19" s="196" t="str">
        <f ca="1">IF(INDIRECT("D19")="","",(INDIRECT("D19")+$D$6))</f>
        <v/>
      </c>
      <c r="H19" s="196" t="str">
        <f ca="1">IF(INDIRECT("D19")="","",(INDIRECT("D19")-$F$42))</f>
        <v/>
      </c>
      <c r="I19" s="36"/>
      <c r="J19" s="433"/>
      <c r="K19" s="434"/>
      <c r="L19" s="434"/>
      <c r="M19" s="435"/>
    </row>
    <row r="20" spans="2:13" ht="15" x14ac:dyDescent="0.25">
      <c r="B20" s="193" t="s">
        <v>238</v>
      </c>
      <c r="C20" s="194"/>
      <c r="D20" s="288"/>
      <c r="E20" s="195" t="str">
        <f t="shared" ca="1" si="0"/>
        <v/>
      </c>
      <c r="F20" s="196" t="str">
        <f ca="1">IF(INDIRECT("D20")="","",(INDIRECT("D20")-$D$6))</f>
        <v/>
      </c>
      <c r="G20" s="196" t="str">
        <f ca="1">IF(INDIRECT("D20")="","",(INDIRECT("D20")+$D$6))</f>
        <v/>
      </c>
      <c r="H20" s="196" t="str">
        <f ca="1">IF(INDIRECT("D20")="","",(INDIRECT("D20")-$F$42))</f>
        <v/>
      </c>
      <c r="I20" s="36"/>
      <c r="J20" s="433"/>
      <c r="K20" s="434"/>
      <c r="L20" s="434"/>
      <c r="M20" s="435"/>
    </row>
    <row r="21" spans="2:13" ht="15" x14ac:dyDescent="0.25">
      <c r="B21" s="193" t="s">
        <v>239</v>
      </c>
      <c r="C21" s="194"/>
      <c r="D21" s="288"/>
      <c r="E21" s="195" t="str">
        <f t="shared" ca="1" si="0"/>
        <v/>
      </c>
      <c r="F21" s="196" t="str">
        <f ca="1">IF(INDIRECT("D21")="","",(INDIRECT("D21")-$D$6))</f>
        <v/>
      </c>
      <c r="G21" s="196" t="str">
        <f ca="1">IF(INDIRECT("D21")="","",(INDIRECT("D21")+$D$6))</f>
        <v/>
      </c>
      <c r="H21" s="196" t="str">
        <f ca="1">IF(INDIRECT("D21")="","",(INDIRECT("D21")-$F$42))</f>
        <v/>
      </c>
      <c r="I21" s="36"/>
      <c r="J21" s="433"/>
      <c r="K21" s="434"/>
      <c r="L21" s="434"/>
      <c r="M21" s="435"/>
    </row>
    <row r="22" spans="2:13" ht="15" x14ac:dyDescent="0.25">
      <c r="B22" s="193" t="s">
        <v>240</v>
      </c>
      <c r="C22" s="194"/>
      <c r="D22" s="288"/>
      <c r="E22" s="195" t="str">
        <f t="shared" ca="1" si="0"/>
        <v/>
      </c>
      <c r="F22" s="196" t="str">
        <f ca="1">IF(INDIRECT("D22")="","",(INDIRECT("D22")-$D$6))</f>
        <v/>
      </c>
      <c r="G22" s="196" t="str">
        <f ca="1">IF(INDIRECT("D22")="","",(INDIRECT("D22")+$D$6))</f>
        <v/>
      </c>
      <c r="H22" s="196" t="str">
        <f ca="1">IF(INDIRECT("D22")="","",(INDIRECT("D22")-$F$42))</f>
        <v/>
      </c>
      <c r="I22" s="36"/>
      <c r="J22" s="433"/>
      <c r="K22" s="434"/>
      <c r="L22" s="434"/>
      <c r="M22" s="435"/>
    </row>
    <row r="23" spans="2:13" ht="15" x14ac:dyDescent="0.25">
      <c r="B23" s="193" t="s">
        <v>241</v>
      </c>
      <c r="C23" s="194"/>
      <c r="D23" s="288"/>
      <c r="E23" s="195" t="str">
        <f t="shared" ca="1" si="0"/>
        <v/>
      </c>
      <c r="F23" s="196" t="str">
        <f ca="1">IF(INDIRECT("D23")="","",(INDIRECT("D23")-$D$6))</f>
        <v/>
      </c>
      <c r="G23" s="196" t="str">
        <f ca="1">IF(INDIRECT("D23")="","",(INDIRECT("D23")+$D$6))</f>
        <v/>
      </c>
      <c r="H23" s="196" t="str">
        <f ca="1">IF(INDIRECT("D23")="","",(INDIRECT("D23")-$F$42))</f>
        <v/>
      </c>
      <c r="I23" s="36"/>
      <c r="J23" s="433" t="s">
        <v>242</v>
      </c>
      <c r="K23" s="434"/>
      <c r="L23" s="434"/>
      <c r="M23" s="435"/>
    </row>
    <row r="24" spans="2:13" ht="15" x14ac:dyDescent="0.25">
      <c r="B24" s="193" t="s">
        <v>243</v>
      </c>
      <c r="C24" s="194"/>
      <c r="D24" s="288"/>
      <c r="E24" s="195" t="str">
        <f t="shared" ca="1" si="0"/>
        <v/>
      </c>
      <c r="F24" s="196" t="str">
        <f ca="1">IF(INDIRECT("D24")="","",(INDIRECT("D24")-$D$6))</f>
        <v/>
      </c>
      <c r="G24" s="196" t="str">
        <f ca="1">IF(INDIRECT("D24")="","",(INDIRECT("D24")+$D$6))</f>
        <v/>
      </c>
      <c r="H24" s="196" t="str">
        <f ca="1">IF(INDIRECT("D24")="","",(INDIRECT("D24")-$F$42))</f>
        <v/>
      </c>
      <c r="I24" s="36"/>
      <c r="J24" s="433"/>
      <c r="K24" s="434"/>
      <c r="L24" s="434"/>
      <c r="M24" s="435"/>
    </row>
    <row r="25" spans="2:13" ht="15" customHeight="1" x14ac:dyDescent="0.25">
      <c r="B25" s="193" t="s">
        <v>244</v>
      </c>
      <c r="C25" s="194"/>
      <c r="D25" s="288"/>
      <c r="E25" s="195" t="str">
        <f t="shared" ca="1" si="0"/>
        <v/>
      </c>
      <c r="F25" s="196" t="str">
        <f ca="1">IF(INDIRECT("D25")="","",(INDIRECT("D25")-$D$6))</f>
        <v/>
      </c>
      <c r="G25" s="196" t="str">
        <f ca="1">IF(INDIRECT("D25")="","",(INDIRECT("D25")+$D$6))</f>
        <v/>
      </c>
      <c r="H25" s="196" t="str">
        <f ca="1">IF(INDIRECT("D25")="","",(INDIRECT("D25")-$F$42))</f>
        <v/>
      </c>
      <c r="I25" s="36"/>
      <c r="J25" s="433"/>
      <c r="K25" s="434"/>
      <c r="L25" s="434"/>
      <c r="M25" s="435"/>
    </row>
    <row r="26" spans="2:13" ht="15" customHeight="1" x14ac:dyDescent="0.25">
      <c r="B26" s="193" t="s">
        <v>245</v>
      </c>
      <c r="C26" s="194"/>
      <c r="D26" s="288"/>
      <c r="E26" s="195" t="str">
        <f t="shared" ca="1" si="0"/>
        <v/>
      </c>
      <c r="F26" s="196" t="str">
        <f ca="1">IF(INDIRECT("D26")="","",(INDIRECT("D26")-$D$6))</f>
        <v/>
      </c>
      <c r="G26" s="196" t="str">
        <f ca="1">IF(INDIRECT("D26")="","",(INDIRECT("D26")+$D$6))</f>
        <v/>
      </c>
      <c r="H26" s="196" t="str">
        <f ca="1">IF(INDIRECT("D26")="","",(INDIRECT("D26")-$F$42))</f>
        <v/>
      </c>
      <c r="I26" s="36"/>
      <c r="J26" s="433"/>
      <c r="K26" s="434"/>
      <c r="L26" s="434"/>
      <c r="M26" s="435"/>
    </row>
    <row r="27" spans="2:13" ht="15" x14ac:dyDescent="0.25">
      <c r="B27" s="193" t="s">
        <v>246</v>
      </c>
      <c r="C27" s="194"/>
      <c r="D27" s="288"/>
      <c r="E27" s="195" t="str">
        <f t="shared" ca="1" si="0"/>
        <v/>
      </c>
      <c r="F27" s="196" t="str">
        <f ca="1">IF(INDIRECT("D27")="","",(INDIRECT("D27")-$D$6))</f>
        <v/>
      </c>
      <c r="G27" s="196" t="str">
        <f ca="1">IF(INDIRECT("D27")="","",(INDIRECT("D27")+$D$6))</f>
        <v/>
      </c>
      <c r="H27" s="196" t="str">
        <f ca="1">IF(INDIRECT("D27")="","",(INDIRECT("D27")-$F$42))</f>
        <v/>
      </c>
      <c r="I27" s="36"/>
      <c r="J27" s="433"/>
      <c r="K27" s="434"/>
      <c r="L27" s="434"/>
      <c r="M27" s="435"/>
    </row>
    <row r="28" spans="2:13" ht="15" x14ac:dyDescent="0.25">
      <c r="B28" s="193" t="s">
        <v>247</v>
      </c>
      <c r="C28" s="194"/>
      <c r="D28" s="288"/>
      <c r="E28" s="195" t="str">
        <f t="shared" ca="1" si="0"/>
        <v/>
      </c>
      <c r="F28" s="196" t="str">
        <f ca="1">IF(INDIRECT("D28")="","",(INDIRECT("D28")-$D$6))</f>
        <v/>
      </c>
      <c r="G28" s="196" t="str">
        <f ca="1">IF(INDIRECT("D28")="","",(INDIRECT("D28")+$D$6))</f>
        <v/>
      </c>
      <c r="H28" s="196" t="str">
        <f ca="1">IF(INDIRECT("D28")="","",(INDIRECT("D28")-$F$42))</f>
        <v/>
      </c>
      <c r="I28" s="36"/>
      <c r="J28" s="436" t="s">
        <v>248</v>
      </c>
      <c r="K28" s="437"/>
      <c r="L28" s="437"/>
      <c r="M28" s="438"/>
    </row>
    <row r="29" spans="2:13" ht="15" x14ac:dyDescent="0.25">
      <c r="B29" s="193" t="s">
        <v>249</v>
      </c>
      <c r="C29" s="194"/>
      <c r="D29" s="288"/>
      <c r="E29" s="195" t="str">
        <f t="shared" ca="1" si="0"/>
        <v/>
      </c>
      <c r="F29" s="196" t="str">
        <f ca="1">IF(INDIRECT("D29")="","",(INDIRECT("D29")-$D$6))</f>
        <v/>
      </c>
      <c r="G29" s="196" t="str">
        <f ca="1">IF(INDIRECT("D29")="","",(INDIRECT("D29")+$D$6))</f>
        <v/>
      </c>
      <c r="H29" s="196" t="str">
        <f ca="1">IF(INDIRECT("D29")="","",(INDIRECT("D29")-$F$42))</f>
        <v/>
      </c>
      <c r="I29" s="36"/>
      <c r="J29" s="436"/>
      <c r="K29" s="437"/>
      <c r="L29" s="437"/>
      <c r="M29" s="438"/>
    </row>
    <row r="30" spans="2:13" ht="15" customHeight="1" thickBot="1" x14ac:dyDescent="0.3">
      <c r="B30" s="193" t="s">
        <v>250</v>
      </c>
      <c r="C30" s="194"/>
      <c r="D30" s="288"/>
      <c r="E30" s="195" t="str">
        <f t="shared" ca="1" si="0"/>
        <v/>
      </c>
      <c r="F30" s="196" t="str">
        <f ca="1">IF(INDIRECT("D30")="","",(INDIRECT("D30")-$D$6))</f>
        <v/>
      </c>
      <c r="G30" s="196" t="str">
        <f ca="1">IF(INDIRECT("D30")="","",(INDIRECT("D30")+$D$6))</f>
        <v/>
      </c>
      <c r="H30" s="196" t="str">
        <f ca="1">IF(INDIRECT("D30")="","",(INDIRECT("D30")-$F$42))</f>
        <v/>
      </c>
      <c r="I30" s="36"/>
      <c r="J30" s="439"/>
      <c r="K30" s="440"/>
      <c r="L30" s="440"/>
      <c r="M30" s="441"/>
    </row>
    <row r="31" spans="2:13" ht="15" customHeight="1" thickBot="1" x14ac:dyDescent="0.3">
      <c r="B31" s="193" t="s">
        <v>251</v>
      </c>
      <c r="C31" s="194"/>
      <c r="D31" s="288"/>
      <c r="E31" s="195" t="str">
        <f t="shared" ca="1" si="0"/>
        <v/>
      </c>
      <c r="F31" s="196" t="str">
        <f ca="1">IF(INDIRECT("D31")="","",(INDIRECT("D31")-$D$6))</f>
        <v/>
      </c>
      <c r="G31" s="196" t="str">
        <f ca="1">IF(INDIRECT("D31")="","",(INDIRECT("D31")+$D$6))</f>
        <v/>
      </c>
      <c r="H31" s="196" t="str">
        <f ca="1">IF(INDIRECT("D31")="","",(INDIRECT("D31")-$F$42))</f>
        <v/>
      </c>
      <c r="I31" s="36"/>
    </row>
    <row r="32" spans="2:13" ht="15" customHeight="1" thickBot="1" x14ac:dyDescent="0.3">
      <c r="B32" s="193" t="s">
        <v>252</v>
      </c>
      <c r="C32" s="194"/>
      <c r="D32" s="288"/>
      <c r="E32" s="195" t="str">
        <f t="shared" ca="1" si="0"/>
        <v/>
      </c>
      <c r="F32" s="196" t="str">
        <f ca="1">IF(INDIRECT("D32")="","",(INDIRECT("D32")-$D$6))</f>
        <v/>
      </c>
      <c r="G32" s="196" t="str">
        <f ca="1">IF(INDIRECT("D32")="","",(INDIRECT("D32")+$D$6))</f>
        <v/>
      </c>
      <c r="H32" s="196" t="str">
        <f ca="1">IF(INDIRECT("D32")="","",(INDIRECT("D32")-$F$42))</f>
        <v/>
      </c>
      <c r="I32" s="36"/>
      <c r="J32" s="200" t="s">
        <v>253</v>
      </c>
      <c r="K32" s="200" t="s">
        <v>254</v>
      </c>
    </row>
    <row r="33" spans="2:13" ht="15" x14ac:dyDescent="0.25">
      <c r="B33" s="193" t="s">
        <v>255</v>
      </c>
      <c r="C33" s="194"/>
      <c r="D33" s="288"/>
      <c r="E33" s="195" t="str">
        <f t="shared" ca="1" si="0"/>
        <v/>
      </c>
      <c r="F33" s="196" t="str">
        <f ca="1">IF(INDIRECT("D33")="","",(INDIRECT("D33")-$D$6))</f>
        <v/>
      </c>
      <c r="G33" s="196" t="str">
        <f ca="1">IF(INDIRECT("D33")="","",(INDIRECT("D33")+$D$6))</f>
        <v/>
      </c>
      <c r="H33" s="196" t="str">
        <f ca="1">IF(INDIRECT("D33")="","",(INDIRECT("D33")-$F$42))</f>
        <v/>
      </c>
      <c r="I33" s="36"/>
      <c r="J33" s="201" t="s">
        <v>256</v>
      </c>
      <c r="K33" s="202" t="str">
        <f>"± "&amp;ROUND(VLOOKUP(E40+1,StdDevQ,2,FALSE)*100,1)&amp;"%"</f>
        <v>± 23.1%</v>
      </c>
    </row>
    <row r="34" spans="2:13" ht="15" customHeight="1" thickBot="1" x14ac:dyDescent="0.3">
      <c r="B34" s="193" t="s">
        <v>257</v>
      </c>
      <c r="C34" s="194"/>
      <c r="D34" s="288"/>
      <c r="E34" s="195" t="str">
        <f t="shared" ca="1" si="0"/>
        <v/>
      </c>
      <c r="F34" s="196" t="str">
        <f ca="1">IF(INDIRECT("D34")="","",(INDIRECT("D34")-$D$6))</f>
        <v/>
      </c>
      <c r="G34" s="196" t="str">
        <f ca="1">IF(INDIRECT("D34")="","",(INDIRECT("D34")+$D$6))</f>
        <v/>
      </c>
      <c r="H34" s="196" t="str">
        <f ca="1">IF(INDIRECT("D34")="","",(INDIRECT("D34")-$F$42))</f>
        <v/>
      </c>
      <c r="I34" s="36"/>
      <c r="J34" s="203" t="s">
        <v>258</v>
      </c>
      <c r="K34" s="204">
        <f>VLOOKUP(E40+1,StdDevQ,3,FALSE)</f>
        <v>-3.0068002788026502E-2</v>
      </c>
    </row>
    <row r="35" spans="2:13" ht="15" x14ac:dyDescent="0.25">
      <c r="B35" s="193" t="s">
        <v>259</v>
      </c>
      <c r="C35" s="194"/>
      <c r="D35" s="288"/>
      <c r="E35" s="195" t="str">
        <f t="shared" ca="1" si="0"/>
        <v/>
      </c>
      <c r="F35" s="196" t="str">
        <f ca="1">IF(INDIRECT("D35")="","",(INDIRECT("D35")-$D$6))</f>
        <v/>
      </c>
      <c r="G35" s="196" t="str">
        <f ca="1">IF(INDIRECT("D35")="","",(INDIRECT("D35")+$D$6))</f>
        <v/>
      </c>
      <c r="H35" s="196" t="str">
        <f ca="1">IF(INDIRECT("D35")="","",(INDIRECT("D35")-$F$42))</f>
        <v/>
      </c>
      <c r="I35" s="36"/>
      <c r="J35" s="442" t="s">
        <v>260</v>
      </c>
      <c r="K35" s="443"/>
    </row>
    <row r="36" spans="2:13" ht="15" x14ac:dyDescent="0.25">
      <c r="B36" s="193" t="s">
        <v>261</v>
      </c>
      <c r="C36" s="194"/>
      <c r="D36" s="288"/>
      <c r="E36" s="195" t="str">
        <f t="shared" ca="1" si="0"/>
        <v/>
      </c>
      <c r="F36" s="196" t="str">
        <f ca="1">IF(INDIRECT("D36")="","",(INDIRECT("D36")-$D$6))</f>
        <v/>
      </c>
      <c r="G36" s="196" t="str">
        <f ca="1">IF(INDIRECT("D36")="","",(INDIRECT("D36")+$D$6))</f>
        <v/>
      </c>
      <c r="H36" s="196" t="str">
        <f ca="1">IF(INDIRECT("D36")="","",(INDIRECT("D36")-$F$42))</f>
        <v/>
      </c>
      <c r="I36" s="36"/>
      <c r="J36" s="444" t="s">
        <v>262</v>
      </c>
      <c r="K36" s="445"/>
    </row>
    <row r="37" spans="2:13" ht="15" x14ac:dyDescent="0.25">
      <c r="B37" s="193" t="s">
        <v>263</v>
      </c>
      <c r="C37" s="194"/>
      <c r="D37" s="288"/>
      <c r="E37" s="195" t="str">
        <f t="shared" ca="1" si="0"/>
        <v/>
      </c>
      <c r="F37" s="196" t="str">
        <f ca="1">IF(INDIRECT("D37")="","",(INDIRECT("D37")-$D$6))</f>
        <v/>
      </c>
      <c r="G37" s="196" t="str">
        <f ca="1">IF(INDIRECT("D37")="","",(INDIRECT("D37")+$D$6))</f>
        <v/>
      </c>
      <c r="H37" s="196" t="str">
        <f ca="1">IF(INDIRECT("D37")="","",(INDIRECT("D37")-$F$42))</f>
        <v/>
      </c>
      <c r="I37" s="36"/>
      <c r="J37" s="446" t="s">
        <v>264</v>
      </c>
      <c r="K37" s="447"/>
    </row>
    <row r="38" spans="2:13" ht="15" customHeight="1" thickBot="1" x14ac:dyDescent="0.3">
      <c r="B38" s="205" t="s">
        <v>265</v>
      </c>
      <c r="C38" s="194"/>
      <c r="D38" s="288"/>
      <c r="E38" s="206" t="str">
        <f t="shared" ca="1" si="0"/>
        <v/>
      </c>
      <c r="F38" s="196" t="str">
        <f ca="1">IF(INDIRECT("D38")="","",(INDIRECT("D38")-$D$6))</f>
        <v/>
      </c>
      <c r="G38" s="196" t="str">
        <f ca="1">IF(INDIRECT("D38")="","",(INDIRECT("D38")+$D$6))</f>
        <v/>
      </c>
      <c r="H38" s="196" t="str">
        <f ca="1">IF(INDIRECT("D38")="","",(INDIRECT("D38")-$F$42))</f>
        <v/>
      </c>
      <c r="I38" s="36"/>
      <c r="J38" s="448" t="s">
        <v>266</v>
      </c>
      <c r="K38" s="449"/>
    </row>
    <row r="39" spans="2:13" ht="18.75" thickBot="1" x14ac:dyDescent="0.3">
      <c r="B39" s="207" t="s">
        <v>267</v>
      </c>
      <c r="C39" s="450" t="s">
        <v>268</v>
      </c>
      <c r="D39" s="451"/>
      <c r="E39" s="208">
        <f ca="1">IF(C43=0,"0.00E+00",STDEV(H9:H38))</f>
        <v>1.029347150166336</v>
      </c>
      <c r="F39" s="209"/>
      <c r="H39" s="3"/>
    </row>
    <row r="40" spans="2:13" ht="16.5" thickBot="1" x14ac:dyDescent="0.3">
      <c r="B40" s="426" t="s">
        <v>269</v>
      </c>
      <c r="C40" s="427"/>
      <c r="D40" s="428"/>
      <c r="E40" s="210">
        <f>IF(D10="","0",29 - (COUNTBLANK(D9:D38)))</f>
        <v>9</v>
      </c>
      <c r="F40" s="96" t="s">
        <v>270</v>
      </c>
      <c r="G40" s="211">
        <v>3</v>
      </c>
      <c r="H40" s="3"/>
    </row>
    <row r="41" spans="2:13" ht="16.5" thickBot="1" x14ac:dyDescent="0.3">
      <c r="B41" s="409" t="s">
        <v>271</v>
      </c>
      <c r="C41" s="410"/>
      <c r="D41" s="410"/>
      <c r="E41" s="212">
        <v>10</v>
      </c>
    </row>
    <row r="42" spans="2:13" ht="18.75" thickBot="1" x14ac:dyDescent="0.3">
      <c r="B42" s="411" t="s">
        <v>272</v>
      </c>
      <c r="C42" s="412"/>
      <c r="D42" s="413"/>
      <c r="E42" s="213">
        <f ca="1">E39/SQRT(E41)</f>
        <v>0.32550814975289905</v>
      </c>
      <c r="F42" s="3">
        <f>E43+1</f>
        <v>91.879999999999981</v>
      </c>
      <c r="G42" s="191" t="s">
        <v>273</v>
      </c>
      <c r="H42" s="36">
        <f>AVERAGE(D9:D38)</f>
        <v>90.879999999999981</v>
      </c>
    </row>
    <row r="43" spans="2:13" ht="18.75" thickBot="1" x14ac:dyDescent="0.3">
      <c r="B43" s="214" t="s">
        <v>274</v>
      </c>
      <c r="C43" s="215">
        <f>(MAX(D9:D38))-(MIN(D9:D38))</f>
        <v>3.6000000000000085</v>
      </c>
      <c r="D43" s="216" t="s">
        <v>275</v>
      </c>
      <c r="E43" s="217">
        <f>IF(D9&gt;0,IF($H$5=1,H43,H42),"0")</f>
        <v>90.879999999999981</v>
      </c>
      <c r="G43" s="191" t="s">
        <v>276</v>
      </c>
      <c r="H43" s="36">
        <f ca="1">AVERAGE(E9:E38)</f>
        <v>-2.0000000000005968E-2</v>
      </c>
    </row>
    <row r="44" spans="2:13" ht="54" customHeight="1" thickBot="1" x14ac:dyDescent="0.25">
      <c r="B44" s="414" t="s">
        <v>277</v>
      </c>
      <c r="C44" s="415"/>
      <c r="D44" s="416"/>
      <c r="E44" s="218"/>
    </row>
    <row r="45" spans="2:13" s="93" customFormat="1" ht="13.5" thickBot="1" x14ac:dyDescent="0.25">
      <c r="B45" s="219" t="s">
        <v>4</v>
      </c>
      <c r="C45" s="220"/>
      <c r="D45" s="220"/>
      <c r="E45" s="209"/>
      <c r="H45" s="209"/>
      <c r="M45" s="3"/>
    </row>
    <row r="46" spans="2:13" ht="13.5" thickBot="1" x14ac:dyDescent="0.25">
      <c r="C46" s="417" t="s">
        <v>278</v>
      </c>
      <c r="D46" s="418"/>
      <c r="E46" s="419"/>
      <c r="J46" s="93"/>
    </row>
    <row r="47" spans="2:13" x14ac:dyDescent="0.2">
      <c r="C47" s="221" t="s">
        <v>279</v>
      </c>
      <c r="D47" s="222">
        <v>0.5</v>
      </c>
      <c r="E47" s="223"/>
    </row>
    <row r="48" spans="2:13" x14ac:dyDescent="0.2">
      <c r="C48" s="224" t="s">
        <v>280</v>
      </c>
      <c r="D48" s="225">
        <f>IF(E40="0","",TINV((1-D47),E40))</f>
        <v>0.70272214675132494</v>
      </c>
      <c r="E48" s="226"/>
    </row>
    <row r="49" spans="3:8" x14ac:dyDescent="0.2">
      <c r="C49" s="224" t="s">
        <v>281</v>
      </c>
      <c r="D49" s="227">
        <f ca="1">IF(D48="","",E39*D48)</f>
        <v>0.72334503911724612</v>
      </c>
      <c r="E49" s="228" t="s">
        <v>282</v>
      </c>
    </row>
    <row r="50" spans="3:8" ht="13.5" thickBot="1" x14ac:dyDescent="0.25">
      <c r="C50" s="229" t="s">
        <v>281</v>
      </c>
      <c r="D50" s="230">
        <f ca="1">IF(D48="","",E42*D48)</f>
        <v>0.22874178577940898</v>
      </c>
      <c r="E50" s="231" t="s">
        <v>283</v>
      </c>
    </row>
    <row r="51" spans="3:8" ht="72.75" customHeight="1" x14ac:dyDescent="0.2">
      <c r="C51" s="420" t="s">
        <v>284</v>
      </c>
      <c r="D51" s="421"/>
      <c r="E51" s="422"/>
    </row>
    <row r="52" spans="3:8" ht="66" customHeight="1" thickBot="1" x14ac:dyDescent="0.25">
      <c r="C52" s="423" t="s">
        <v>285</v>
      </c>
      <c r="D52" s="424"/>
      <c r="E52" s="425"/>
      <c r="H52" s="3"/>
    </row>
    <row r="53" spans="3:8" x14ac:dyDescent="0.2">
      <c r="C53" s="3"/>
      <c r="D53" s="3"/>
      <c r="E53" s="3"/>
      <c r="G53" s="51" t="s">
        <v>286</v>
      </c>
      <c r="H53" s="3"/>
    </row>
    <row r="54" spans="3:8" x14ac:dyDescent="0.2">
      <c r="C54" s="3"/>
      <c r="D54" s="3"/>
      <c r="E54" s="3"/>
      <c r="G54" s="51" t="s">
        <v>287</v>
      </c>
      <c r="H54" s="3"/>
    </row>
    <row r="55" spans="3:8" x14ac:dyDescent="0.2">
      <c r="C55" s="3"/>
      <c r="D55" s="3"/>
      <c r="E55" s="3"/>
      <c r="G55" s="51" t="s">
        <v>288</v>
      </c>
      <c r="H55" s="3"/>
    </row>
    <row r="56" spans="3:8" x14ac:dyDescent="0.2">
      <c r="C56" s="3"/>
      <c r="D56" s="3"/>
      <c r="E56" s="3"/>
      <c r="G56" s="51" t="s">
        <v>289</v>
      </c>
      <c r="H56" s="3"/>
    </row>
    <row r="57" spans="3:8" x14ac:dyDescent="0.2">
      <c r="C57" s="3"/>
      <c r="D57" s="3"/>
      <c r="E57" s="3"/>
      <c r="G57" s="51" t="s">
        <v>290</v>
      </c>
      <c r="H57" s="3"/>
    </row>
    <row r="58" spans="3:8" x14ac:dyDescent="0.2">
      <c r="C58" s="3"/>
      <c r="D58" s="3"/>
      <c r="E58" s="3"/>
      <c r="G58" s="51" t="s">
        <v>209</v>
      </c>
      <c r="H58" s="3"/>
    </row>
    <row r="59" spans="3:8" x14ac:dyDescent="0.2">
      <c r="C59" s="3"/>
      <c r="D59" s="3"/>
      <c r="E59" s="3"/>
      <c r="G59" s="51" t="s">
        <v>291</v>
      </c>
      <c r="H59" s="3"/>
    </row>
    <row r="60" spans="3:8" ht="13.5" thickBot="1" x14ac:dyDescent="0.25">
      <c r="C60" s="3"/>
      <c r="D60" s="3"/>
      <c r="E60" s="3"/>
      <c r="G60" s="51" t="s">
        <v>292</v>
      </c>
      <c r="H60" s="3"/>
    </row>
    <row r="61" spans="3:8" ht="18.75" thickBot="1" x14ac:dyDescent="0.3">
      <c r="C61" s="403" t="s">
        <v>293</v>
      </c>
      <c r="D61" s="404"/>
      <c r="E61" s="405"/>
      <c r="G61" s="51" t="s">
        <v>294</v>
      </c>
      <c r="H61" s="3"/>
    </row>
    <row r="62" spans="3:8" ht="15.75" thickBot="1" x14ac:dyDescent="0.3">
      <c r="C62" s="232"/>
      <c r="D62" s="77"/>
      <c r="E62" s="233"/>
      <c r="F62" s="406" t="s">
        <v>295</v>
      </c>
      <c r="G62" s="407"/>
      <c r="H62" s="408"/>
    </row>
    <row r="63" spans="3:8" ht="15" thickBot="1" x14ac:dyDescent="0.25">
      <c r="C63" s="234">
        <f>MIN(D9:D38)</f>
        <v>89.6</v>
      </c>
      <c r="D63" s="235" t="s">
        <v>296</v>
      </c>
      <c r="E63" s="233"/>
      <c r="F63" s="236" t="s">
        <v>297</v>
      </c>
      <c r="G63" s="237" t="s">
        <v>298</v>
      </c>
      <c r="H63" s="238" t="s">
        <v>299</v>
      </c>
    </row>
    <row r="64" spans="3:8" x14ac:dyDescent="0.2">
      <c r="C64" s="234">
        <f>MAX(D9:D38)</f>
        <v>93.2</v>
      </c>
      <c r="D64" s="235" t="s">
        <v>300</v>
      </c>
      <c r="E64" s="233"/>
      <c r="F64" s="239">
        <v>0</v>
      </c>
      <c r="G64" s="240" t="s">
        <v>301</v>
      </c>
      <c r="H64" s="241" t="s">
        <v>301</v>
      </c>
    </row>
    <row r="65" spans="3:8" x14ac:dyDescent="0.2">
      <c r="C65" s="242">
        <f>COUNT(D9:D38)</f>
        <v>10</v>
      </c>
      <c r="D65" s="235" t="s">
        <v>302</v>
      </c>
      <c r="E65" s="233"/>
      <c r="F65" s="243">
        <v>2</v>
      </c>
      <c r="G65" s="244">
        <v>0.59699220876937653</v>
      </c>
      <c r="H65" s="245">
        <v>-0.19869933138940013</v>
      </c>
    </row>
    <row r="66" spans="3:8" x14ac:dyDescent="0.2">
      <c r="C66" s="246" t="s">
        <v>303</v>
      </c>
      <c r="D66" s="247" t="s">
        <v>304</v>
      </c>
      <c r="E66" s="248" t="s">
        <v>305</v>
      </c>
      <c r="F66" s="243">
        <v>3</v>
      </c>
      <c r="G66" s="244">
        <v>0.45978540702462811</v>
      </c>
      <c r="H66" s="245">
        <v>-0.11601253813309619</v>
      </c>
    </row>
    <row r="67" spans="3:8" x14ac:dyDescent="0.2">
      <c r="C67" s="249">
        <f>$C$63+0.49999999999*(($C$64-$C$63)/6)</f>
        <v>89.899999999993994</v>
      </c>
      <c r="D67" s="250">
        <f t="array" ref="D67:D73">FREQUENCY($D$9:$D$38,C67:C73)</f>
        <v>1</v>
      </c>
      <c r="E67" s="233">
        <f>(D67/$C$65)/($C$68-$C$67)</f>
        <v>0.1666666666666643</v>
      </c>
      <c r="F67" s="243">
        <v>4</v>
      </c>
      <c r="G67" s="244">
        <v>0.38772715862001483</v>
      </c>
      <c r="H67" s="245">
        <v>-7.876997584041788E-2</v>
      </c>
    </row>
    <row r="68" spans="3:8" x14ac:dyDescent="0.2">
      <c r="C68" s="252">
        <f>C67+(($C$64-$C$63)/6)</f>
        <v>90.499999999994003</v>
      </c>
      <c r="D68" s="250">
        <v>3</v>
      </c>
      <c r="E68" s="233">
        <f t="shared" ref="E68:E73" si="1">(D68/$C$65)/($C$68-$C$67)</f>
        <v>0.49999999999999289</v>
      </c>
      <c r="F68" s="243">
        <v>5</v>
      </c>
      <c r="G68" s="244">
        <v>0.33737761967079494</v>
      </c>
      <c r="H68" s="245">
        <v>-5.868348485962218E-2</v>
      </c>
    </row>
    <row r="69" spans="3:8" x14ac:dyDescent="0.2">
      <c r="C69" s="252">
        <f>C68+(($C$64-$C$63)/6)</f>
        <v>91.099999999993997</v>
      </c>
      <c r="D69" s="250">
        <v>4</v>
      </c>
      <c r="E69" s="233">
        <f t="shared" si="1"/>
        <v>0.66666666666665719</v>
      </c>
      <c r="F69" s="243">
        <v>6</v>
      </c>
      <c r="G69" s="244">
        <v>0.30750043436078844</v>
      </c>
      <c r="H69" s="245">
        <v>-4.9504169401620494E-2</v>
      </c>
    </row>
    <row r="70" spans="3:8" x14ac:dyDescent="0.2">
      <c r="C70" s="252">
        <f>C69+(($C$64-$C$63)/6)</f>
        <v>91.699999999993992</v>
      </c>
      <c r="D70" s="250">
        <v>0</v>
      </c>
      <c r="E70" s="233">
        <f t="shared" si="1"/>
        <v>0</v>
      </c>
      <c r="F70" s="243">
        <v>7</v>
      </c>
      <c r="G70" s="244">
        <v>0.27921137268126639</v>
      </c>
      <c r="H70" s="245">
        <v>-4.1834282242930662E-2</v>
      </c>
    </row>
    <row r="71" spans="3:8" x14ac:dyDescent="0.2">
      <c r="C71" s="252">
        <f>C70+(($C$64-$C$63)/6)</f>
        <v>92.299999999993986</v>
      </c>
      <c r="D71" s="250">
        <v>1</v>
      </c>
      <c r="E71" s="233">
        <f t="shared" si="1"/>
        <v>0.1666666666666643</v>
      </c>
      <c r="F71" s="243">
        <v>8</v>
      </c>
      <c r="G71" s="244">
        <v>0.26471006662904445</v>
      </c>
      <c r="H71" s="245">
        <v>-3.70165420594279E-2</v>
      </c>
    </row>
    <row r="72" spans="3:8" x14ac:dyDescent="0.2">
      <c r="C72" s="252">
        <f>C71+(($C$64-$C$63)/6)</f>
        <v>92.89999999999398</v>
      </c>
      <c r="D72" s="250">
        <v>0</v>
      </c>
      <c r="E72" s="233">
        <f t="shared" si="1"/>
        <v>0</v>
      </c>
      <c r="F72" s="243">
        <v>9</v>
      </c>
      <c r="G72" s="244">
        <v>0.24290858636104587</v>
      </c>
      <c r="H72" s="245">
        <v>-3.265494463423365E-2</v>
      </c>
    </row>
    <row r="73" spans="3:8" x14ac:dyDescent="0.2">
      <c r="C73" s="252">
        <f>$C$64</f>
        <v>93.2</v>
      </c>
      <c r="D73" s="251">
        <v>1</v>
      </c>
      <c r="E73" s="233">
        <f t="shared" si="1"/>
        <v>0.1666666666666643</v>
      </c>
      <c r="F73" s="243">
        <v>10</v>
      </c>
      <c r="G73" s="244">
        <v>0.23073940402253743</v>
      </c>
      <c r="H73" s="245">
        <v>-3.0068002788026502E-2</v>
      </c>
    </row>
    <row r="74" spans="3:8" x14ac:dyDescent="0.2">
      <c r="C74" s="232"/>
      <c r="D74" s="77"/>
      <c r="E74" s="233"/>
      <c r="F74" s="243">
        <v>11</v>
      </c>
      <c r="G74" s="244">
        <v>0.21965632598031737</v>
      </c>
      <c r="H74" s="245">
        <v>-2.6122336378897468E-2</v>
      </c>
    </row>
    <row r="75" spans="3:8" x14ac:dyDescent="0.2">
      <c r="C75" s="246" t="s">
        <v>303</v>
      </c>
      <c r="D75" s="247" t="s">
        <v>304</v>
      </c>
      <c r="E75" s="248" t="s">
        <v>305</v>
      </c>
      <c r="F75" s="243">
        <v>12</v>
      </c>
      <c r="G75" s="244">
        <v>0.21088965126708842</v>
      </c>
      <c r="H75" s="245">
        <v>-2.4598201756062033E-2</v>
      </c>
    </row>
    <row r="76" spans="3:8" x14ac:dyDescent="0.2">
      <c r="C76" s="249">
        <f>$C$63+0.49999999999*(($C$64-$C$63)/5)</f>
        <v>89.959999999992789</v>
      </c>
      <c r="D76" s="250">
        <f t="array" ref="D76:D81">FREQUENCY($D$9:$D$38,C76:C81)</f>
        <v>1</v>
      </c>
      <c r="E76" s="233">
        <f t="shared" ref="E76:E81" si="2">(D76/$C$65)/($C$77-$C$76)</f>
        <v>0.13888888888888912</v>
      </c>
      <c r="F76" s="243">
        <v>13</v>
      </c>
      <c r="G76" s="244">
        <v>0.20398468648167306</v>
      </c>
      <c r="H76" s="245">
        <v>-2.3043872634030741E-2</v>
      </c>
    </row>
    <row r="77" spans="3:8" x14ac:dyDescent="0.2">
      <c r="C77" s="252">
        <f>C76+(($C$64-$C$63)/5)</f>
        <v>90.679999999992788</v>
      </c>
      <c r="D77" s="250">
        <v>3</v>
      </c>
      <c r="E77" s="233">
        <f t="shared" si="2"/>
        <v>0.4166666666666673</v>
      </c>
      <c r="F77" s="243">
        <v>14</v>
      </c>
      <c r="G77" s="244">
        <v>0.19478601966723821</v>
      </c>
      <c r="H77" s="245">
        <v>-2.1300771068978396E-2</v>
      </c>
    </row>
    <row r="78" spans="3:8" x14ac:dyDescent="0.2">
      <c r="C78" s="252">
        <f>C77+(($C$64-$C$63)/5)</f>
        <v>91.399999999992787</v>
      </c>
      <c r="D78" s="250">
        <v>4</v>
      </c>
      <c r="E78" s="233">
        <f t="shared" si="2"/>
        <v>0.55555555555555647</v>
      </c>
      <c r="F78" s="243">
        <v>15</v>
      </c>
      <c r="G78" s="244">
        <v>0.18959501476083473</v>
      </c>
      <c r="H78" s="245">
        <v>-1.9367217201593671E-2</v>
      </c>
    </row>
    <row r="79" spans="3:8" x14ac:dyDescent="0.2">
      <c r="C79" s="252">
        <f>C78+(($C$64-$C$63)/5)</f>
        <v>92.119999999992785</v>
      </c>
      <c r="D79" s="250">
        <v>1</v>
      </c>
      <c r="E79" s="233">
        <f t="shared" si="2"/>
        <v>0.13888888888888912</v>
      </c>
      <c r="F79" s="243">
        <v>16</v>
      </c>
      <c r="G79" s="244">
        <v>0.18292029537251225</v>
      </c>
      <c r="H79" s="245">
        <v>-1.82272626450617E-2</v>
      </c>
    </row>
    <row r="80" spans="3:8" x14ac:dyDescent="0.2">
      <c r="C80" s="252">
        <f>C79+(($C$64-$C$63)/5)</f>
        <v>92.839999999992784</v>
      </c>
      <c r="D80" s="250">
        <v>0</v>
      </c>
      <c r="E80" s="233">
        <f t="shared" si="2"/>
        <v>0</v>
      </c>
      <c r="F80" s="243">
        <v>17</v>
      </c>
      <c r="G80" s="244">
        <v>0.17350768196215502</v>
      </c>
      <c r="H80" s="245">
        <v>-1.7585519680769667E-2</v>
      </c>
    </row>
    <row r="81" spans="3:8" x14ac:dyDescent="0.2">
      <c r="C81" s="252">
        <f>$C$64</f>
        <v>93.2</v>
      </c>
      <c r="D81" s="250">
        <v>1</v>
      </c>
      <c r="E81" s="233">
        <f t="shared" si="2"/>
        <v>0.13888888888888912</v>
      </c>
      <c r="F81" s="243">
        <v>18</v>
      </c>
      <c r="G81" s="244">
        <v>0.17022715267719338</v>
      </c>
      <c r="H81" s="245">
        <v>-1.595116978315075E-2</v>
      </c>
    </row>
    <row r="82" spans="3:8" x14ac:dyDescent="0.2">
      <c r="C82" s="232"/>
      <c r="D82" s="77"/>
      <c r="E82" s="233"/>
      <c r="F82" s="243">
        <v>19</v>
      </c>
      <c r="G82" s="244">
        <v>0.16577822276459958</v>
      </c>
      <c r="H82" s="245">
        <v>-1.6236414102922536E-2</v>
      </c>
    </row>
    <row r="83" spans="3:8" x14ac:dyDescent="0.2">
      <c r="C83" s="246" t="s">
        <v>303</v>
      </c>
      <c r="D83" s="247" t="s">
        <v>304</v>
      </c>
      <c r="E83" s="248" t="s">
        <v>305</v>
      </c>
      <c r="F83" s="243">
        <v>20</v>
      </c>
      <c r="G83" s="244">
        <v>0.16417621005006985</v>
      </c>
      <c r="H83" s="245">
        <v>-1.5810824382638231E-2</v>
      </c>
    </row>
    <row r="84" spans="3:8" x14ac:dyDescent="0.2">
      <c r="C84" s="249">
        <f>$C$63+0.49999999999*(($C$64-$C$63)/4)</f>
        <v>90.049999999991002</v>
      </c>
      <c r="D84" s="250">
        <f t="array" ref="D84:D88">FREQUENCY($D$9:$D$38,C84:C88)</f>
        <v>2</v>
      </c>
      <c r="E84" s="233">
        <f>(D84/$C$65)/($C$85-$C$84)</f>
        <v>0.22222222222222082</v>
      </c>
      <c r="F84" s="243">
        <v>21</v>
      </c>
      <c r="G84" s="244">
        <v>0.1585595842391346</v>
      </c>
      <c r="H84" s="245">
        <v>-1.4181559906194015E-2</v>
      </c>
    </row>
    <row r="85" spans="3:8" x14ac:dyDescent="0.2">
      <c r="C85" s="252">
        <f>C84+(($C$64-$C$63)/4)</f>
        <v>90.949999999991007</v>
      </c>
      <c r="D85" s="250">
        <v>6</v>
      </c>
      <c r="E85" s="233">
        <f>(D85/$C$65)/($C$85-$C$84)</f>
        <v>0.66666666666666241</v>
      </c>
      <c r="F85" s="243">
        <v>22</v>
      </c>
      <c r="G85" s="244">
        <v>0.15285677668453135</v>
      </c>
      <c r="H85" s="245">
        <v>-1.3640181665252066E-2</v>
      </c>
    </row>
    <row r="86" spans="3:8" x14ac:dyDescent="0.2">
      <c r="C86" s="252">
        <f>C85+(($C$64-$C$63)/4)</f>
        <v>91.849999999991013</v>
      </c>
      <c r="D86" s="250">
        <v>0</v>
      </c>
      <c r="E86" s="233">
        <f>(D86/$C$65)/($C$85-$C$84)</f>
        <v>0</v>
      </c>
      <c r="F86" s="243">
        <v>23</v>
      </c>
      <c r="G86" s="244">
        <v>0.15194930002804155</v>
      </c>
      <c r="H86" s="245">
        <v>-1.3054249286461296E-2</v>
      </c>
    </row>
    <row r="87" spans="3:8" x14ac:dyDescent="0.2">
      <c r="C87" s="252">
        <f>C86+(($C$64-$C$63)/4)</f>
        <v>92.749999999991019</v>
      </c>
      <c r="D87" s="250">
        <v>1</v>
      </c>
      <c r="E87" s="233">
        <f>(D87/$C$65)/($C$85-$C$84)</f>
        <v>0.11111111111111041</v>
      </c>
      <c r="F87" s="243">
        <v>24</v>
      </c>
      <c r="G87" s="244">
        <v>0.14758670046106351</v>
      </c>
      <c r="H87" s="245">
        <v>-1.3236193358293499E-2</v>
      </c>
    </row>
    <row r="88" spans="3:8" x14ac:dyDescent="0.2">
      <c r="C88" s="252">
        <f>$C$64</f>
        <v>93.2</v>
      </c>
      <c r="D88" s="250">
        <v>1</v>
      </c>
      <c r="E88" s="233">
        <f>(D88/$C$65)/($C$85-$C$84)</f>
        <v>0.11111111111111041</v>
      </c>
      <c r="F88" s="243">
        <v>25</v>
      </c>
      <c r="G88" s="244">
        <v>0.1427819174819806</v>
      </c>
      <c r="H88" s="245">
        <v>-1.3177885395874181E-2</v>
      </c>
    </row>
    <row r="89" spans="3:8" x14ac:dyDescent="0.2">
      <c r="C89" s="232"/>
      <c r="D89" s="77"/>
      <c r="E89" s="233"/>
      <c r="F89" s="243">
        <v>26</v>
      </c>
      <c r="G89" s="244">
        <v>0.14043507715945744</v>
      </c>
      <c r="H89" s="245">
        <v>-1.2178529315040505E-2</v>
      </c>
    </row>
    <row r="90" spans="3:8" x14ac:dyDescent="0.2">
      <c r="C90" s="246" t="s">
        <v>303</v>
      </c>
      <c r="D90" s="247" t="s">
        <v>304</v>
      </c>
      <c r="E90" s="248" t="s">
        <v>305</v>
      </c>
      <c r="F90" s="243">
        <v>27</v>
      </c>
      <c r="G90" s="244">
        <v>0.13732104025962333</v>
      </c>
      <c r="H90" s="245">
        <v>-1.1858789062150051E-2</v>
      </c>
    </row>
    <row r="91" spans="3:8" x14ac:dyDescent="0.2">
      <c r="C91" s="249">
        <f>$C$63+0.49999999999*(($C$64-$C$63)/3)</f>
        <v>90.199999999987995</v>
      </c>
      <c r="D91" s="250">
        <f t="array" ref="D91:D94">FREQUENCY($D$9:$D$38,C91:C94)</f>
        <v>2</v>
      </c>
      <c r="E91" s="233">
        <f>(D91/$C$65)/($C$92-$C$91)</f>
        <v>0.16666666666666627</v>
      </c>
      <c r="F91" s="243">
        <v>28</v>
      </c>
      <c r="G91" s="244">
        <v>0.13888135354132908</v>
      </c>
      <c r="H91" s="245">
        <v>-1.1335800315109484E-2</v>
      </c>
    </row>
    <row r="92" spans="3:8" x14ac:dyDescent="0.2">
      <c r="C92" s="252">
        <f>C91+(($C$64-$C$63)/3)</f>
        <v>91.399999999987998</v>
      </c>
      <c r="D92" s="250">
        <v>6</v>
      </c>
      <c r="E92" s="233">
        <f>(D92/$C$65)/($C$92-$C$91)</f>
        <v>0.49999999999999878</v>
      </c>
      <c r="F92" s="243">
        <v>29</v>
      </c>
      <c r="G92" s="244">
        <v>0.13300784731543722</v>
      </c>
      <c r="H92" s="245">
        <v>-1.0853574671046078E-2</v>
      </c>
    </row>
    <row r="93" spans="3:8" ht="13.5" thickBot="1" x14ac:dyDescent="0.25">
      <c r="C93" s="252">
        <f>C92+(($C$64-$C$63)/3)</f>
        <v>92.599999999988</v>
      </c>
      <c r="D93" s="250">
        <v>1</v>
      </c>
      <c r="E93" s="233">
        <f>(D93/$C$65)/($C$92-$C$91)</f>
        <v>8.3333333333333134E-2</v>
      </c>
      <c r="F93" s="253">
        <v>30</v>
      </c>
      <c r="G93" s="254">
        <v>0.13317668409126868</v>
      </c>
      <c r="H93" s="255">
        <v>-1.1118245151907818E-2</v>
      </c>
    </row>
    <row r="94" spans="3:8" x14ac:dyDescent="0.2">
      <c r="C94" s="252">
        <f>$C$64</f>
        <v>93.2</v>
      </c>
      <c r="D94" s="250">
        <v>1</v>
      </c>
      <c r="E94" s="233">
        <f>(D94/$C$65)/($C$92-$C$91)</f>
        <v>8.3333333333333134E-2</v>
      </c>
      <c r="H94" s="3"/>
    </row>
    <row r="95" spans="3:8" x14ac:dyDescent="0.2">
      <c r="C95" s="232"/>
      <c r="D95" s="77"/>
      <c r="E95" s="233"/>
      <c r="H95" s="3"/>
    </row>
    <row r="96" spans="3:8" x14ac:dyDescent="0.2">
      <c r="C96" s="246" t="s">
        <v>303</v>
      </c>
      <c r="D96" s="247" t="s">
        <v>304</v>
      </c>
      <c r="E96" s="248" t="s">
        <v>305</v>
      </c>
      <c r="H96" s="3"/>
    </row>
    <row r="97" spans="3:8" x14ac:dyDescent="0.2">
      <c r="C97" s="249">
        <f>$C$63+0.49999999999*(($C$64-$C$63)/2)</f>
        <v>90.499999999981995</v>
      </c>
      <c r="D97" s="250">
        <f t="array" ref="D97:D99">FREQUENCY($D$9:$D$38,C97:C99)</f>
        <v>4</v>
      </c>
      <c r="E97" s="233">
        <f>(D97/$C$65)/($C$98-$C$97)</f>
        <v>0.2222222222222226</v>
      </c>
      <c r="H97" s="3"/>
    </row>
    <row r="98" spans="3:8" x14ac:dyDescent="0.2">
      <c r="C98" s="252">
        <f>C97+(($C$64-$C$63)/2)</f>
        <v>92.299999999981992</v>
      </c>
      <c r="D98" s="250">
        <v>5</v>
      </c>
      <c r="E98" s="233">
        <f>(D98/$C$65)/($C$98-$C$97)</f>
        <v>0.27777777777777823</v>
      </c>
      <c r="H98" s="3"/>
    </row>
    <row r="99" spans="3:8" x14ac:dyDescent="0.2">
      <c r="C99" s="252">
        <f>$C$64</f>
        <v>93.2</v>
      </c>
      <c r="D99" s="250">
        <v>1</v>
      </c>
      <c r="E99" s="233">
        <f>(D99/$C$65)/($C$98-$C$97)</f>
        <v>5.555555555555565E-2</v>
      </c>
      <c r="H99" s="3"/>
    </row>
    <row r="100" spans="3:8" x14ac:dyDescent="0.2">
      <c r="C100" s="232"/>
      <c r="D100" s="77"/>
      <c r="E100" s="233"/>
      <c r="H100" s="3"/>
    </row>
    <row r="101" spans="3:8" x14ac:dyDescent="0.2">
      <c r="C101" s="246" t="s">
        <v>303</v>
      </c>
      <c r="D101" s="247" t="s">
        <v>304</v>
      </c>
      <c r="E101" s="248" t="s">
        <v>305</v>
      </c>
      <c r="H101" s="3"/>
    </row>
    <row r="102" spans="3:8" x14ac:dyDescent="0.2">
      <c r="C102" s="249">
        <f>$C$63+0.49999999999*(($C$64-$C$63))</f>
        <v>91.399999999963995</v>
      </c>
      <c r="D102" s="250">
        <f t="array" ref="D102:D103">FREQUENCY($D$9:$D$38,C102:C104)</f>
        <v>8</v>
      </c>
      <c r="E102" s="233">
        <f>(D102/$C$65)/($C$103-$C$102)</f>
        <v>0.44444444443555375</v>
      </c>
      <c r="H102" s="3"/>
    </row>
    <row r="103" spans="3:8" x14ac:dyDescent="0.2">
      <c r="C103" s="252">
        <f>$C$64</f>
        <v>93.2</v>
      </c>
      <c r="D103" s="250">
        <v>2</v>
      </c>
      <c r="E103" s="233">
        <f>(D103/$C$65)/($C$103-$C$102)</f>
        <v>0.11111111110888844</v>
      </c>
      <c r="H103" s="3"/>
    </row>
    <row r="104" spans="3:8" x14ac:dyDescent="0.2">
      <c r="C104" s="232"/>
      <c r="D104" s="77"/>
      <c r="E104" s="233"/>
      <c r="H104" s="3"/>
    </row>
    <row r="105" spans="3:8" x14ac:dyDescent="0.2">
      <c r="C105" s="256" t="s">
        <v>303</v>
      </c>
      <c r="D105" s="257" t="s">
        <v>304</v>
      </c>
      <c r="E105" s="258" t="s">
        <v>305</v>
      </c>
      <c r="H105" s="3"/>
    </row>
    <row r="106" spans="3:8" x14ac:dyDescent="0.2">
      <c r="C106" s="259">
        <f>IF($G$40=7,C67,IF($G$40=6,C76,IF($G$40=5,C84,IF($G$40=4,C91,IF($G$40=3,C97,IF($G$40=2,C102))))))</f>
        <v>90.499999999981995</v>
      </c>
      <c r="D106" s="260">
        <f>IF($G$40=7,D67,IF($G$40=6,D76,IF($G$40=5,D84,IF($G$40=4,D91,IF($G$40=3,D97,IF($G$40=2,D102,""))))))</f>
        <v>4</v>
      </c>
      <c r="E106" s="261">
        <f>IF($G$40=7,E67,IF($G$40=6,E76,IF($G$40=5,E84,IF($G$40=4,E91,IF($G$40=3,E97,IF($G$40=2,E102))))))</f>
        <v>0.2222222222222226</v>
      </c>
      <c r="H106" s="3"/>
    </row>
    <row r="107" spans="3:8" x14ac:dyDescent="0.2">
      <c r="C107" s="259">
        <f>IF($G$40=7,C68,IF($G$40=6,C77,IF($G$40=5,C85,IF($G$40=4,C92,IF($G$40=3,C98,IF($G$40=2,C103))))))</f>
        <v>92.299999999981992</v>
      </c>
      <c r="D107" s="260">
        <f>IF($G$40=7,D68,IF($G$40=6,D77,IF($G$40=5,D85,IF($G$40=4,D92,IF($G$40=3,D98,IF($G$40=2,D103,""))))))</f>
        <v>5</v>
      </c>
      <c r="E107" s="261">
        <f>IF($G$40=7,E68,IF($G$40=6,E77,IF($G$40=5,E85,IF($G$40=4,E92,IF($G$40=3,E98,IF($G$40=2,E103))))))</f>
        <v>0.27777777777777823</v>
      </c>
      <c r="H107" s="3"/>
    </row>
    <row r="108" spans="3:8" x14ac:dyDescent="0.2">
      <c r="C108" s="259">
        <f>IF($G$40=7,C69,IF($G$40=6,C78,IF($G$40=5,C86,IF($G$40=4,C93,IF($G$40=3,C99,IF($G$40=2,""))))))</f>
        <v>93.2</v>
      </c>
      <c r="D108" s="260">
        <f>IF($G$40=7,D69,IF($G$40=6,D78,IF($G$40=5,D86,IF($G$40=4,D93,IF($G$40=3,D99,IF($G$40=2,""))))))</f>
        <v>1</v>
      </c>
      <c r="E108" s="261">
        <f>IF($G$40=7,E69,IF($G$40=6,E78,IF($G$40=5,E86,IF($G$40=4,E93,IF($G$40=3,E99,IF($G$40=2,""))))))</f>
        <v>5.555555555555565E-2</v>
      </c>
      <c r="H108" s="3"/>
    </row>
    <row r="109" spans="3:8" x14ac:dyDescent="0.2">
      <c r="C109" s="259" t="str">
        <f>IF($G$40=7,C70,IF($G$40=6,C79,IF($G$40=5,C87,IF($G$40=4,C94,IF($G$40=3,"",IF($G$40=2,""))))))</f>
        <v/>
      </c>
      <c r="D109" s="260" t="str">
        <f>IF($G$40=7,D70,IF($G$40=6,D79,IF($G$40=5,D87,IF($G$40=4,D94,IF($G$40=3,"",IF($G$40=2,""))))))</f>
        <v/>
      </c>
      <c r="E109" s="261" t="str">
        <f>IF($G$40=7,E70,IF($G$40=6,E79,IF($G$40=5,E87,IF($G$40=4,E94,IF($G$40=3,"",IF($G$40=2,""))))))</f>
        <v/>
      </c>
      <c r="H109" s="3"/>
    </row>
    <row r="110" spans="3:8" x14ac:dyDescent="0.2">
      <c r="C110" s="259" t="str">
        <f>IF($G$40=7,C71,IF($G$40=6,C80,IF($G$40=5,C88,IF($G$40=4,"",IF($G$40=3,"",IF($G$40=2,""))))))</f>
        <v/>
      </c>
      <c r="D110" s="260" t="str">
        <f>IF($G$40=7,D71,IF($G$40=6,D80,IF($G$40=5,D88,IF($G$40=4,"",IF($G$40=3,"",IF($G$40=2,""))))))</f>
        <v/>
      </c>
      <c r="E110" s="261" t="str">
        <f>IF($G$40=7,E71,IF($G$40=6,E80,IF($G$40=5,E88,IF($G$40=4,"",IF($G$40=3,"",IF($G$40=2,""))))))</f>
        <v/>
      </c>
      <c r="H110" s="3"/>
    </row>
    <row r="111" spans="3:8" x14ac:dyDescent="0.2">
      <c r="C111" s="259" t="str">
        <f>IF($G$40=7,C72,IF($G$40=6,C81,IF($G$40=5,"",IF($G$40=4,"",IF($G$40=3,"",IF($G$40=2,""))))))</f>
        <v/>
      </c>
      <c r="D111" s="260" t="str">
        <f>IF($G$40=7,D72,IF($G$40=6,D81,IF($G$40=5,"",IF($G$40=4,"",IF($G$40=3,"",IF($G$40=2,""))))))</f>
        <v/>
      </c>
      <c r="E111" s="261" t="str">
        <f>IF($G$40=7,E72,IF($G$40=6,E81,IF($G$40=5,"",IF($G$40=4,"",IF($G$40=3,"",IF($G$40=2,""))))))</f>
        <v/>
      </c>
      <c r="H111" s="3"/>
    </row>
    <row r="112" spans="3:8" ht="13.5" thickBot="1" x14ac:dyDescent="0.25">
      <c r="C112" s="262" t="str">
        <f>IF($G$40=7,C73,IF($G$40=6,"",IF($G$40=5,"",IF($G$40=4,"",IF($G$40=3,"",IF($G$40=2,""))))))</f>
        <v/>
      </c>
      <c r="D112" s="263" t="str">
        <f>IF($G$40=7,D73,IF($G$40=6,"",IF($G$40=5,"",IF($G$40=4,"",IF($G$40=3,"",IF($G$40=2,""))))))</f>
        <v/>
      </c>
      <c r="E112" s="264" t="str">
        <f>IF($G$40=7,E73,IF($G$40=6,"",IF($G$40=5,"",IF($G$40=4,"",IF($G$40=3,"",IF($G$40=2,""))))))</f>
        <v/>
      </c>
      <c r="H112" s="3"/>
    </row>
    <row r="113" spans="3:8" x14ac:dyDescent="0.2">
      <c r="C113" s="265"/>
      <c r="D113" s="265"/>
      <c r="E113" s="265"/>
      <c r="H113" s="3"/>
    </row>
    <row r="114" spans="3:8" x14ac:dyDescent="0.2">
      <c r="C114" s="265"/>
      <c r="D114" s="265"/>
      <c r="E114" s="265"/>
      <c r="H114" s="3"/>
    </row>
    <row r="115" spans="3:8" x14ac:dyDescent="0.2">
      <c r="C115" s="3"/>
      <c r="D115" s="3"/>
      <c r="E115" s="3"/>
      <c r="H115" s="3"/>
    </row>
    <row r="116" spans="3:8" x14ac:dyDescent="0.2">
      <c r="C116" s="3"/>
      <c r="D116" s="3"/>
      <c r="E116" s="3"/>
      <c r="H116" s="3"/>
    </row>
    <row r="117" spans="3:8" x14ac:dyDescent="0.2">
      <c r="C117" s="3"/>
      <c r="D117" s="3"/>
      <c r="E117" s="3"/>
      <c r="H117" s="3"/>
    </row>
    <row r="118" spans="3:8" x14ac:dyDescent="0.2">
      <c r="C118" s="3"/>
      <c r="D118" s="3"/>
      <c r="E118" s="3"/>
      <c r="H118" s="3"/>
    </row>
    <row r="119" spans="3:8" x14ac:dyDescent="0.2">
      <c r="C119" s="3"/>
      <c r="D119" s="3"/>
      <c r="E119" s="3"/>
      <c r="H119" s="3"/>
    </row>
    <row r="120" spans="3:8" x14ac:dyDescent="0.2">
      <c r="C120" s="3"/>
      <c r="D120" s="3"/>
      <c r="E120" s="3"/>
      <c r="H120" s="3"/>
    </row>
    <row r="121" spans="3:8" x14ac:dyDescent="0.2">
      <c r="C121" s="3"/>
      <c r="D121" s="3"/>
      <c r="E121" s="3"/>
      <c r="H121" s="3"/>
    </row>
    <row r="122" spans="3:8" x14ac:dyDescent="0.2">
      <c r="C122" s="3"/>
      <c r="D122" s="3"/>
      <c r="E122" s="3"/>
      <c r="H122" s="3"/>
    </row>
    <row r="123" spans="3:8" x14ac:dyDescent="0.2">
      <c r="C123" s="3"/>
      <c r="D123" s="3"/>
      <c r="E123" s="3"/>
      <c r="H123" s="3"/>
    </row>
    <row r="124" spans="3:8" x14ac:dyDescent="0.2">
      <c r="C124" s="3"/>
      <c r="D124" s="3"/>
      <c r="E124" s="3"/>
      <c r="H124" s="3"/>
    </row>
    <row r="125" spans="3:8" x14ac:dyDescent="0.2">
      <c r="C125" s="3"/>
      <c r="D125" s="3"/>
      <c r="E125" s="3"/>
      <c r="H125" s="3"/>
    </row>
    <row r="126" spans="3:8" x14ac:dyDescent="0.2">
      <c r="C126" s="3"/>
      <c r="D126" s="3"/>
      <c r="E126" s="3"/>
      <c r="H126" s="3"/>
    </row>
    <row r="127" spans="3:8" x14ac:dyDescent="0.2">
      <c r="C127" s="3"/>
      <c r="D127" s="3"/>
      <c r="E127" s="3"/>
      <c r="H127" s="3"/>
    </row>
    <row r="128" spans="3:8" x14ac:dyDescent="0.2">
      <c r="C128" s="3"/>
      <c r="D128" s="3"/>
      <c r="E128" s="3"/>
      <c r="H128" s="3"/>
    </row>
    <row r="129" spans="3:8" x14ac:dyDescent="0.2">
      <c r="C129" s="3"/>
      <c r="D129" s="3"/>
      <c r="E129" s="3"/>
      <c r="H129" s="3"/>
    </row>
    <row r="130" spans="3:8" x14ac:dyDescent="0.2">
      <c r="C130" s="3"/>
      <c r="D130" s="3"/>
      <c r="E130" s="3"/>
      <c r="H130" s="3"/>
    </row>
    <row r="131" spans="3:8" x14ac:dyDescent="0.2">
      <c r="C131" s="3"/>
      <c r="D131" s="3"/>
      <c r="E131" s="3"/>
      <c r="H131" s="3"/>
    </row>
    <row r="132" spans="3:8" x14ac:dyDescent="0.2">
      <c r="C132" s="3"/>
      <c r="D132" s="3"/>
      <c r="E132" s="3"/>
      <c r="H132" s="3"/>
    </row>
    <row r="133" spans="3:8" x14ac:dyDescent="0.2">
      <c r="C133" s="3"/>
      <c r="D133" s="3"/>
      <c r="E133" s="3"/>
      <c r="H133" s="3"/>
    </row>
    <row r="134" spans="3:8" x14ac:dyDescent="0.2">
      <c r="C134" s="3"/>
      <c r="D134" s="3"/>
      <c r="E134" s="3"/>
      <c r="H134" s="3"/>
    </row>
    <row r="135" spans="3:8" x14ac:dyDescent="0.2">
      <c r="C135" s="3"/>
      <c r="D135" s="3"/>
      <c r="E135" s="3"/>
      <c r="H135" s="3"/>
    </row>
    <row r="136" spans="3:8" x14ac:dyDescent="0.2">
      <c r="C136" s="3"/>
      <c r="D136" s="3"/>
      <c r="E136" s="3"/>
      <c r="H136" s="3"/>
    </row>
    <row r="137" spans="3:8" x14ac:dyDescent="0.2">
      <c r="C137" s="3"/>
      <c r="D137" s="3"/>
      <c r="E137" s="3"/>
      <c r="H137" s="3"/>
    </row>
    <row r="138" spans="3:8" x14ac:dyDescent="0.2">
      <c r="C138" s="3"/>
      <c r="D138" s="3"/>
      <c r="E138" s="3"/>
      <c r="H138" s="3"/>
    </row>
    <row r="139" spans="3:8" x14ac:dyDescent="0.2">
      <c r="C139" s="3"/>
      <c r="D139" s="3"/>
      <c r="E139" s="3"/>
      <c r="H139" s="3"/>
    </row>
    <row r="140" spans="3:8" x14ac:dyDescent="0.2">
      <c r="C140" s="3"/>
      <c r="D140" s="3"/>
      <c r="E140" s="3"/>
      <c r="H140" s="3"/>
    </row>
    <row r="141" spans="3:8" x14ac:dyDescent="0.2">
      <c r="C141" s="3"/>
      <c r="D141" s="3"/>
      <c r="E141" s="3"/>
      <c r="H141" s="3"/>
    </row>
    <row r="142" spans="3:8" x14ac:dyDescent="0.2">
      <c r="C142" s="3"/>
      <c r="D142" s="3"/>
      <c r="E142" s="3"/>
      <c r="H142" s="3"/>
    </row>
    <row r="143" spans="3:8" x14ac:dyDescent="0.2">
      <c r="C143" s="3"/>
      <c r="D143" s="3"/>
      <c r="E143" s="3"/>
      <c r="H143" s="3"/>
    </row>
    <row r="144" spans="3:8" x14ac:dyDescent="0.2">
      <c r="C144" s="3"/>
      <c r="D144" s="3"/>
      <c r="E144" s="3"/>
      <c r="H144" s="3"/>
    </row>
    <row r="145" spans="3:8" x14ac:dyDescent="0.2">
      <c r="C145" s="3"/>
      <c r="D145" s="3"/>
      <c r="E145" s="3"/>
      <c r="H145" s="3"/>
    </row>
    <row r="146" spans="3:8" x14ac:dyDescent="0.2">
      <c r="C146" s="3"/>
      <c r="D146" s="3"/>
      <c r="E146" s="3"/>
      <c r="H146" s="3"/>
    </row>
    <row r="147" spans="3:8" x14ac:dyDescent="0.2">
      <c r="C147" s="3"/>
      <c r="D147" s="3"/>
      <c r="E147" s="3"/>
      <c r="H147" s="3"/>
    </row>
    <row r="148" spans="3:8" x14ac:dyDescent="0.2">
      <c r="C148" s="3"/>
      <c r="D148" s="3"/>
      <c r="E148" s="3"/>
      <c r="H148" s="3"/>
    </row>
    <row r="149" spans="3:8" x14ac:dyDescent="0.2">
      <c r="C149" s="3"/>
      <c r="D149" s="3"/>
      <c r="E149" s="3"/>
      <c r="H149" s="3"/>
    </row>
    <row r="150" spans="3:8" x14ac:dyDescent="0.2">
      <c r="C150" s="3"/>
      <c r="D150" s="3"/>
      <c r="E150" s="3"/>
      <c r="H150" s="3"/>
    </row>
    <row r="151" spans="3:8" x14ac:dyDescent="0.2">
      <c r="C151" s="3"/>
      <c r="D151" s="3"/>
      <c r="E151" s="3"/>
      <c r="H151" s="3"/>
    </row>
    <row r="152" spans="3:8" x14ac:dyDescent="0.2">
      <c r="C152" s="3"/>
      <c r="D152" s="3"/>
      <c r="E152" s="3"/>
      <c r="H152" s="3"/>
    </row>
    <row r="153" spans="3:8" x14ac:dyDescent="0.2">
      <c r="C153" s="3"/>
      <c r="D153" s="3"/>
      <c r="E153" s="3"/>
      <c r="H153" s="3"/>
    </row>
    <row r="154" spans="3:8" x14ac:dyDescent="0.2">
      <c r="C154" s="3"/>
      <c r="D154" s="3"/>
      <c r="E154" s="3"/>
      <c r="H154" s="3"/>
    </row>
    <row r="155" spans="3:8" x14ac:dyDescent="0.2">
      <c r="C155" s="3"/>
      <c r="D155" s="3"/>
      <c r="E155" s="3"/>
      <c r="H155" s="3"/>
    </row>
    <row r="156" spans="3:8" x14ac:dyDescent="0.2">
      <c r="C156" s="3"/>
      <c r="D156" s="3"/>
      <c r="E156" s="3"/>
      <c r="H156" s="3"/>
    </row>
    <row r="157" spans="3:8" x14ac:dyDescent="0.2">
      <c r="C157" s="3"/>
      <c r="D157" s="3"/>
      <c r="E157" s="3"/>
      <c r="H157" s="3"/>
    </row>
    <row r="158" spans="3:8" x14ac:dyDescent="0.2">
      <c r="C158" s="3"/>
      <c r="D158" s="3"/>
      <c r="E158" s="3"/>
      <c r="H158" s="3"/>
    </row>
    <row r="159" spans="3:8" x14ac:dyDescent="0.2">
      <c r="C159" s="3"/>
      <c r="D159" s="3"/>
      <c r="E159" s="3"/>
      <c r="H159" s="3"/>
    </row>
    <row r="160" spans="3:8" x14ac:dyDescent="0.2">
      <c r="C160" s="3"/>
      <c r="D160" s="3"/>
      <c r="E160" s="3"/>
      <c r="H160" s="3"/>
    </row>
    <row r="161" spans="3:8" x14ac:dyDescent="0.2">
      <c r="C161" s="3"/>
      <c r="D161" s="3"/>
      <c r="E161" s="3"/>
      <c r="H161" s="3"/>
    </row>
    <row r="162" spans="3:8" x14ac:dyDescent="0.2">
      <c r="C162" s="3"/>
      <c r="D162" s="3"/>
      <c r="E162" s="3"/>
      <c r="H162" s="3"/>
    </row>
    <row r="163" spans="3:8" x14ac:dyDescent="0.2">
      <c r="C163" s="3"/>
      <c r="D163" s="3"/>
      <c r="E163" s="3"/>
      <c r="H163" s="3"/>
    </row>
    <row r="164" spans="3:8" x14ac:dyDescent="0.2">
      <c r="C164" s="3"/>
      <c r="D164" s="3"/>
      <c r="E164" s="3"/>
      <c r="H164" s="3"/>
    </row>
    <row r="165" spans="3:8" x14ac:dyDescent="0.2">
      <c r="C165" s="3"/>
      <c r="D165" s="3"/>
      <c r="E165" s="3"/>
      <c r="H165" s="3"/>
    </row>
    <row r="166" spans="3:8" x14ac:dyDescent="0.2">
      <c r="C166" s="3"/>
      <c r="D166" s="3"/>
      <c r="E166" s="3"/>
      <c r="H166" s="3"/>
    </row>
    <row r="167" spans="3:8" x14ac:dyDescent="0.2">
      <c r="C167" s="3"/>
      <c r="D167" s="3"/>
      <c r="E167" s="3"/>
      <c r="H167" s="3"/>
    </row>
    <row r="168" spans="3:8" x14ac:dyDescent="0.2">
      <c r="C168" s="3"/>
      <c r="D168" s="3"/>
      <c r="E168" s="3"/>
      <c r="H168" s="3"/>
    </row>
    <row r="169" spans="3:8" x14ac:dyDescent="0.2">
      <c r="C169" s="3"/>
      <c r="D169" s="3"/>
      <c r="E169" s="3"/>
      <c r="H169" s="3"/>
    </row>
    <row r="170" spans="3:8" x14ac:dyDescent="0.2">
      <c r="C170" s="3"/>
      <c r="D170" s="3"/>
      <c r="E170" s="3"/>
      <c r="H170" s="3"/>
    </row>
    <row r="171" spans="3:8" x14ac:dyDescent="0.2">
      <c r="C171" s="3"/>
      <c r="D171" s="3"/>
      <c r="E171" s="3"/>
      <c r="H171" s="3"/>
    </row>
    <row r="172" spans="3:8" x14ac:dyDescent="0.2">
      <c r="C172" s="3"/>
      <c r="D172" s="3"/>
      <c r="E172" s="3"/>
      <c r="H172" s="3"/>
    </row>
    <row r="173" spans="3:8" x14ac:dyDescent="0.2">
      <c r="C173" s="3"/>
      <c r="D173" s="3"/>
      <c r="E173" s="3"/>
      <c r="H173" s="3"/>
    </row>
    <row r="174" spans="3:8" x14ac:dyDescent="0.2">
      <c r="C174" s="3"/>
      <c r="D174" s="3"/>
      <c r="E174" s="3"/>
      <c r="H174" s="3"/>
    </row>
    <row r="175" spans="3:8" x14ac:dyDescent="0.2">
      <c r="C175" s="3"/>
      <c r="D175" s="3"/>
      <c r="E175" s="3"/>
      <c r="H175" s="3"/>
    </row>
    <row r="176" spans="3:8" x14ac:dyDescent="0.2">
      <c r="C176" s="3"/>
      <c r="D176" s="3"/>
      <c r="E176" s="3"/>
      <c r="H176" s="3"/>
    </row>
    <row r="177" spans="3:8" x14ac:dyDescent="0.2">
      <c r="C177" s="3"/>
      <c r="D177" s="3"/>
      <c r="E177" s="3"/>
      <c r="H177" s="3"/>
    </row>
    <row r="178" spans="3:8" x14ac:dyDescent="0.2">
      <c r="C178" s="3"/>
      <c r="D178" s="3"/>
      <c r="E178" s="3"/>
      <c r="H178" s="3"/>
    </row>
    <row r="179" spans="3:8" x14ac:dyDescent="0.2">
      <c r="C179" s="3"/>
      <c r="D179" s="3"/>
      <c r="E179" s="3"/>
      <c r="H179" s="3"/>
    </row>
    <row r="180" spans="3:8" x14ac:dyDescent="0.2">
      <c r="C180" s="3"/>
      <c r="D180" s="3"/>
      <c r="E180" s="3"/>
      <c r="H180" s="3"/>
    </row>
    <row r="181" spans="3:8" x14ac:dyDescent="0.2">
      <c r="C181" s="3"/>
      <c r="D181" s="3"/>
      <c r="E181" s="3"/>
      <c r="H181" s="3"/>
    </row>
    <row r="182" spans="3:8" x14ac:dyDescent="0.2">
      <c r="C182" s="3"/>
      <c r="D182" s="3"/>
      <c r="E182" s="3"/>
      <c r="H182" s="3"/>
    </row>
    <row r="183" spans="3:8" x14ac:dyDescent="0.2">
      <c r="C183" s="3"/>
      <c r="D183" s="3"/>
      <c r="E183" s="3"/>
      <c r="H183" s="3"/>
    </row>
    <row r="184" spans="3:8" x14ac:dyDescent="0.2">
      <c r="C184" s="3"/>
      <c r="D184" s="3"/>
      <c r="E184" s="3"/>
      <c r="H184" s="3"/>
    </row>
    <row r="185" spans="3:8" x14ac:dyDescent="0.2">
      <c r="C185" s="3"/>
      <c r="D185" s="3"/>
      <c r="E185" s="3"/>
      <c r="H185" s="3"/>
    </row>
    <row r="186" spans="3:8" x14ac:dyDescent="0.2">
      <c r="C186" s="3"/>
      <c r="D186" s="3"/>
      <c r="E186" s="3"/>
      <c r="H186" s="3"/>
    </row>
    <row r="187" spans="3:8" x14ac:dyDescent="0.2">
      <c r="C187" s="3"/>
      <c r="D187" s="3"/>
      <c r="E187" s="3"/>
      <c r="H187" s="3"/>
    </row>
    <row r="188" spans="3:8" x14ac:dyDescent="0.2">
      <c r="C188" s="3"/>
      <c r="D188" s="3"/>
      <c r="E188" s="3"/>
      <c r="H188" s="3"/>
    </row>
    <row r="189" spans="3:8" x14ac:dyDescent="0.2">
      <c r="C189" s="3"/>
      <c r="D189" s="3"/>
      <c r="E189" s="3"/>
      <c r="H189" s="3"/>
    </row>
    <row r="190" spans="3:8" x14ac:dyDescent="0.2">
      <c r="C190" s="3"/>
      <c r="D190" s="3"/>
      <c r="E190" s="3"/>
      <c r="H190" s="3"/>
    </row>
    <row r="191" spans="3:8" x14ac:dyDescent="0.2">
      <c r="C191" s="3"/>
      <c r="D191" s="3"/>
      <c r="E191" s="3"/>
      <c r="H191" s="3"/>
    </row>
    <row r="192" spans="3:8" x14ac:dyDescent="0.2">
      <c r="C192" s="3"/>
      <c r="D192" s="3"/>
      <c r="E192" s="3"/>
      <c r="H192" s="3"/>
    </row>
    <row r="193" spans="3:8" x14ac:dyDescent="0.2">
      <c r="C193" s="3"/>
      <c r="D193" s="3"/>
      <c r="E193" s="3"/>
      <c r="H193" s="3"/>
    </row>
    <row r="194" spans="3:8" x14ac:dyDescent="0.2">
      <c r="C194" s="3"/>
      <c r="D194" s="3"/>
      <c r="E194" s="3"/>
      <c r="H194" s="3"/>
    </row>
    <row r="195" spans="3:8" x14ac:dyDescent="0.2">
      <c r="C195" s="3"/>
      <c r="D195" s="3"/>
      <c r="E195" s="3"/>
      <c r="H195" s="3"/>
    </row>
    <row r="196" spans="3:8" x14ac:dyDescent="0.2">
      <c r="C196" s="3"/>
      <c r="D196" s="3"/>
      <c r="E196" s="3"/>
      <c r="H196" s="3"/>
    </row>
    <row r="197" spans="3:8" x14ac:dyDescent="0.2">
      <c r="C197" s="3"/>
      <c r="D197" s="3"/>
      <c r="E197" s="3"/>
      <c r="H197" s="3"/>
    </row>
    <row r="198" spans="3:8" x14ac:dyDescent="0.2">
      <c r="C198" s="3"/>
      <c r="D198" s="3"/>
      <c r="E198" s="3"/>
      <c r="H198" s="3"/>
    </row>
    <row r="199" spans="3:8" x14ac:dyDescent="0.2">
      <c r="C199" s="3"/>
      <c r="D199" s="3"/>
      <c r="E199" s="3"/>
      <c r="H199" s="3"/>
    </row>
    <row r="200" spans="3:8" x14ac:dyDescent="0.2">
      <c r="C200" s="3"/>
      <c r="D200" s="3"/>
      <c r="E200" s="3"/>
      <c r="H200" s="3"/>
    </row>
    <row r="201" spans="3:8" x14ac:dyDescent="0.2">
      <c r="C201" s="3"/>
      <c r="D201" s="3"/>
      <c r="E201" s="3"/>
      <c r="H201" s="3"/>
    </row>
    <row r="202" spans="3:8" x14ac:dyDescent="0.2">
      <c r="C202" s="3"/>
      <c r="D202" s="3"/>
      <c r="E202" s="3"/>
      <c r="H202" s="3"/>
    </row>
    <row r="203" spans="3:8" x14ac:dyDescent="0.2">
      <c r="C203" s="3"/>
      <c r="D203" s="3"/>
      <c r="E203" s="3"/>
      <c r="H203" s="3"/>
    </row>
    <row r="204" spans="3:8" x14ac:dyDescent="0.2">
      <c r="C204" s="3"/>
      <c r="D204" s="3"/>
      <c r="E204" s="3"/>
      <c r="H204" s="3"/>
    </row>
    <row r="205" spans="3:8" x14ac:dyDescent="0.2">
      <c r="C205" s="3"/>
      <c r="D205" s="3"/>
      <c r="E205" s="3"/>
      <c r="H205" s="3"/>
    </row>
    <row r="206" spans="3:8" x14ac:dyDescent="0.2">
      <c r="C206" s="3"/>
      <c r="D206" s="3"/>
      <c r="E206" s="3"/>
      <c r="H206" s="3"/>
    </row>
    <row r="207" spans="3:8" x14ac:dyDescent="0.2">
      <c r="C207" s="3"/>
      <c r="D207" s="3"/>
      <c r="E207" s="3"/>
      <c r="H207" s="3"/>
    </row>
    <row r="208" spans="3:8" x14ac:dyDescent="0.2">
      <c r="C208" s="3"/>
      <c r="D208" s="3"/>
      <c r="E208" s="3"/>
      <c r="H208" s="3"/>
    </row>
    <row r="209" spans="3:8" x14ac:dyDescent="0.2">
      <c r="C209" s="3"/>
      <c r="D209" s="3"/>
      <c r="E209" s="3"/>
      <c r="H209" s="3"/>
    </row>
    <row r="210" spans="3:8" x14ac:dyDescent="0.2">
      <c r="C210" s="3"/>
      <c r="D210" s="3"/>
      <c r="E210" s="3"/>
      <c r="H210" s="3"/>
    </row>
    <row r="211" spans="3:8" x14ac:dyDescent="0.2">
      <c r="C211" s="3"/>
      <c r="D211" s="3"/>
      <c r="E211" s="3"/>
      <c r="H211" s="3"/>
    </row>
    <row r="212" spans="3:8" x14ac:dyDescent="0.2">
      <c r="C212" s="3"/>
      <c r="D212" s="3"/>
      <c r="E212" s="3"/>
      <c r="H212" s="3"/>
    </row>
    <row r="213" spans="3:8" x14ac:dyDescent="0.2">
      <c r="C213" s="3"/>
      <c r="D213" s="3"/>
      <c r="E213" s="3"/>
      <c r="H213" s="3"/>
    </row>
    <row r="214" spans="3:8" x14ac:dyDescent="0.2">
      <c r="C214" s="3"/>
      <c r="D214" s="3"/>
      <c r="E214" s="3"/>
      <c r="H214" s="3"/>
    </row>
    <row r="215" spans="3:8" x14ac:dyDescent="0.2">
      <c r="C215" s="3"/>
      <c r="D215" s="3"/>
      <c r="E215" s="3"/>
      <c r="H215" s="3"/>
    </row>
    <row r="216" spans="3:8" x14ac:dyDescent="0.2">
      <c r="C216" s="3"/>
      <c r="D216" s="3"/>
      <c r="E216" s="3"/>
      <c r="H216" s="3"/>
    </row>
    <row r="217" spans="3:8" x14ac:dyDescent="0.2">
      <c r="C217" s="3"/>
      <c r="D217" s="3"/>
      <c r="E217" s="3"/>
      <c r="H217" s="3"/>
    </row>
    <row r="218" spans="3:8" x14ac:dyDescent="0.2">
      <c r="C218" s="3"/>
      <c r="D218" s="3"/>
      <c r="E218" s="3"/>
      <c r="H218" s="3"/>
    </row>
    <row r="219" spans="3:8" x14ac:dyDescent="0.2">
      <c r="C219" s="3"/>
      <c r="D219" s="3"/>
      <c r="E219" s="3"/>
      <c r="H219" s="3"/>
    </row>
    <row r="220" spans="3:8" x14ac:dyDescent="0.2">
      <c r="C220" s="3"/>
      <c r="D220" s="3"/>
      <c r="E220" s="3"/>
      <c r="H220" s="3"/>
    </row>
    <row r="221" spans="3:8" x14ac:dyDescent="0.2">
      <c r="C221" s="3"/>
      <c r="D221" s="3"/>
      <c r="E221" s="3"/>
      <c r="H221" s="3"/>
    </row>
    <row r="222" spans="3:8" x14ac:dyDescent="0.2">
      <c r="C222" s="3"/>
      <c r="D222" s="3"/>
      <c r="E222" s="3"/>
      <c r="H222" s="3"/>
    </row>
    <row r="223" spans="3:8" x14ac:dyDescent="0.2">
      <c r="C223" s="3"/>
      <c r="D223" s="3"/>
      <c r="E223" s="3"/>
      <c r="H223" s="3"/>
    </row>
    <row r="224" spans="3:8" x14ac:dyDescent="0.2">
      <c r="C224" s="3"/>
      <c r="D224" s="3"/>
      <c r="E224" s="3"/>
      <c r="H224" s="3"/>
    </row>
    <row r="225" spans="3:8" x14ac:dyDescent="0.2">
      <c r="C225" s="3"/>
      <c r="D225" s="3"/>
      <c r="E225" s="3"/>
      <c r="H225" s="3"/>
    </row>
    <row r="226" spans="3:8" x14ac:dyDescent="0.2">
      <c r="C226" s="3"/>
      <c r="D226" s="3"/>
      <c r="E226" s="3"/>
      <c r="H226" s="3"/>
    </row>
    <row r="227" spans="3:8" x14ac:dyDescent="0.2">
      <c r="C227" s="3"/>
      <c r="D227" s="3"/>
      <c r="E227" s="3"/>
      <c r="H227" s="3"/>
    </row>
    <row r="228" spans="3:8" x14ac:dyDescent="0.2">
      <c r="C228" s="3"/>
      <c r="D228" s="3"/>
      <c r="E228" s="3"/>
      <c r="H228" s="3"/>
    </row>
    <row r="229" spans="3:8" x14ac:dyDescent="0.2">
      <c r="C229" s="3"/>
      <c r="D229" s="3"/>
      <c r="E229" s="3"/>
      <c r="H229" s="3"/>
    </row>
    <row r="230" spans="3:8" x14ac:dyDescent="0.2">
      <c r="C230" s="3"/>
      <c r="D230" s="3"/>
      <c r="E230" s="3"/>
      <c r="H230" s="3"/>
    </row>
    <row r="231" spans="3:8" x14ac:dyDescent="0.2">
      <c r="C231" s="3"/>
      <c r="D231" s="3"/>
      <c r="E231" s="3"/>
      <c r="H231" s="3"/>
    </row>
    <row r="232" spans="3:8" x14ac:dyDescent="0.2">
      <c r="C232" s="3"/>
      <c r="D232" s="3"/>
      <c r="E232" s="3"/>
      <c r="H232" s="3"/>
    </row>
    <row r="233" spans="3:8" x14ac:dyDescent="0.2">
      <c r="C233" s="3"/>
      <c r="D233" s="3"/>
      <c r="E233" s="3"/>
      <c r="H233" s="3"/>
    </row>
    <row r="234" spans="3:8" x14ac:dyDescent="0.2">
      <c r="C234" s="3"/>
      <c r="D234" s="3"/>
      <c r="E234" s="3"/>
      <c r="H234" s="3"/>
    </row>
    <row r="235" spans="3:8" x14ac:dyDescent="0.2">
      <c r="C235" s="3"/>
      <c r="D235" s="3"/>
      <c r="E235" s="3"/>
      <c r="H235" s="3"/>
    </row>
    <row r="236" spans="3:8" x14ac:dyDescent="0.2">
      <c r="C236" s="3"/>
      <c r="D236" s="3"/>
      <c r="E236" s="3"/>
      <c r="H236" s="3"/>
    </row>
    <row r="237" spans="3:8" x14ac:dyDescent="0.2">
      <c r="C237" s="3"/>
      <c r="D237" s="3"/>
      <c r="E237" s="3"/>
      <c r="H237" s="3"/>
    </row>
    <row r="238" spans="3:8" x14ac:dyDescent="0.2">
      <c r="C238" s="3"/>
      <c r="D238" s="3"/>
      <c r="E238" s="3"/>
      <c r="H238" s="3"/>
    </row>
    <row r="239" spans="3:8" x14ac:dyDescent="0.2">
      <c r="C239" s="3"/>
      <c r="D239" s="3"/>
      <c r="E239" s="3"/>
      <c r="H239" s="3"/>
    </row>
    <row r="240" spans="3:8" x14ac:dyDescent="0.2">
      <c r="C240" s="3"/>
      <c r="D240" s="3"/>
      <c r="E240" s="3"/>
      <c r="H240" s="3"/>
    </row>
    <row r="241" spans="3:8" x14ac:dyDescent="0.2">
      <c r="C241" s="3"/>
      <c r="D241" s="3"/>
      <c r="E241" s="3"/>
      <c r="H241" s="3"/>
    </row>
    <row r="242" spans="3:8" x14ac:dyDescent="0.2">
      <c r="C242" s="3"/>
      <c r="D242" s="3"/>
      <c r="E242" s="3"/>
      <c r="H242" s="3"/>
    </row>
    <row r="243" spans="3:8" x14ac:dyDescent="0.2">
      <c r="C243" s="3"/>
      <c r="D243" s="3"/>
      <c r="E243" s="3"/>
      <c r="H243" s="3"/>
    </row>
    <row r="244" spans="3:8" x14ac:dyDescent="0.2">
      <c r="C244" s="3"/>
      <c r="D244" s="3"/>
      <c r="E244" s="3"/>
      <c r="H244" s="3"/>
    </row>
    <row r="245" spans="3:8" x14ac:dyDescent="0.2">
      <c r="C245" s="3"/>
      <c r="D245" s="3"/>
      <c r="E245" s="3"/>
      <c r="H245" s="3"/>
    </row>
    <row r="246" spans="3:8" x14ac:dyDescent="0.2">
      <c r="C246" s="3"/>
      <c r="D246" s="3"/>
      <c r="E246" s="3"/>
      <c r="H246" s="3"/>
    </row>
    <row r="247" spans="3:8" x14ac:dyDescent="0.2">
      <c r="C247" s="3"/>
      <c r="D247" s="3"/>
      <c r="E247" s="3"/>
      <c r="H247" s="3"/>
    </row>
    <row r="248" spans="3:8" x14ac:dyDescent="0.2">
      <c r="C248" s="3"/>
      <c r="D248" s="3"/>
      <c r="E248" s="3"/>
      <c r="H248" s="3"/>
    </row>
    <row r="249" spans="3:8" x14ac:dyDescent="0.2">
      <c r="C249" s="3"/>
      <c r="D249" s="3"/>
      <c r="E249" s="3"/>
      <c r="H249" s="3"/>
    </row>
    <row r="250" spans="3:8" x14ac:dyDescent="0.2">
      <c r="C250" s="3"/>
      <c r="D250" s="3"/>
      <c r="E250" s="3"/>
      <c r="H250" s="3"/>
    </row>
    <row r="251" spans="3:8" x14ac:dyDescent="0.2">
      <c r="C251" s="3"/>
      <c r="D251" s="3"/>
      <c r="E251" s="3"/>
      <c r="H251" s="3"/>
    </row>
    <row r="252" spans="3:8" x14ac:dyDescent="0.2">
      <c r="C252" s="3"/>
      <c r="D252" s="3"/>
      <c r="E252" s="3"/>
      <c r="H252" s="3"/>
    </row>
    <row r="253" spans="3:8" x14ac:dyDescent="0.2">
      <c r="C253" s="3"/>
      <c r="D253" s="3"/>
      <c r="E253" s="3"/>
      <c r="H253" s="3"/>
    </row>
    <row r="254" spans="3:8" x14ac:dyDescent="0.2">
      <c r="C254" s="3"/>
      <c r="D254" s="3"/>
      <c r="E254" s="3"/>
      <c r="H254" s="3"/>
    </row>
    <row r="255" spans="3:8" x14ac:dyDescent="0.2">
      <c r="C255" s="3"/>
      <c r="D255" s="3"/>
      <c r="E255" s="3"/>
      <c r="H255" s="3"/>
    </row>
    <row r="256" spans="3:8" x14ac:dyDescent="0.2">
      <c r="C256" s="3"/>
      <c r="D256" s="3"/>
      <c r="E256" s="3"/>
      <c r="H256" s="3"/>
    </row>
    <row r="257" spans="3:8" x14ac:dyDescent="0.2">
      <c r="C257" s="3"/>
      <c r="D257" s="3"/>
      <c r="E257" s="3"/>
      <c r="H257" s="3"/>
    </row>
    <row r="258" spans="3:8" x14ac:dyDescent="0.2">
      <c r="C258" s="3"/>
      <c r="D258" s="3"/>
      <c r="E258" s="3"/>
      <c r="H258" s="3"/>
    </row>
    <row r="259" spans="3:8" x14ac:dyDescent="0.2">
      <c r="C259" s="3"/>
      <c r="D259" s="3"/>
      <c r="E259" s="3"/>
      <c r="H259" s="3"/>
    </row>
    <row r="260" spans="3:8" x14ac:dyDescent="0.2">
      <c r="C260" s="3"/>
      <c r="D260" s="3"/>
      <c r="E260" s="3"/>
      <c r="H260" s="3"/>
    </row>
    <row r="261" spans="3:8" x14ac:dyDescent="0.2">
      <c r="C261" s="3"/>
      <c r="D261" s="3"/>
      <c r="E261" s="3"/>
      <c r="H261" s="3"/>
    </row>
    <row r="262" spans="3:8" x14ac:dyDescent="0.2">
      <c r="C262" s="3"/>
      <c r="D262" s="3"/>
      <c r="E262" s="3"/>
      <c r="H262" s="3"/>
    </row>
    <row r="263" spans="3:8" x14ac:dyDescent="0.2">
      <c r="C263" s="3"/>
      <c r="D263" s="3"/>
      <c r="E263" s="3"/>
      <c r="H263" s="3"/>
    </row>
    <row r="264" spans="3:8" x14ac:dyDescent="0.2">
      <c r="C264" s="3"/>
      <c r="D264" s="3"/>
      <c r="E264" s="3"/>
      <c r="H264" s="3"/>
    </row>
    <row r="265" spans="3:8" x14ac:dyDescent="0.2">
      <c r="C265" s="3"/>
      <c r="D265" s="3"/>
      <c r="E265" s="3"/>
      <c r="H265" s="3"/>
    </row>
    <row r="266" spans="3:8" x14ac:dyDescent="0.2">
      <c r="C266" s="3"/>
      <c r="D266" s="3"/>
      <c r="E266" s="3"/>
      <c r="H266" s="3"/>
    </row>
    <row r="267" spans="3:8" x14ac:dyDescent="0.2">
      <c r="C267" s="3"/>
      <c r="D267" s="3"/>
      <c r="E267" s="3"/>
      <c r="H267" s="3"/>
    </row>
    <row r="268" spans="3:8" x14ac:dyDescent="0.2">
      <c r="C268" s="3"/>
      <c r="D268" s="3"/>
      <c r="E268" s="3"/>
      <c r="H268" s="3"/>
    </row>
    <row r="269" spans="3:8" x14ac:dyDescent="0.2">
      <c r="C269" s="3"/>
      <c r="D269" s="3"/>
      <c r="E269" s="3"/>
      <c r="H269" s="3"/>
    </row>
    <row r="270" spans="3:8" x14ac:dyDescent="0.2">
      <c r="C270" s="3"/>
      <c r="D270" s="3"/>
      <c r="E270" s="3"/>
      <c r="H270" s="3"/>
    </row>
    <row r="271" spans="3:8" x14ac:dyDescent="0.2">
      <c r="C271" s="3"/>
      <c r="D271" s="3"/>
      <c r="E271" s="3"/>
      <c r="H271" s="3"/>
    </row>
    <row r="272" spans="3:8" x14ac:dyDescent="0.2">
      <c r="C272" s="3"/>
      <c r="D272" s="3"/>
      <c r="E272" s="3"/>
      <c r="H272" s="3"/>
    </row>
    <row r="273" spans="3:8" x14ac:dyDescent="0.2">
      <c r="C273" s="3"/>
      <c r="D273" s="3"/>
      <c r="E273" s="3"/>
      <c r="H273" s="3"/>
    </row>
    <row r="274" spans="3:8" x14ac:dyDescent="0.2">
      <c r="C274" s="3"/>
      <c r="D274" s="3"/>
      <c r="E274" s="3"/>
      <c r="H274" s="3"/>
    </row>
    <row r="275" spans="3:8" x14ac:dyDescent="0.2">
      <c r="C275" s="3"/>
      <c r="D275" s="3"/>
      <c r="E275" s="3"/>
      <c r="H275" s="3"/>
    </row>
    <row r="276" spans="3:8" x14ac:dyDescent="0.2">
      <c r="C276" s="3"/>
      <c r="D276" s="3"/>
      <c r="E276" s="3"/>
      <c r="H276" s="3"/>
    </row>
    <row r="277" spans="3:8" x14ac:dyDescent="0.2">
      <c r="C277" s="3"/>
      <c r="D277" s="3"/>
      <c r="E277" s="3"/>
      <c r="H277" s="3"/>
    </row>
    <row r="278" spans="3:8" x14ac:dyDescent="0.2">
      <c r="C278" s="3"/>
      <c r="D278" s="3"/>
      <c r="E278" s="3"/>
      <c r="H278" s="3"/>
    </row>
    <row r="279" spans="3:8" x14ac:dyDescent="0.2">
      <c r="C279" s="3"/>
      <c r="D279" s="3"/>
      <c r="E279" s="3"/>
      <c r="H279" s="3"/>
    </row>
    <row r="280" spans="3:8" x14ac:dyDescent="0.2">
      <c r="C280" s="3"/>
      <c r="D280" s="3"/>
      <c r="E280" s="3"/>
      <c r="H280" s="3"/>
    </row>
    <row r="281" spans="3:8" x14ac:dyDescent="0.2">
      <c r="C281" s="3"/>
      <c r="D281" s="3"/>
      <c r="E281" s="3"/>
      <c r="H281" s="3"/>
    </row>
    <row r="282" spans="3:8" x14ac:dyDescent="0.2">
      <c r="C282" s="3"/>
      <c r="D282" s="3"/>
      <c r="E282" s="3"/>
      <c r="H282" s="3"/>
    </row>
    <row r="283" spans="3:8" x14ac:dyDescent="0.2">
      <c r="C283" s="3"/>
      <c r="D283" s="3"/>
      <c r="E283" s="3"/>
      <c r="H283" s="3"/>
    </row>
    <row r="284" spans="3:8" x14ac:dyDescent="0.2">
      <c r="C284" s="3"/>
      <c r="D284" s="3"/>
      <c r="E284" s="3"/>
      <c r="H284" s="3"/>
    </row>
    <row r="285" spans="3:8" x14ac:dyDescent="0.2">
      <c r="C285" s="3"/>
      <c r="D285" s="3"/>
      <c r="E285" s="3"/>
      <c r="H285" s="3"/>
    </row>
    <row r="286" spans="3:8" x14ac:dyDescent="0.2">
      <c r="C286" s="3"/>
      <c r="D286" s="3"/>
      <c r="E286" s="3"/>
      <c r="H286" s="3"/>
    </row>
    <row r="287" spans="3:8" x14ac:dyDescent="0.2">
      <c r="C287" s="3"/>
      <c r="D287" s="3"/>
      <c r="E287" s="3"/>
      <c r="H287" s="3"/>
    </row>
    <row r="288" spans="3:8" x14ac:dyDescent="0.2">
      <c r="C288" s="3"/>
      <c r="D288" s="3"/>
      <c r="E288" s="3"/>
      <c r="H288" s="3"/>
    </row>
    <row r="289" spans="3:8" x14ac:dyDescent="0.2">
      <c r="C289" s="3"/>
      <c r="D289" s="3"/>
      <c r="E289" s="3"/>
      <c r="H289" s="3"/>
    </row>
    <row r="290" spans="3:8" x14ac:dyDescent="0.2">
      <c r="C290" s="3"/>
      <c r="D290" s="3"/>
      <c r="E290" s="3"/>
      <c r="H290" s="3"/>
    </row>
    <row r="291" spans="3:8" x14ac:dyDescent="0.2">
      <c r="C291" s="3"/>
      <c r="D291" s="3"/>
      <c r="E291" s="3"/>
      <c r="H291" s="3"/>
    </row>
    <row r="292" spans="3:8" x14ac:dyDescent="0.2">
      <c r="C292" s="3"/>
      <c r="D292" s="3"/>
      <c r="E292" s="3"/>
      <c r="H292" s="3"/>
    </row>
    <row r="293" spans="3:8" x14ac:dyDescent="0.2">
      <c r="C293" s="3"/>
      <c r="D293" s="3"/>
      <c r="E293" s="3"/>
      <c r="H293" s="3"/>
    </row>
    <row r="294" spans="3:8" x14ac:dyDescent="0.2">
      <c r="C294" s="3"/>
      <c r="D294" s="3"/>
      <c r="E294" s="3"/>
      <c r="H294" s="3"/>
    </row>
    <row r="295" spans="3:8" x14ac:dyDescent="0.2">
      <c r="C295" s="3"/>
      <c r="D295" s="3"/>
      <c r="E295" s="3"/>
      <c r="H295" s="3"/>
    </row>
    <row r="296" spans="3:8" x14ac:dyDescent="0.2">
      <c r="C296" s="3"/>
      <c r="D296" s="3"/>
      <c r="E296" s="3"/>
      <c r="H296" s="3"/>
    </row>
    <row r="297" spans="3:8" x14ac:dyDescent="0.2">
      <c r="C297" s="3"/>
      <c r="D297" s="3"/>
      <c r="E297" s="3"/>
      <c r="H297" s="3"/>
    </row>
    <row r="298" spans="3:8" x14ac:dyDescent="0.2">
      <c r="C298" s="3"/>
      <c r="D298" s="3"/>
      <c r="E298" s="3"/>
      <c r="H298" s="3"/>
    </row>
    <row r="299" spans="3:8" x14ac:dyDescent="0.2">
      <c r="C299" s="3"/>
      <c r="D299" s="3"/>
      <c r="E299" s="3"/>
      <c r="H299" s="3"/>
    </row>
    <row r="300" spans="3:8" x14ac:dyDescent="0.2">
      <c r="C300" s="3"/>
      <c r="D300" s="3"/>
      <c r="E300" s="3"/>
      <c r="H300" s="3"/>
    </row>
    <row r="301" spans="3:8" x14ac:dyDescent="0.2">
      <c r="C301" s="3"/>
      <c r="D301" s="3"/>
      <c r="E301" s="3"/>
      <c r="H301" s="3"/>
    </row>
    <row r="302" spans="3:8" x14ac:dyDescent="0.2">
      <c r="C302" s="3"/>
      <c r="D302" s="3"/>
      <c r="E302" s="3"/>
      <c r="H302" s="3"/>
    </row>
    <row r="303" spans="3:8" x14ac:dyDescent="0.2">
      <c r="C303" s="3"/>
      <c r="D303" s="3"/>
      <c r="E303" s="3"/>
      <c r="H303" s="3"/>
    </row>
    <row r="304" spans="3:8" x14ac:dyDescent="0.2">
      <c r="C304" s="3"/>
      <c r="D304" s="3"/>
      <c r="E304" s="3"/>
      <c r="H304" s="3"/>
    </row>
    <row r="305" spans="3:8" x14ac:dyDescent="0.2">
      <c r="C305" s="3"/>
      <c r="D305" s="3"/>
      <c r="E305" s="3"/>
      <c r="H305" s="3"/>
    </row>
    <row r="306" spans="3:8" x14ac:dyDescent="0.2">
      <c r="C306" s="3"/>
      <c r="D306" s="3"/>
      <c r="E306" s="3"/>
      <c r="H306" s="3"/>
    </row>
    <row r="307" spans="3:8" x14ac:dyDescent="0.2">
      <c r="C307" s="3"/>
      <c r="D307" s="3"/>
      <c r="E307" s="3"/>
      <c r="H307" s="3"/>
    </row>
    <row r="308" spans="3:8" x14ac:dyDescent="0.2">
      <c r="C308" s="3"/>
      <c r="D308" s="3"/>
      <c r="E308" s="3"/>
      <c r="H308" s="3"/>
    </row>
    <row r="309" spans="3:8" x14ac:dyDescent="0.2">
      <c r="C309" s="3"/>
      <c r="D309" s="3"/>
      <c r="E309" s="3"/>
      <c r="H309" s="3"/>
    </row>
    <row r="310" spans="3:8" x14ac:dyDescent="0.2">
      <c r="C310" s="3"/>
      <c r="D310" s="3"/>
      <c r="E310" s="3"/>
      <c r="H310" s="3"/>
    </row>
    <row r="311" spans="3:8" x14ac:dyDescent="0.2">
      <c r="C311" s="3"/>
      <c r="D311" s="3"/>
      <c r="E311" s="3"/>
      <c r="H311" s="3"/>
    </row>
    <row r="312" spans="3:8" x14ac:dyDescent="0.2">
      <c r="C312" s="3"/>
      <c r="D312" s="3"/>
      <c r="E312" s="3"/>
      <c r="H312" s="3"/>
    </row>
    <row r="313" spans="3:8" x14ac:dyDescent="0.2">
      <c r="C313" s="3"/>
      <c r="D313" s="3"/>
      <c r="E313" s="3"/>
      <c r="H313" s="3"/>
    </row>
    <row r="314" spans="3:8" x14ac:dyDescent="0.2">
      <c r="C314" s="3"/>
      <c r="D314" s="3"/>
      <c r="E314" s="3"/>
      <c r="H314" s="3"/>
    </row>
    <row r="315" spans="3:8" x14ac:dyDescent="0.2">
      <c r="C315" s="3"/>
      <c r="D315" s="3"/>
      <c r="E315" s="3"/>
      <c r="H315" s="3"/>
    </row>
    <row r="316" spans="3:8" x14ac:dyDescent="0.2">
      <c r="C316" s="3"/>
      <c r="D316" s="3"/>
      <c r="E316" s="3"/>
      <c r="H316" s="3"/>
    </row>
    <row r="317" spans="3:8" x14ac:dyDescent="0.2">
      <c r="C317" s="3"/>
      <c r="D317" s="3"/>
      <c r="E317" s="3"/>
      <c r="H317" s="3"/>
    </row>
    <row r="318" spans="3:8" x14ac:dyDescent="0.2">
      <c r="C318" s="3"/>
      <c r="D318" s="3"/>
      <c r="E318" s="3"/>
      <c r="H318" s="3"/>
    </row>
    <row r="319" spans="3:8" x14ac:dyDescent="0.2">
      <c r="C319" s="3"/>
      <c r="D319" s="3"/>
      <c r="E319" s="3"/>
      <c r="H319" s="3"/>
    </row>
    <row r="320" spans="3:8" x14ac:dyDescent="0.2">
      <c r="C320" s="3"/>
      <c r="D320" s="3"/>
      <c r="E320" s="3"/>
      <c r="H320" s="3"/>
    </row>
    <row r="321" spans="3:8" x14ac:dyDescent="0.2">
      <c r="C321" s="3"/>
      <c r="D321" s="3"/>
      <c r="E321" s="3"/>
      <c r="H321" s="3"/>
    </row>
    <row r="322" spans="3:8" x14ac:dyDescent="0.2">
      <c r="C322" s="3"/>
      <c r="D322" s="3"/>
      <c r="E322" s="3"/>
      <c r="H322" s="3"/>
    </row>
    <row r="323" spans="3:8" x14ac:dyDescent="0.2">
      <c r="C323" s="3"/>
      <c r="D323" s="3"/>
      <c r="E323" s="3"/>
      <c r="H323" s="3"/>
    </row>
    <row r="324" spans="3:8" x14ac:dyDescent="0.2">
      <c r="C324" s="3"/>
      <c r="D324" s="3"/>
      <c r="E324" s="3"/>
      <c r="H324" s="3"/>
    </row>
    <row r="325" spans="3:8" x14ac:dyDescent="0.2">
      <c r="C325" s="3"/>
      <c r="D325" s="3"/>
      <c r="E325" s="3"/>
      <c r="H325" s="3"/>
    </row>
    <row r="326" spans="3:8" x14ac:dyDescent="0.2">
      <c r="C326" s="3"/>
      <c r="D326" s="3"/>
      <c r="E326" s="3"/>
      <c r="H326" s="3"/>
    </row>
    <row r="327" spans="3:8" x14ac:dyDescent="0.2">
      <c r="C327" s="3"/>
      <c r="D327" s="3"/>
      <c r="E327" s="3"/>
      <c r="H327" s="3"/>
    </row>
    <row r="328" spans="3:8" x14ac:dyDescent="0.2">
      <c r="C328" s="3"/>
      <c r="D328" s="3"/>
      <c r="E328" s="3"/>
      <c r="H328" s="3"/>
    </row>
    <row r="329" spans="3:8" x14ac:dyDescent="0.2">
      <c r="C329" s="3"/>
      <c r="D329" s="3"/>
      <c r="E329" s="3"/>
      <c r="H329" s="3"/>
    </row>
    <row r="330" spans="3:8" x14ac:dyDescent="0.2">
      <c r="C330" s="3"/>
      <c r="D330" s="3"/>
      <c r="E330" s="3"/>
      <c r="H330" s="3"/>
    </row>
    <row r="331" spans="3:8" x14ac:dyDescent="0.2">
      <c r="C331" s="3"/>
      <c r="D331" s="3"/>
      <c r="E331" s="3"/>
      <c r="H331" s="3"/>
    </row>
    <row r="332" spans="3:8" x14ac:dyDescent="0.2">
      <c r="C332" s="3"/>
      <c r="D332" s="3"/>
      <c r="E332" s="3"/>
      <c r="H332" s="3"/>
    </row>
    <row r="333" spans="3:8" x14ac:dyDescent="0.2">
      <c r="C333" s="3"/>
      <c r="D333" s="3"/>
      <c r="E333" s="3"/>
      <c r="H333" s="3"/>
    </row>
    <row r="334" spans="3:8" x14ac:dyDescent="0.2">
      <c r="C334" s="3"/>
      <c r="D334" s="3"/>
      <c r="E334" s="3"/>
      <c r="H334" s="3"/>
    </row>
    <row r="335" spans="3:8" x14ac:dyDescent="0.2">
      <c r="C335" s="3"/>
      <c r="D335" s="3"/>
      <c r="E335" s="3"/>
      <c r="H335" s="3"/>
    </row>
    <row r="336" spans="3:8" x14ac:dyDescent="0.2">
      <c r="C336" s="3"/>
      <c r="D336" s="3"/>
      <c r="E336" s="3"/>
      <c r="H336" s="3"/>
    </row>
    <row r="337" spans="3:8" x14ac:dyDescent="0.2">
      <c r="C337" s="3"/>
      <c r="D337" s="3"/>
      <c r="E337" s="3"/>
      <c r="H337" s="3"/>
    </row>
    <row r="338" spans="3:8" x14ac:dyDescent="0.2">
      <c r="C338" s="3"/>
      <c r="D338" s="3"/>
      <c r="E338" s="3"/>
      <c r="H338" s="3"/>
    </row>
    <row r="339" spans="3:8" x14ac:dyDescent="0.2">
      <c r="C339" s="3"/>
      <c r="D339" s="3"/>
      <c r="E339" s="3"/>
      <c r="H339" s="3"/>
    </row>
    <row r="340" spans="3:8" x14ac:dyDescent="0.2">
      <c r="C340" s="3"/>
      <c r="D340" s="3"/>
      <c r="E340" s="3"/>
      <c r="H340" s="3"/>
    </row>
    <row r="341" spans="3:8" x14ac:dyDescent="0.2">
      <c r="C341" s="3"/>
      <c r="D341" s="3"/>
      <c r="E341" s="3"/>
      <c r="H341" s="3"/>
    </row>
    <row r="342" spans="3:8" x14ac:dyDescent="0.2">
      <c r="C342" s="3"/>
      <c r="D342" s="3"/>
      <c r="E342" s="3"/>
      <c r="H342" s="3"/>
    </row>
    <row r="343" spans="3:8" x14ac:dyDescent="0.2">
      <c r="C343" s="3"/>
      <c r="D343" s="3"/>
      <c r="E343" s="3"/>
      <c r="H343" s="3"/>
    </row>
    <row r="344" spans="3:8" x14ac:dyDescent="0.2">
      <c r="C344" s="3"/>
      <c r="D344" s="3"/>
      <c r="E344" s="3"/>
      <c r="H344" s="3"/>
    </row>
    <row r="345" spans="3:8" x14ac:dyDescent="0.2">
      <c r="C345" s="3"/>
      <c r="D345" s="3"/>
      <c r="E345" s="3"/>
      <c r="H345" s="3"/>
    </row>
    <row r="346" spans="3:8" x14ac:dyDescent="0.2">
      <c r="C346" s="3"/>
      <c r="D346" s="3"/>
      <c r="E346" s="3"/>
      <c r="H346" s="3"/>
    </row>
    <row r="347" spans="3:8" x14ac:dyDescent="0.2">
      <c r="C347" s="3"/>
      <c r="D347" s="3"/>
      <c r="E347" s="3"/>
      <c r="H347" s="3"/>
    </row>
    <row r="348" spans="3:8" x14ac:dyDescent="0.2">
      <c r="C348" s="3"/>
      <c r="D348" s="3"/>
      <c r="E348" s="3"/>
      <c r="H348" s="3"/>
    </row>
    <row r="349" spans="3:8" x14ac:dyDescent="0.2">
      <c r="C349" s="3"/>
      <c r="D349" s="3"/>
      <c r="E349" s="3"/>
      <c r="H349" s="3"/>
    </row>
    <row r="350" spans="3:8" x14ac:dyDescent="0.2">
      <c r="C350" s="3"/>
      <c r="D350" s="3"/>
      <c r="E350" s="3"/>
      <c r="H350" s="3"/>
    </row>
    <row r="351" spans="3:8" x14ac:dyDescent="0.2">
      <c r="C351" s="3"/>
      <c r="D351" s="3"/>
      <c r="E351" s="3"/>
      <c r="H351" s="3"/>
    </row>
    <row r="352" spans="3:8" x14ac:dyDescent="0.2">
      <c r="C352" s="3"/>
      <c r="D352" s="3"/>
      <c r="E352" s="3"/>
      <c r="H352" s="3"/>
    </row>
    <row r="353" spans="3:8" x14ac:dyDescent="0.2">
      <c r="C353" s="3"/>
      <c r="D353" s="3"/>
      <c r="E353" s="3"/>
      <c r="H353" s="3"/>
    </row>
    <row r="354" spans="3:8" x14ac:dyDescent="0.2">
      <c r="C354" s="3"/>
      <c r="D354" s="3"/>
      <c r="E354" s="3"/>
      <c r="H354" s="3"/>
    </row>
    <row r="355" spans="3:8" x14ac:dyDescent="0.2">
      <c r="C355" s="3"/>
      <c r="D355" s="3"/>
      <c r="E355" s="3"/>
      <c r="H355" s="3"/>
    </row>
    <row r="356" spans="3:8" x14ac:dyDescent="0.2">
      <c r="C356" s="3"/>
      <c r="D356" s="3"/>
      <c r="E356" s="3"/>
      <c r="H356" s="3"/>
    </row>
    <row r="357" spans="3:8" x14ac:dyDescent="0.2">
      <c r="C357" s="3"/>
      <c r="D357" s="3"/>
      <c r="E357" s="3"/>
      <c r="H357" s="3"/>
    </row>
    <row r="358" spans="3:8" x14ac:dyDescent="0.2">
      <c r="C358" s="3"/>
      <c r="D358" s="3"/>
      <c r="E358" s="3"/>
      <c r="H358" s="3"/>
    </row>
    <row r="359" spans="3:8" x14ac:dyDescent="0.2">
      <c r="C359" s="3"/>
      <c r="D359" s="3"/>
      <c r="E359" s="3"/>
      <c r="H359" s="3"/>
    </row>
    <row r="360" spans="3:8" x14ac:dyDescent="0.2">
      <c r="C360" s="3"/>
      <c r="D360" s="3"/>
      <c r="E360" s="3"/>
      <c r="H360" s="3"/>
    </row>
    <row r="361" spans="3:8" x14ac:dyDescent="0.2">
      <c r="C361" s="3"/>
      <c r="D361" s="3"/>
      <c r="E361" s="3"/>
      <c r="H361" s="3"/>
    </row>
    <row r="362" spans="3:8" x14ac:dyDescent="0.2">
      <c r="C362" s="3"/>
      <c r="D362" s="3"/>
      <c r="E362" s="3"/>
      <c r="H362" s="3"/>
    </row>
    <row r="363" spans="3:8" x14ac:dyDescent="0.2">
      <c r="C363" s="3"/>
      <c r="D363" s="3"/>
      <c r="E363" s="3"/>
      <c r="H363" s="3"/>
    </row>
    <row r="364" spans="3:8" x14ac:dyDescent="0.2">
      <c r="C364" s="3"/>
      <c r="D364" s="3"/>
      <c r="E364" s="3"/>
      <c r="H364" s="3"/>
    </row>
    <row r="365" spans="3:8" x14ac:dyDescent="0.2">
      <c r="C365" s="3"/>
      <c r="D365" s="3"/>
      <c r="E365" s="3"/>
      <c r="H365" s="3"/>
    </row>
    <row r="366" spans="3:8" x14ac:dyDescent="0.2">
      <c r="C366" s="3"/>
      <c r="D366" s="3"/>
      <c r="E366" s="3"/>
      <c r="H366" s="3"/>
    </row>
    <row r="367" spans="3:8" x14ac:dyDescent="0.2">
      <c r="C367" s="3"/>
      <c r="D367" s="3"/>
      <c r="E367" s="3"/>
      <c r="H367" s="3"/>
    </row>
    <row r="368" spans="3:8" x14ac:dyDescent="0.2">
      <c r="C368" s="3"/>
      <c r="D368" s="3"/>
      <c r="E368" s="3"/>
      <c r="H368" s="3"/>
    </row>
    <row r="369" spans="3:8" x14ac:dyDescent="0.2">
      <c r="C369" s="3"/>
      <c r="D369" s="3"/>
      <c r="E369" s="3"/>
      <c r="H369" s="3"/>
    </row>
    <row r="370" spans="3:8" x14ac:dyDescent="0.2">
      <c r="C370" s="3"/>
      <c r="D370" s="3"/>
      <c r="E370" s="3"/>
      <c r="H370" s="3"/>
    </row>
    <row r="371" spans="3:8" x14ac:dyDescent="0.2">
      <c r="C371" s="3"/>
      <c r="D371" s="3"/>
      <c r="E371" s="3"/>
      <c r="H371" s="3"/>
    </row>
    <row r="372" spans="3:8" x14ac:dyDescent="0.2">
      <c r="C372" s="3"/>
      <c r="D372" s="3"/>
      <c r="E372" s="3"/>
      <c r="H372" s="3"/>
    </row>
    <row r="373" spans="3:8" x14ac:dyDescent="0.2">
      <c r="C373" s="3"/>
      <c r="D373" s="3"/>
      <c r="E373" s="3"/>
      <c r="H373" s="3"/>
    </row>
    <row r="374" spans="3:8" x14ac:dyDescent="0.2">
      <c r="C374" s="3"/>
      <c r="D374" s="3"/>
      <c r="E374" s="3"/>
      <c r="H374" s="3"/>
    </row>
    <row r="375" spans="3:8" x14ac:dyDescent="0.2">
      <c r="C375" s="3"/>
      <c r="D375" s="3"/>
      <c r="E375" s="3"/>
      <c r="H375" s="3"/>
    </row>
    <row r="376" spans="3:8" x14ac:dyDescent="0.2">
      <c r="C376" s="3"/>
      <c r="D376" s="3"/>
      <c r="E376" s="3"/>
      <c r="H376" s="3"/>
    </row>
    <row r="377" spans="3:8" x14ac:dyDescent="0.2">
      <c r="C377" s="3"/>
      <c r="D377" s="3"/>
      <c r="E377" s="3"/>
      <c r="H377" s="3"/>
    </row>
    <row r="378" spans="3:8" x14ac:dyDescent="0.2">
      <c r="C378" s="3"/>
      <c r="D378" s="3"/>
      <c r="E378" s="3"/>
      <c r="H378" s="3"/>
    </row>
    <row r="379" spans="3:8" x14ac:dyDescent="0.2">
      <c r="C379" s="3"/>
      <c r="D379" s="3"/>
      <c r="E379" s="3"/>
      <c r="H379" s="3"/>
    </row>
    <row r="380" spans="3:8" x14ac:dyDescent="0.2">
      <c r="C380" s="3"/>
      <c r="D380" s="3"/>
      <c r="E380" s="3"/>
      <c r="H380" s="3"/>
    </row>
    <row r="381" spans="3:8" x14ac:dyDescent="0.2">
      <c r="C381" s="3"/>
      <c r="D381" s="3"/>
      <c r="E381" s="3"/>
      <c r="H381" s="3"/>
    </row>
    <row r="382" spans="3:8" x14ac:dyDescent="0.2">
      <c r="C382" s="3"/>
      <c r="D382" s="3"/>
      <c r="E382" s="3"/>
      <c r="H382" s="3"/>
    </row>
    <row r="383" spans="3:8" x14ac:dyDescent="0.2">
      <c r="C383" s="3"/>
      <c r="D383" s="3"/>
      <c r="E383" s="3"/>
      <c r="H383" s="3"/>
    </row>
    <row r="384" spans="3:8" x14ac:dyDescent="0.2">
      <c r="C384" s="3"/>
      <c r="D384" s="3"/>
      <c r="E384" s="3"/>
      <c r="H384" s="3"/>
    </row>
    <row r="385" spans="3:8" x14ac:dyDescent="0.2">
      <c r="C385" s="3"/>
      <c r="D385" s="3"/>
      <c r="E385" s="3"/>
      <c r="H385" s="3"/>
    </row>
    <row r="386" spans="3:8" x14ac:dyDescent="0.2">
      <c r="C386" s="3"/>
      <c r="D386" s="3"/>
      <c r="E386" s="3"/>
      <c r="H386" s="3"/>
    </row>
    <row r="387" spans="3:8" x14ac:dyDescent="0.2">
      <c r="C387" s="3"/>
      <c r="D387" s="3"/>
      <c r="E387" s="3"/>
      <c r="H387" s="3"/>
    </row>
    <row r="388" spans="3:8" x14ac:dyDescent="0.2">
      <c r="C388" s="3"/>
      <c r="D388" s="3"/>
      <c r="E388" s="3"/>
      <c r="H388" s="3"/>
    </row>
    <row r="389" spans="3:8" x14ac:dyDescent="0.2">
      <c r="C389" s="3"/>
      <c r="D389" s="3"/>
      <c r="E389" s="3"/>
      <c r="H389" s="3"/>
    </row>
    <row r="390" spans="3:8" x14ac:dyDescent="0.2">
      <c r="C390" s="3"/>
      <c r="D390" s="3"/>
      <c r="E390" s="3"/>
      <c r="H390" s="3"/>
    </row>
    <row r="391" spans="3:8" x14ac:dyDescent="0.2">
      <c r="C391" s="3"/>
      <c r="D391" s="3"/>
      <c r="E391" s="3"/>
      <c r="H391" s="3"/>
    </row>
    <row r="392" spans="3:8" x14ac:dyDescent="0.2">
      <c r="C392" s="3"/>
      <c r="D392" s="3"/>
      <c r="E392" s="3"/>
      <c r="H392" s="3"/>
    </row>
    <row r="393" spans="3:8" x14ac:dyDescent="0.2">
      <c r="C393" s="3"/>
      <c r="D393" s="3"/>
      <c r="E393" s="3"/>
      <c r="H393" s="3"/>
    </row>
    <row r="394" spans="3:8" x14ac:dyDescent="0.2">
      <c r="C394" s="3"/>
      <c r="D394" s="3"/>
      <c r="E394" s="3"/>
      <c r="H394" s="3"/>
    </row>
    <row r="395" spans="3:8" x14ac:dyDescent="0.2">
      <c r="C395" s="3"/>
      <c r="D395" s="3"/>
      <c r="E395" s="3"/>
      <c r="H395" s="3"/>
    </row>
    <row r="396" spans="3:8" x14ac:dyDescent="0.2">
      <c r="C396" s="3"/>
      <c r="D396" s="3"/>
      <c r="E396" s="3"/>
      <c r="H396" s="3"/>
    </row>
    <row r="397" spans="3:8" x14ac:dyDescent="0.2">
      <c r="C397" s="3"/>
      <c r="D397" s="3"/>
      <c r="E397" s="3"/>
      <c r="H397" s="3"/>
    </row>
    <row r="398" spans="3:8" x14ac:dyDescent="0.2">
      <c r="C398" s="3"/>
      <c r="D398" s="3"/>
      <c r="E398" s="3"/>
      <c r="H398" s="3"/>
    </row>
    <row r="399" spans="3:8" x14ac:dyDescent="0.2">
      <c r="C399" s="3"/>
      <c r="D399" s="3"/>
      <c r="E399" s="3"/>
      <c r="H399" s="3"/>
    </row>
    <row r="400" spans="3:8" x14ac:dyDescent="0.2">
      <c r="C400" s="3"/>
      <c r="D400" s="3"/>
      <c r="E400" s="3"/>
      <c r="H400" s="3"/>
    </row>
    <row r="401" spans="3:8" x14ac:dyDescent="0.2">
      <c r="C401" s="3"/>
      <c r="D401" s="3"/>
      <c r="E401" s="3"/>
      <c r="H401" s="3"/>
    </row>
    <row r="402" spans="3:8" x14ac:dyDescent="0.2">
      <c r="C402" s="3"/>
      <c r="D402" s="3"/>
      <c r="E402" s="3"/>
      <c r="H402" s="3"/>
    </row>
    <row r="403" spans="3:8" x14ac:dyDescent="0.2">
      <c r="C403" s="3"/>
      <c r="D403" s="3"/>
      <c r="E403" s="3"/>
      <c r="H403" s="3"/>
    </row>
    <row r="404" spans="3:8" x14ac:dyDescent="0.2">
      <c r="C404" s="3"/>
      <c r="D404" s="3"/>
      <c r="E404" s="3"/>
      <c r="H404" s="3"/>
    </row>
    <row r="405" spans="3:8" x14ac:dyDescent="0.2">
      <c r="C405" s="3"/>
      <c r="D405" s="3"/>
      <c r="E405" s="3"/>
      <c r="H405" s="3"/>
    </row>
    <row r="406" spans="3:8" x14ac:dyDescent="0.2">
      <c r="C406" s="3"/>
      <c r="D406" s="3"/>
      <c r="E406" s="3"/>
      <c r="H406" s="3"/>
    </row>
    <row r="407" spans="3:8" x14ac:dyDescent="0.2">
      <c r="C407" s="3"/>
      <c r="D407" s="3"/>
      <c r="E407" s="3"/>
      <c r="H407" s="3"/>
    </row>
    <row r="408" spans="3:8" x14ac:dyDescent="0.2">
      <c r="C408" s="3"/>
      <c r="D408" s="3"/>
      <c r="E408" s="3"/>
      <c r="H408" s="3"/>
    </row>
    <row r="409" spans="3:8" x14ac:dyDescent="0.2">
      <c r="C409" s="3"/>
      <c r="D409" s="3"/>
      <c r="E409" s="3"/>
      <c r="H409" s="3"/>
    </row>
    <row r="410" spans="3:8" x14ac:dyDescent="0.2">
      <c r="C410" s="3"/>
      <c r="D410" s="3"/>
      <c r="E410" s="3"/>
      <c r="H410" s="3"/>
    </row>
    <row r="411" spans="3:8" x14ac:dyDescent="0.2">
      <c r="C411" s="3"/>
      <c r="D411" s="3"/>
      <c r="E411" s="3"/>
      <c r="H411" s="3"/>
    </row>
    <row r="412" spans="3:8" x14ac:dyDescent="0.2">
      <c r="C412" s="3"/>
      <c r="D412" s="3"/>
      <c r="E412" s="3"/>
      <c r="H412" s="3"/>
    </row>
    <row r="413" spans="3:8" x14ac:dyDescent="0.2">
      <c r="C413" s="3"/>
      <c r="D413" s="3"/>
      <c r="E413" s="3"/>
      <c r="H413" s="3"/>
    </row>
    <row r="414" spans="3:8" x14ac:dyDescent="0.2">
      <c r="C414" s="3"/>
      <c r="D414" s="3"/>
      <c r="E414" s="3"/>
      <c r="H414" s="3"/>
    </row>
    <row r="415" spans="3:8" x14ac:dyDescent="0.2">
      <c r="C415" s="3"/>
      <c r="D415" s="3"/>
      <c r="E415" s="3"/>
      <c r="H415" s="3"/>
    </row>
    <row r="416" spans="3:8" x14ac:dyDescent="0.2">
      <c r="C416" s="3"/>
      <c r="D416" s="3"/>
      <c r="E416" s="3"/>
      <c r="H416" s="3"/>
    </row>
    <row r="417" spans="3:8" x14ac:dyDescent="0.2">
      <c r="C417" s="3"/>
      <c r="D417" s="3"/>
      <c r="E417" s="3"/>
      <c r="H417" s="3"/>
    </row>
    <row r="418" spans="3:8" x14ac:dyDescent="0.2">
      <c r="C418" s="3"/>
      <c r="D418" s="3"/>
      <c r="E418" s="3"/>
      <c r="H418" s="3"/>
    </row>
    <row r="419" spans="3:8" x14ac:dyDescent="0.2">
      <c r="C419" s="3"/>
      <c r="D419" s="3"/>
      <c r="E419" s="3"/>
      <c r="H419" s="3"/>
    </row>
    <row r="420" spans="3:8" x14ac:dyDescent="0.2">
      <c r="C420" s="3"/>
      <c r="D420" s="3"/>
      <c r="E420" s="3"/>
      <c r="H420" s="3"/>
    </row>
    <row r="421" spans="3:8" x14ac:dyDescent="0.2">
      <c r="C421" s="3"/>
      <c r="D421" s="3"/>
      <c r="E421" s="3"/>
      <c r="H421" s="3"/>
    </row>
    <row r="422" spans="3:8" x14ac:dyDescent="0.2">
      <c r="C422" s="3"/>
      <c r="D422" s="3"/>
      <c r="E422" s="3"/>
      <c r="H422" s="3"/>
    </row>
    <row r="423" spans="3:8" x14ac:dyDescent="0.2">
      <c r="C423" s="3"/>
      <c r="D423" s="3"/>
      <c r="E423" s="3"/>
      <c r="H423" s="3"/>
    </row>
    <row r="424" spans="3:8" x14ac:dyDescent="0.2">
      <c r="C424" s="3"/>
      <c r="D424" s="3"/>
      <c r="E424" s="3"/>
      <c r="H424" s="3"/>
    </row>
    <row r="425" spans="3:8" x14ac:dyDescent="0.2">
      <c r="C425" s="3"/>
      <c r="D425" s="3"/>
      <c r="E425" s="3"/>
      <c r="H425" s="3"/>
    </row>
    <row r="426" spans="3:8" x14ac:dyDescent="0.2">
      <c r="C426" s="3"/>
      <c r="D426" s="3"/>
      <c r="E426" s="3"/>
      <c r="H426" s="3"/>
    </row>
    <row r="427" spans="3:8" x14ac:dyDescent="0.2">
      <c r="C427" s="3"/>
      <c r="D427" s="3"/>
      <c r="E427" s="3"/>
      <c r="H427" s="3"/>
    </row>
    <row r="428" spans="3:8" x14ac:dyDescent="0.2">
      <c r="C428" s="3"/>
      <c r="D428" s="3"/>
      <c r="E428" s="3"/>
      <c r="H428" s="3"/>
    </row>
    <row r="429" spans="3:8" x14ac:dyDescent="0.2">
      <c r="C429" s="3"/>
      <c r="D429" s="3"/>
      <c r="E429" s="3"/>
      <c r="H429" s="3"/>
    </row>
    <row r="430" spans="3:8" x14ac:dyDescent="0.2">
      <c r="C430" s="3"/>
      <c r="D430" s="3"/>
      <c r="E430" s="3"/>
      <c r="H430" s="3"/>
    </row>
    <row r="431" spans="3:8" x14ac:dyDescent="0.2">
      <c r="C431" s="3"/>
      <c r="D431" s="3"/>
      <c r="E431" s="3"/>
      <c r="H431" s="3"/>
    </row>
    <row r="432" spans="3:8" x14ac:dyDescent="0.2">
      <c r="C432" s="3"/>
      <c r="D432" s="3"/>
      <c r="E432" s="3"/>
      <c r="H432" s="3"/>
    </row>
    <row r="433" spans="3:8" x14ac:dyDescent="0.2">
      <c r="C433" s="3"/>
      <c r="D433" s="3"/>
      <c r="E433" s="3"/>
      <c r="H433" s="3"/>
    </row>
    <row r="434" spans="3:8" x14ac:dyDescent="0.2">
      <c r="C434" s="3"/>
      <c r="D434" s="3"/>
      <c r="E434" s="3"/>
      <c r="H434" s="3"/>
    </row>
    <row r="435" spans="3:8" x14ac:dyDescent="0.2">
      <c r="C435" s="3"/>
      <c r="D435" s="3"/>
      <c r="E435" s="3"/>
      <c r="H435" s="3"/>
    </row>
    <row r="436" spans="3:8" x14ac:dyDescent="0.2">
      <c r="C436" s="3"/>
      <c r="D436" s="3"/>
      <c r="E436" s="3"/>
      <c r="H436" s="3"/>
    </row>
    <row r="437" spans="3:8" x14ac:dyDescent="0.2">
      <c r="C437" s="3"/>
      <c r="D437" s="3"/>
      <c r="E437" s="3"/>
      <c r="H437" s="3"/>
    </row>
    <row r="438" spans="3:8" x14ac:dyDescent="0.2">
      <c r="C438" s="3"/>
      <c r="D438" s="3"/>
      <c r="E438" s="3"/>
      <c r="H438" s="3"/>
    </row>
    <row r="439" spans="3:8" x14ac:dyDescent="0.2">
      <c r="C439" s="3"/>
      <c r="D439" s="3"/>
      <c r="E439" s="3"/>
      <c r="H439" s="3"/>
    </row>
    <row r="440" spans="3:8" x14ac:dyDescent="0.2">
      <c r="C440" s="3"/>
      <c r="D440" s="3"/>
      <c r="E440" s="3"/>
      <c r="H440" s="3"/>
    </row>
    <row r="441" spans="3:8" x14ac:dyDescent="0.2">
      <c r="C441" s="3"/>
      <c r="D441" s="3"/>
      <c r="E441" s="3"/>
      <c r="H441" s="3"/>
    </row>
    <row r="442" spans="3:8" x14ac:dyDescent="0.2">
      <c r="C442" s="3"/>
      <c r="D442" s="3"/>
      <c r="E442" s="3"/>
      <c r="H442" s="3"/>
    </row>
    <row r="443" spans="3:8" x14ac:dyDescent="0.2">
      <c r="C443" s="3"/>
      <c r="D443" s="3"/>
      <c r="E443" s="3"/>
      <c r="H443" s="3"/>
    </row>
    <row r="444" spans="3:8" x14ac:dyDescent="0.2">
      <c r="C444" s="3"/>
      <c r="D444" s="3"/>
      <c r="E444" s="3"/>
      <c r="H444" s="3"/>
    </row>
    <row r="445" spans="3:8" x14ac:dyDescent="0.2">
      <c r="C445" s="3"/>
      <c r="D445" s="3"/>
      <c r="E445" s="3"/>
      <c r="H445" s="3"/>
    </row>
    <row r="446" spans="3:8" x14ac:dyDescent="0.2">
      <c r="C446" s="3"/>
      <c r="D446" s="3"/>
      <c r="E446" s="3"/>
      <c r="H446" s="3"/>
    </row>
    <row r="447" spans="3:8" x14ac:dyDescent="0.2">
      <c r="C447" s="3"/>
      <c r="D447" s="3"/>
      <c r="E447" s="3"/>
      <c r="H447" s="3"/>
    </row>
    <row r="448" spans="3:8" x14ac:dyDescent="0.2">
      <c r="C448" s="3"/>
      <c r="D448" s="3"/>
      <c r="E448" s="3"/>
      <c r="H448" s="3"/>
    </row>
    <row r="449" spans="3:8" x14ac:dyDescent="0.2">
      <c r="C449" s="3"/>
      <c r="D449" s="3"/>
      <c r="E449" s="3"/>
      <c r="H449" s="3"/>
    </row>
    <row r="450" spans="3:8" x14ac:dyDescent="0.2">
      <c r="C450" s="3"/>
      <c r="D450" s="3"/>
      <c r="E450" s="3"/>
      <c r="H450" s="3"/>
    </row>
    <row r="451" spans="3:8" x14ac:dyDescent="0.2">
      <c r="C451" s="3"/>
      <c r="D451" s="3"/>
      <c r="E451" s="3"/>
      <c r="H451" s="3"/>
    </row>
    <row r="452" spans="3:8" x14ac:dyDescent="0.2">
      <c r="C452" s="3"/>
      <c r="D452" s="3"/>
      <c r="E452" s="3"/>
      <c r="H452" s="3"/>
    </row>
    <row r="453" spans="3:8" x14ac:dyDescent="0.2">
      <c r="C453" s="3"/>
      <c r="D453" s="3"/>
      <c r="E453" s="3"/>
      <c r="H453" s="3"/>
    </row>
    <row r="454" spans="3:8" x14ac:dyDescent="0.2">
      <c r="C454" s="3"/>
      <c r="D454" s="3"/>
      <c r="E454" s="3"/>
      <c r="H454" s="3"/>
    </row>
    <row r="455" spans="3:8" x14ac:dyDescent="0.2">
      <c r="C455" s="3"/>
      <c r="D455" s="3"/>
      <c r="E455" s="3"/>
      <c r="H455" s="3"/>
    </row>
    <row r="456" spans="3:8" x14ac:dyDescent="0.2">
      <c r="C456" s="3"/>
      <c r="D456" s="3"/>
      <c r="E456" s="3"/>
      <c r="H456" s="3"/>
    </row>
    <row r="457" spans="3:8" x14ac:dyDescent="0.2">
      <c r="C457" s="3"/>
      <c r="D457" s="3"/>
      <c r="E457" s="3"/>
      <c r="H457" s="3"/>
    </row>
    <row r="458" spans="3:8" x14ac:dyDescent="0.2">
      <c r="C458" s="3"/>
      <c r="D458" s="3"/>
      <c r="E458" s="3"/>
      <c r="H458" s="3"/>
    </row>
    <row r="459" spans="3:8" x14ac:dyDescent="0.2">
      <c r="C459" s="3"/>
      <c r="D459" s="3"/>
      <c r="E459" s="3"/>
      <c r="H459" s="3"/>
    </row>
    <row r="460" spans="3:8" x14ac:dyDescent="0.2">
      <c r="C460" s="3"/>
      <c r="D460" s="3"/>
      <c r="E460" s="3"/>
      <c r="H460" s="3"/>
    </row>
    <row r="461" spans="3:8" x14ac:dyDescent="0.2">
      <c r="C461" s="3"/>
      <c r="D461" s="3"/>
      <c r="E461" s="3"/>
      <c r="H461" s="3"/>
    </row>
    <row r="462" spans="3:8" x14ac:dyDescent="0.2">
      <c r="C462" s="3"/>
      <c r="D462" s="3"/>
      <c r="E462" s="3"/>
      <c r="H462" s="3"/>
    </row>
    <row r="463" spans="3:8" x14ac:dyDescent="0.2">
      <c r="C463" s="3"/>
      <c r="D463" s="3"/>
      <c r="E463" s="3"/>
      <c r="H463" s="3"/>
    </row>
    <row r="464" spans="3:8" x14ac:dyDescent="0.2">
      <c r="C464" s="3"/>
      <c r="D464" s="3"/>
      <c r="E464" s="3"/>
      <c r="H464" s="3"/>
    </row>
    <row r="465" spans="3:8" x14ac:dyDescent="0.2">
      <c r="C465" s="3"/>
      <c r="D465" s="3"/>
      <c r="E465" s="3"/>
      <c r="H465" s="3"/>
    </row>
    <row r="466" spans="3:8" x14ac:dyDescent="0.2">
      <c r="C466" s="3"/>
      <c r="D466" s="3"/>
      <c r="E466" s="3"/>
      <c r="H466" s="3"/>
    </row>
    <row r="467" spans="3:8" x14ac:dyDescent="0.2">
      <c r="C467" s="3"/>
      <c r="D467" s="3"/>
      <c r="E467" s="3"/>
      <c r="H467" s="3"/>
    </row>
    <row r="468" spans="3:8" x14ac:dyDescent="0.2">
      <c r="C468" s="3"/>
      <c r="D468" s="3"/>
      <c r="E468" s="3"/>
      <c r="H468" s="3"/>
    </row>
    <row r="469" spans="3:8" x14ac:dyDescent="0.2">
      <c r="C469" s="3"/>
      <c r="D469" s="3"/>
      <c r="E469" s="3"/>
      <c r="H469" s="3"/>
    </row>
    <row r="470" spans="3:8" x14ac:dyDescent="0.2">
      <c r="C470" s="3"/>
      <c r="D470" s="3"/>
      <c r="E470" s="3"/>
      <c r="H470" s="3"/>
    </row>
    <row r="471" spans="3:8" x14ac:dyDescent="0.2">
      <c r="C471" s="3"/>
      <c r="D471" s="3"/>
      <c r="E471" s="3"/>
      <c r="H471" s="3"/>
    </row>
    <row r="472" spans="3:8" x14ac:dyDescent="0.2">
      <c r="C472" s="3"/>
      <c r="D472" s="3"/>
      <c r="E472" s="3"/>
      <c r="H472" s="3"/>
    </row>
    <row r="473" spans="3:8" x14ac:dyDescent="0.2">
      <c r="C473" s="3"/>
      <c r="D473" s="3"/>
      <c r="E473" s="3"/>
      <c r="H473" s="3"/>
    </row>
    <row r="474" spans="3:8" x14ac:dyDescent="0.2">
      <c r="C474" s="3"/>
      <c r="D474" s="3"/>
      <c r="E474" s="3"/>
      <c r="H474" s="3"/>
    </row>
    <row r="475" spans="3:8" x14ac:dyDescent="0.2">
      <c r="C475" s="3"/>
      <c r="D475" s="3"/>
      <c r="E475" s="3"/>
      <c r="H475" s="3"/>
    </row>
    <row r="476" spans="3:8" x14ac:dyDescent="0.2">
      <c r="C476" s="3"/>
      <c r="D476" s="3"/>
      <c r="E476" s="3"/>
      <c r="H476" s="3"/>
    </row>
    <row r="477" spans="3:8" x14ac:dyDescent="0.2">
      <c r="C477" s="3"/>
      <c r="D477" s="3"/>
      <c r="E477" s="3"/>
      <c r="H477" s="3"/>
    </row>
    <row r="478" spans="3:8" x14ac:dyDescent="0.2">
      <c r="C478" s="3"/>
      <c r="D478" s="3"/>
      <c r="E478" s="3"/>
      <c r="H478" s="3"/>
    </row>
    <row r="479" spans="3:8" x14ac:dyDescent="0.2">
      <c r="C479" s="3"/>
      <c r="D479" s="3"/>
      <c r="E479" s="3"/>
      <c r="H479" s="3"/>
    </row>
    <row r="480" spans="3:8" x14ac:dyDescent="0.2">
      <c r="C480" s="3"/>
      <c r="D480" s="3"/>
      <c r="E480" s="3"/>
      <c r="H480" s="3"/>
    </row>
    <row r="481" spans="3:8" x14ac:dyDescent="0.2">
      <c r="C481" s="3"/>
      <c r="D481" s="3"/>
      <c r="E481" s="3"/>
      <c r="H481" s="3"/>
    </row>
    <row r="482" spans="3:8" x14ac:dyDescent="0.2">
      <c r="C482" s="3"/>
      <c r="D482" s="3"/>
      <c r="E482" s="3"/>
      <c r="H482" s="3"/>
    </row>
    <row r="483" spans="3:8" x14ac:dyDescent="0.2">
      <c r="C483" s="3"/>
      <c r="D483" s="3"/>
      <c r="E483" s="3"/>
      <c r="H483" s="3"/>
    </row>
    <row r="484" spans="3:8" x14ac:dyDescent="0.2">
      <c r="C484" s="3"/>
      <c r="D484" s="3"/>
      <c r="E484" s="3"/>
      <c r="H484" s="3"/>
    </row>
    <row r="485" spans="3:8" x14ac:dyDescent="0.2">
      <c r="C485" s="3"/>
      <c r="D485" s="3"/>
      <c r="E485" s="3"/>
      <c r="H485" s="3"/>
    </row>
    <row r="486" spans="3:8" x14ac:dyDescent="0.2">
      <c r="C486" s="3"/>
      <c r="D486" s="3"/>
      <c r="E486" s="3"/>
      <c r="H486" s="3"/>
    </row>
    <row r="487" spans="3:8" x14ac:dyDescent="0.2">
      <c r="C487" s="3"/>
      <c r="D487" s="3"/>
      <c r="E487" s="3"/>
      <c r="H487" s="3"/>
    </row>
    <row r="488" spans="3:8" x14ac:dyDescent="0.2">
      <c r="C488" s="3"/>
      <c r="D488" s="3"/>
      <c r="E488" s="3"/>
      <c r="H488" s="3"/>
    </row>
    <row r="489" spans="3:8" x14ac:dyDescent="0.2">
      <c r="C489" s="3"/>
      <c r="D489" s="3"/>
      <c r="E489" s="3"/>
      <c r="H489" s="3"/>
    </row>
    <row r="490" spans="3:8" x14ac:dyDescent="0.2">
      <c r="C490" s="3"/>
      <c r="D490" s="3"/>
      <c r="E490" s="3"/>
      <c r="H490" s="3"/>
    </row>
    <row r="491" spans="3:8" x14ac:dyDescent="0.2">
      <c r="C491" s="3"/>
      <c r="D491" s="3"/>
      <c r="E491" s="3"/>
      <c r="H491" s="3"/>
    </row>
    <row r="492" spans="3:8" x14ac:dyDescent="0.2">
      <c r="C492" s="3"/>
      <c r="D492" s="3"/>
      <c r="E492" s="3"/>
      <c r="H492" s="3"/>
    </row>
    <row r="493" spans="3:8" x14ac:dyDescent="0.2">
      <c r="C493" s="3"/>
      <c r="D493" s="3"/>
      <c r="E493" s="3"/>
      <c r="H493" s="3"/>
    </row>
    <row r="494" spans="3:8" x14ac:dyDescent="0.2">
      <c r="C494" s="3"/>
      <c r="D494" s="3"/>
      <c r="E494" s="3"/>
      <c r="H494" s="3"/>
    </row>
    <row r="495" spans="3:8" x14ac:dyDescent="0.2">
      <c r="C495" s="3"/>
      <c r="D495" s="3"/>
      <c r="E495" s="3"/>
      <c r="H495" s="3"/>
    </row>
    <row r="496" spans="3:8" x14ac:dyDescent="0.2">
      <c r="C496" s="3"/>
      <c r="D496" s="3"/>
      <c r="E496" s="3"/>
      <c r="H496" s="3"/>
    </row>
    <row r="497" spans="3:8" x14ac:dyDescent="0.2">
      <c r="C497" s="3"/>
      <c r="D497" s="3"/>
      <c r="E497" s="3"/>
      <c r="H497" s="3"/>
    </row>
    <row r="498" spans="3:8" x14ac:dyDescent="0.2">
      <c r="C498" s="3"/>
      <c r="D498" s="3"/>
      <c r="E498" s="3"/>
      <c r="H498" s="3"/>
    </row>
    <row r="499" spans="3:8" x14ac:dyDescent="0.2">
      <c r="C499" s="3"/>
      <c r="D499" s="3"/>
      <c r="E499" s="3"/>
      <c r="H499" s="3"/>
    </row>
    <row r="500" spans="3:8" x14ac:dyDescent="0.2">
      <c r="C500" s="3"/>
      <c r="D500" s="3"/>
      <c r="E500" s="3"/>
      <c r="H500" s="3"/>
    </row>
    <row r="501" spans="3:8" x14ac:dyDescent="0.2">
      <c r="C501" s="3"/>
      <c r="D501" s="3"/>
      <c r="E501" s="3"/>
      <c r="H501" s="3"/>
    </row>
    <row r="502" spans="3:8" x14ac:dyDescent="0.2">
      <c r="C502" s="3"/>
      <c r="D502" s="3"/>
      <c r="E502" s="3"/>
      <c r="H502" s="3"/>
    </row>
    <row r="503" spans="3:8" x14ac:dyDescent="0.2">
      <c r="C503" s="3"/>
      <c r="D503" s="3"/>
      <c r="E503" s="3"/>
      <c r="H503" s="3"/>
    </row>
    <row r="504" spans="3:8" x14ac:dyDescent="0.2">
      <c r="C504" s="3"/>
      <c r="D504" s="3"/>
      <c r="E504" s="3"/>
      <c r="H504" s="3"/>
    </row>
    <row r="505" spans="3:8" x14ac:dyDescent="0.2">
      <c r="C505" s="3"/>
      <c r="D505" s="3"/>
      <c r="E505" s="3"/>
      <c r="H505" s="3"/>
    </row>
    <row r="506" spans="3:8" x14ac:dyDescent="0.2">
      <c r="C506" s="3"/>
      <c r="D506" s="3"/>
      <c r="E506" s="3"/>
      <c r="H506" s="3"/>
    </row>
    <row r="507" spans="3:8" x14ac:dyDescent="0.2">
      <c r="C507" s="3"/>
      <c r="D507" s="3"/>
      <c r="E507" s="3"/>
      <c r="H507" s="3"/>
    </row>
    <row r="508" spans="3:8" x14ac:dyDescent="0.2">
      <c r="C508" s="3"/>
      <c r="D508" s="3"/>
      <c r="E508" s="3"/>
      <c r="H508" s="3"/>
    </row>
    <row r="509" spans="3:8" x14ac:dyDescent="0.2">
      <c r="C509" s="3"/>
      <c r="D509" s="3"/>
      <c r="E509" s="3"/>
      <c r="H509" s="3"/>
    </row>
    <row r="510" spans="3:8" x14ac:dyDescent="0.2">
      <c r="C510" s="3"/>
      <c r="D510" s="3"/>
      <c r="E510" s="3"/>
      <c r="H510" s="3"/>
    </row>
    <row r="511" spans="3:8" x14ac:dyDescent="0.2">
      <c r="C511" s="3"/>
      <c r="D511" s="3"/>
      <c r="E511" s="3"/>
      <c r="H511" s="3"/>
    </row>
    <row r="512" spans="3:8" x14ac:dyDescent="0.2">
      <c r="C512" s="3"/>
      <c r="D512" s="3"/>
      <c r="E512" s="3"/>
      <c r="H512" s="3"/>
    </row>
    <row r="513" spans="3:8" x14ac:dyDescent="0.2">
      <c r="C513" s="3"/>
      <c r="D513" s="3"/>
      <c r="E513" s="3"/>
      <c r="H513" s="3"/>
    </row>
    <row r="514" spans="3:8" x14ac:dyDescent="0.2">
      <c r="C514" s="3"/>
      <c r="D514" s="3"/>
      <c r="E514" s="3"/>
      <c r="H514" s="3"/>
    </row>
    <row r="515" spans="3:8" x14ac:dyDescent="0.2">
      <c r="C515" s="3"/>
      <c r="D515" s="3"/>
      <c r="E515" s="3"/>
      <c r="H515" s="3"/>
    </row>
    <row r="516" spans="3:8" x14ac:dyDescent="0.2">
      <c r="C516" s="3"/>
      <c r="D516" s="3"/>
      <c r="E516" s="3"/>
      <c r="H516" s="3"/>
    </row>
    <row r="517" spans="3:8" x14ac:dyDescent="0.2">
      <c r="C517" s="3"/>
      <c r="D517" s="3"/>
      <c r="E517" s="3"/>
      <c r="H517" s="3"/>
    </row>
    <row r="518" spans="3:8" x14ac:dyDescent="0.2">
      <c r="C518" s="3"/>
      <c r="D518" s="3"/>
      <c r="E518" s="3"/>
      <c r="H518" s="3"/>
    </row>
    <row r="519" spans="3:8" x14ac:dyDescent="0.2">
      <c r="C519" s="3"/>
      <c r="D519" s="3"/>
      <c r="E519" s="3"/>
      <c r="H519" s="3"/>
    </row>
    <row r="520" spans="3:8" x14ac:dyDescent="0.2">
      <c r="C520" s="3"/>
      <c r="D520" s="3"/>
      <c r="E520" s="3"/>
      <c r="H520" s="3"/>
    </row>
    <row r="521" spans="3:8" x14ac:dyDescent="0.2">
      <c r="C521" s="3"/>
      <c r="D521" s="3"/>
      <c r="E521" s="3"/>
      <c r="H521" s="3"/>
    </row>
    <row r="522" spans="3:8" x14ac:dyDescent="0.2">
      <c r="C522" s="3"/>
      <c r="D522" s="3"/>
      <c r="E522" s="3"/>
      <c r="H522" s="3"/>
    </row>
    <row r="523" spans="3:8" x14ac:dyDescent="0.2">
      <c r="C523" s="3"/>
      <c r="D523" s="3"/>
      <c r="E523" s="3"/>
      <c r="H523" s="3"/>
    </row>
    <row r="524" spans="3:8" x14ac:dyDescent="0.2">
      <c r="C524" s="3"/>
      <c r="D524" s="3"/>
      <c r="E524" s="3"/>
      <c r="H524" s="3"/>
    </row>
    <row r="525" spans="3:8" x14ac:dyDescent="0.2">
      <c r="C525" s="3"/>
      <c r="D525" s="3"/>
      <c r="E525" s="3"/>
      <c r="H525" s="3"/>
    </row>
    <row r="526" spans="3:8" x14ac:dyDescent="0.2">
      <c r="C526" s="3"/>
      <c r="D526" s="3"/>
      <c r="E526" s="3"/>
      <c r="H526" s="3"/>
    </row>
    <row r="527" spans="3:8" x14ac:dyDescent="0.2">
      <c r="C527" s="3"/>
      <c r="D527" s="3"/>
      <c r="E527" s="3"/>
      <c r="H527" s="3"/>
    </row>
    <row r="528" spans="3:8" x14ac:dyDescent="0.2">
      <c r="C528" s="3"/>
      <c r="D528" s="3"/>
      <c r="E528" s="3"/>
      <c r="H528" s="3"/>
    </row>
    <row r="529" spans="3:8" x14ac:dyDescent="0.2">
      <c r="C529" s="3"/>
      <c r="D529" s="3"/>
      <c r="E529" s="3"/>
      <c r="H529" s="3"/>
    </row>
    <row r="530" spans="3:8" x14ac:dyDescent="0.2">
      <c r="C530" s="3"/>
      <c r="D530" s="3"/>
      <c r="E530" s="3"/>
      <c r="H530" s="3"/>
    </row>
    <row r="531" spans="3:8" x14ac:dyDescent="0.2">
      <c r="C531" s="3"/>
      <c r="D531" s="3"/>
      <c r="E531" s="3"/>
      <c r="H531" s="3"/>
    </row>
    <row r="532" spans="3:8" x14ac:dyDescent="0.2">
      <c r="C532" s="3"/>
      <c r="D532" s="3"/>
      <c r="E532" s="3"/>
      <c r="H532" s="3"/>
    </row>
    <row r="533" spans="3:8" x14ac:dyDescent="0.2">
      <c r="C533" s="3"/>
      <c r="D533" s="3"/>
      <c r="E533" s="3"/>
      <c r="H533" s="3"/>
    </row>
    <row r="534" spans="3:8" x14ac:dyDescent="0.2">
      <c r="C534" s="3"/>
      <c r="D534" s="3"/>
      <c r="E534" s="3"/>
      <c r="H534" s="3"/>
    </row>
    <row r="535" spans="3:8" x14ac:dyDescent="0.2">
      <c r="C535" s="3"/>
      <c r="D535" s="3"/>
      <c r="E535" s="3"/>
      <c r="H535" s="3"/>
    </row>
    <row r="536" spans="3:8" x14ac:dyDescent="0.2">
      <c r="C536" s="3"/>
      <c r="D536" s="3"/>
      <c r="E536" s="3"/>
      <c r="H536" s="3"/>
    </row>
    <row r="537" spans="3:8" x14ac:dyDescent="0.2">
      <c r="C537" s="3"/>
      <c r="D537" s="3"/>
      <c r="E537" s="3"/>
      <c r="H537" s="3"/>
    </row>
    <row r="538" spans="3:8" x14ac:dyDescent="0.2">
      <c r="C538" s="3"/>
      <c r="D538" s="3"/>
      <c r="E538" s="3"/>
      <c r="H538" s="3"/>
    </row>
    <row r="539" spans="3:8" x14ac:dyDescent="0.2">
      <c r="C539" s="3"/>
      <c r="D539" s="3"/>
      <c r="E539" s="3"/>
      <c r="H539" s="3"/>
    </row>
    <row r="540" spans="3:8" x14ac:dyDescent="0.2">
      <c r="C540" s="3"/>
      <c r="D540" s="3"/>
      <c r="E540" s="3"/>
      <c r="H540" s="3"/>
    </row>
    <row r="541" spans="3:8" x14ac:dyDescent="0.2">
      <c r="C541" s="3"/>
      <c r="D541" s="3"/>
      <c r="E541" s="3"/>
      <c r="H541" s="3"/>
    </row>
    <row r="542" spans="3:8" x14ac:dyDescent="0.2">
      <c r="C542" s="3"/>
      <c r="D542" s="3"/>
      <c r="E542" s="3"/>
      <c r="H542" s="3"/>
    </row>
    <row r="543" spans="3:8" x14ac:dyDescent="0.2">
      <c r="C543" s="3"/>
      <c r="D543" s="3"/>
      <c r="E543" s="3"/>
      <c r="H543" s="3"/>
    </row>
    <row r="544" spans="3:8" x14ac:dyDescent="0.2">
      <c r="C544" s="3"/>
      <c r="D544" s="3"/>
      <c r="E544" s="3"/>
      <c r="H544" s="3"/>
    </row>
    <row r="545" spans="3:8" x14ac:dyDescent="0.2">
      <c r="C545" s="3"/>
      <c r="D545" s="3"/>
      <c r="E545" s="3"/>
      <c r="H545" s="3"/>
    </row>
    <row r="546" spans="3:8" x14ac:dyDescent="0.2">
      <c r="C546" s="3"/>
      <c r="D546" s="3"/>
      <c r="E546" s="3"/>
      <c r="H546" s="3"/>
    </row>
    <row r="547" spans="3:8" x14ac:dyDescent="0.2">
      <c r="C547" s="3"/>
      <c r="D547" s="3"/>
      <c r="E547" s="3"/>
      <c r="H547" s="3"/>
    </row>
    <row r="548" spans="3:8" x14ac:dyDescent="0.2">
      <c r="C548" s="3"/>
      <c r="D548" s="3"/>
      <c r="E548" s="3"/>
      <c r="H548" s="3"/>
    </row>
    <row r="549" spans="3:8" x14ac:dyDescent="0.2">
      <c r="C549" s="3"/>
      <c r="D549" s="3"/>
      <c r="E549" s="3"/>
      <c r="H549" s="3"/>
    </row>
    <row r="550" spans="3:8" x14ac:dyDescent="0.2">
      <c r="C550" s="3"/>
      <c r="D550" s="3"/>
      <c r="E550" s="3"/>
      <c r="H550" s="3"/>
    </row>
    <row r="551" spans="3:8" x14ac:dyDescent="0.2">
      <c r="C551" s="3"/>
      <c r="D551" s="3"/>
      <c r="E551" s="3"/>
      <c r="H551" s="3"/>
    </row>
    <row r="552" spans="3:8" x14ac:dyDescent="0.2">
      <c r="C552" s="3"/>
      <c r="D552" s="3"/>
      <c r="E552" s="3"/>
      <c r="H552" s="3"/>
    </row>
    <row r="553" spans="3:8" x14ac:dyDescent="0.2">
      <c r="C553" s="3"/>
      <c r="D553" s="3"/>
      <c r="E553" s="3"/>
      <c r="H553" s="3"/>
    </row>
    <row r="554" spans="3:8" x14ac:dyDescent="0.2">
      <c r="C554" s="3"/>
      <c r="D554" s="3"/>
      <c r="E554" s="3"/>
      <c r="H554" s="3"/>
    </row>
    <row r="555" spans="3:8" x14ac:dyDescent="0.2">
      <c r="C555" s="3"/>
      <c r="D555" s="3"/>
      <c r="E555" s="3"/>
      <c r="H555" s="3"/>
    </row>
    <row r="556" spans="3:8" x14ac:dyDescent="0.2">
      <c r="C556" s="3"/>
      <c r="D556" s="3"/>
      <c r="E556" s="3"/>
      <c r="H556" s="3"/>
    </row>
    <row r="557" spans="3:8" x14ac:dyDescent="0.2">
      <c r="C557" s="3"/>
      <c r="D557" s="3"/>
      <c r="E557" s="3"/>
      <c r="H557" s="3"/>
    </row>
    <row r="558" spans="3:8" x14ac:dyDescent="0.2">
      <c r="C558" s="3"/>
      <c r="D558" s="3"/>
      <c r="E558" s="3"/>
      <c r="H558" s="3"/>
    </row>
    <row r="559" spans="3:8" x14ac:dyDescent="0.2">
      <c r="C559" s="3"/>
      <c r="D559" s="3"/>
      <c r="E559" s="3"/>
      <c r="H559" s="3"/>
    </row>
    <row r="560" spans="3:8" x14ac:dyDescent="0.2">
      <c r="C560" s="3"/>
      <c r="D560" s="3"/>
      <c r="E560" s="3"/>
      <c r="H560" s="3"/>
    </row>
    <row r="561" spans="3:8" x14ac:dyDescent="0.2">
      <c r="C561" s="3"/>
      <c r="D561" s="3"/>
      <c r="E561" s="3"/>
      <c r="H561" s="3"/>
    </row>
    <row r="562" spans="3:8" x14ac:dyDescent="0.2">
      <c r="C562" s="3"/>
      <c r="D562" s="3"/>
      <c r="E562" s="3"/>
      <c r="H562" s="3"/>
    </row>
    <row r="563" spans="3:8" x14ac:dyDescent="0.2">
      <c r="C563" s="3"/>
      <c r="D563" s="3"/>
      <c r="E563" s="3"/>
      <c r="H563" s="3"/>
    </row>
    <row r="564" spans="3:8" x14ac:dyDescent="0.2">
      <c r="C564" s="3"/>
      <c r="D564" s="3"/>
      <c r="E564" s="3"/>
      <c r="H564" s="3"/>
    </row>
    <row r="565" spans="3:8" x14ac:dyDescent="0.2">
      <c r="C565" s="3"/>
      <c r="D565" s="3"/>
      <c r="E565" s="3"/>
      <c r="H565" s="3"/>
    </row>
    <row r="566" spans="3:8" x14ac:dyDescent="0.2">
      <c r="C566" s="3"/>
      <c r="D566" s="3"/>
      <c r="E566" s="3"/>
      <c r="H566" s="3"/>
    </row>
    <row r="567" spans="3:8" x14ac:dyDescent="0.2">
      <c r="C567" s="3"/>
      <c r="D567" s="3"/>
      <c r="E567" s="3"/>
      <c r="H567" s="3"/>
    </row>
    <row r="568" spans="3:8" x14ac:dyDescent="0.2">
      <c r="C568" s="3"/>
      <c r="D568" s="3"/>
      <c r="E568" s="3"/>
      <c r="H568" s="3"/>
    </row>
    <row r="569" spans="3:8" x14ac:dyDescent="0.2">
      <c r="C569" s="3"/>
      <c r="D569" s="3"/>
      <c r="E569" s="3"/>
      <c r="H569" s="3"/>
    </row>
    <row r="570" spans="3:8" x14ac:dyDescent="0.2">
      <c r="C570" s="3"/>
      <c r="D570" s="3"/>
      <c r="E570" s="3"/>
      <c r="H570" s="3"/>
    </row>
    <row r="571" spans="3:8" x14ac:dyDescent="0.2">
      <c r="C571" s="3"/>
      <c r="D571" s="3"/>
      <c r="E571" s="3"/>
      <c r="H571" s="3"/>
    </row>
    <row r="572" spans="3:8" x14ac:dyDescent="0.2">
      <c r="C572" s="3"/>
      <c r="D572" s="3"/>
      <c r="E572" s="3"/>
      <c r="H572" s="3"/>
    </row>
    <row r="573" spans="3:8" x14ac:dyDescent="0.2">
      <c r="C573" s="3"/>
      <c r="D573" s="3"/>
      <c r="E573" s="3"/>
      <c r="H573" s="3"/>
    </row>
    <row r="574" spans="3:8" x14ac:dyDescent="0.2">
      <c r="C574" s="3"/>
      <c r="D574" s="3"/>
      <c r="E574" s="3"/>
      <c r="H574" s="3"/>
    </row>
    <row r="575" spans="3:8" x14ac:dyDescent="0.2">
      <c r="C575" s="3"/>
      <c r="D575" s="3"/>
      <c r="E575" s="3"/>
      <c r="H575" s="3"/>
    </row>
    <row r="576" spans="3:8" x14ac:dyDescent="0.2">
      <c r="C576" s="3"/>
      <c r="D576" s="3"/>
      <c r="E576" s="3"/>
      <c r="H576" s="3"/>
    </row>
    <row r="577" spans="3:8" x14ac:dyDescent="0.2">
      <c r="C577" s="3"/>
      <c r="D577" s="3"/>
      <c r="E577" s="3"/>
      <c r="H577" s="3"/>
    </row>
    <row r="578" spans="3:8" x14ac:dyDescent="0.2">
      <c r="C578" s="3"/>
      <c r="D578" s="3"/>
      <c r="E578" s="3"/>
      <c r="H578" s="3"/>
    </row>
    <row r="579" spans="3:8" x14ac:dyDescent="0.2">
      <c r="C579" s="3"/>
      <c r="D579" s="3"/>
      <c r="E579" s="3"/>
      <c r="H579" s="3"/>
    </row>
    <row r="580" spans="3:8" x14ac:dyDescent="0.2">
      <c r="C580" s="3"/>
      <c r="D580" s="3"/>
      <c r="E580" s="3"/>
      <c r="H580" s="3"/>
    </row>
    <row r="581" spans="3:8" x14ac:dyDescent="0.2">
      <c r="C581" s="3"/>
      <c r="D581" s="3"/>
      <c r="E581" s="3"/>
      <c r="H581" s="3"/>
    </row>
    <row r="582" spans="3:8" x14ac:dyDescent="0.2">
      <c r="C582" s="3"/>
      <c r="D582" s="3"/>
      <c r="E582" s="3"/>
      <c r="H582" s="3"/>
    </row>
    <row r="583" spans="3:8" x14ac:dyDescent="0.2">
      <c r="C583" s="3"/>
      <c r="D583" s="3"/>
      <c r="E583" s="3"/>
      <c r="H583" s="3"/>
    </row>
    <row r="584" spans="3:8" x14ac:dyDescent="0.2">
      <c r="C584" s="3"/>
      <c r="D584" s="3"/>
      <c r="E584" s="3"/>
      <c r="H584" s="3"/>
    </row>
    <row r="585" spans="3:8" x14ac:dyDescent="0.2">
      <c r="C585" s="3"/>
      <c r="D585" s="3"/>
      <c r="E585" s="3"/>
      <c r="H585" s="3"/>
    </row>
    <row r="586" spans="3:8" x14ac:dyDescent="0.2">
      <c r="C586" s="3"/>
      <c r="D586" s="3"/>
      <c r="E586" s="3"/>
      <c r="H586" s="3"/>
    </row>
    <row r="587" spans="3:8" x14ac:dyDescent="0.2">
      <c r="C587" s="3"/>
      <c r="D587" s="3"/>
      <c r="E587" s="3"/>
      <c r="H587" s="3"/>
    </row>
    <row r="588" spans="3:8" x14ac:dyDescent="0.2">
      <c r="C588" s="3"/>
      <c r="D588" s="3"/>
      <c r="E588" s="3"/>
      <c r="H588" s="3"/>
    </row>
    <row r="589" spans="3:8" x14ac:dyDescent="0.2">
      <c r="C589" s="3"/>
      <c r="D589" s="3"/>
      <c r="E589" s="3"/>
      <c r="H589" s="3"/>
    </row>
    <row r="590" spans="3:8" x14ac:dyDescent="0.2">
      <c r="C590" s="3"/>
      <c r="D590" s="3"/>
      <c r="E590" s="3"/>
      <c r="H590" s="3"/>
    </row>
    <row r="591" spans="3:8" x14ac:dyDescent="0.2">
      <c r="C591" s="3"/>
      <c r="D591" s="3"/>
      <c r="E591" s="3"/>
      <c r="H591" s="3"/>
    </row>
    <row r="592" spans="3:8" x14ac:dyDescent="0.2">
      <c r="C592" s="3"/>
      <c r="D592" s="3"/>
      <c r="E592" s="3"/>
      <c r="H592" s="3"/>
    </row>
    <row r="593" spans="3:8" x14ac:dyDescent="0.2">
      <c r="C593" s="3"/>
      <c r="D593" s="3"/>
      <c r="E593" s="3"/>
      <c r="H593" s="3"/>
    </row>
    <row r="594" spans="3:8" x14ac:dyDescent="0.2">
      <c r="C594" s="3"/>
      <c r="D594" s="3"/>
      <c r="E594" s="3"/>
      <c r="H594" s="3"/>
    </row>
    <row r="595" spans="3:8" x14ac:dyDescent="0.2">
      <c r="C595" s="3"/>
      <c r="D595" s="3"/>
      <c r="E595" s="3"/>
      <c r="H595" s="3"/>
    </row>
    <row r="596" spans="3:8" x14ac:dyDescent="0.2">
      <c r="C596" s="3"/>
      <c r="D596" s="3"/>
      <c r="E596" s="3"/>
      <c r="H596" s="3"/>
    </row>
    <row r="597" spans="3:8" x14ac:dyDescent="0.2">
      <c r="C597" s="3"/>
      <c r="D597" s="3"/>
      <c r="E597" s="3"/>
      <c r="H597" s="3"/>
    </row>
    <row r="598" spans="3:8" x14ac:dyDescent="0.2">
      <c r="C598" s="3"/>
      <c r="D598" s="3"/>
      <c r="E598" s="3"/>
      <c r="H598" s="3"/>
    </row>
    <row r="599" spans="3:8" x14ac:dyDescent="0.2">
      <c r="C599" s="3"/>
      <c r="D599" s="3"/>
      <c r="E599" s="3"/>
      <c r="H599" s="3"/>
    </row>
    <row r="600" spans="3:8" x14ac:dyDescent="0.2">
      <c r="C600" s="3"/>
      <c r="D600" s="3"/>
      <c r="E600" s="3"/>
      <c r="H600" s="3"/>
    </row>
    <row r="601" spans="3:8" x14ac:dyDescent="0.2">
      <c r="C601" s="3"/>
      <c r="D601" s="3"/>
      <c r="E601" s="3"/>
      <c r="H601" s="3"/>
    </row>
    <row r="602" spans="3:8" x14ac:dyDescent="0.2">
      <c r="C602" s="3"/>
      <c r="D602" s="3"/>
      <c r="E602" s="3"/>
      <c r="H602" s="3"/>
    </row>
    <row r="603" spans="3:8" x14ac:dyDescent="0.2">
      <c r="C603" s="3"/>
      <c r="D603" s="3"/>
      <c r="E603" s="3"/>
      <c r="H603" s="3"/>
    </row>
    <row r="604" spans="3:8" x14ac:dyDescent="0.2">
      <c r="C604" s="3"/>
      <c r="D604" s="3"/>
      <c r="E604" s="3"/>
      <c r="H604" s="3"/>
    </row>
    <row r="605" spans="3:8" x14ac:dyDescent="0.2">
      <c r="C605" s="3"/>
      <c r="D605" s="3"/>
      <c r="E605" s="3"/>
      <c r="H605" s="3"/>
    </row>
    <row r="606" spans="3:8" x14ac:dyDescent="0.2">
      <c r="C606" s="3"/>
      <c r="D606" s="3"/>
      <c r="E606" s="3"/>
      <c r="H606" s="3"/>
    </row>
    <row r="607" spans="3:8" x14ac:dyDescent="0.2">
      <c r="C607" s="3"/>
      <c r="D607" s="3"/>
      <c r="E607" s="3"/>
      <c r="H607" s="3"/>
    </row>
    <row r="608" spans="3:8" x14ac:dyDescent="0.2">
      <c r="C608" s="3"/>
      <c r="D608" s="3"/>
      <c r="E608" s="3"/>
      <c r="H608" s="3"/>
    </row>
    <row r="609" spans="3:8" x14ac:dyDescent="0.2">
      <c r="C609" s="3"/>
      <c r="D609" s="3"/>
      <c r="E609" s="3"/>
      <c r="H609" s="3"/>
    </row>
    <row r="610" spans="3:8" x14ac:dyDescent="0.2">
      <c r="C610" s="3"/>
      <c r="D610" s="3"/>
      <c r="E610" s="3"/>
      <c r="H610" s="3"/>
    </row>
    <row r="611" spans="3:8" x14ac:dyDescent="0.2">
      <c r="C611" s="3"/>
      <c r="D611" s="3"/>
      <c r="E611" s="3"/>
      <c r="H611" s="3"/>
    </row>
    <row r="612" spans="3:8" x14ac:dyDescent="0.2">
      <c r="C612" s="3"/>
      <c r="D612" s="3"/>
      <c r="E612" s="3"/>
      <c r="H612" s="3"/>
    </row>
    <row r="613" spans="3:8" x14ac:dyDescent="0.2">
      <c r="C613" s="3"/>
      <c r="D613" s="3"/>
      <c r="E613" s="3"/>
      <c r="H613" s="3"/>
    </row>
    <row r="614" spans="3:8" x14ac:dyDescent="0.2">
      <c r="C614" s="3"/>
      <c r="D614" s="3"/>
      <c r="E614" s="3"/>
      <c r="H614" s="3"/>
    </row>
    <row r="615" spans="3:8" x14ac:dyDescent="0.2">
      <c r="C615" s="3"/>
      <c r="D615" s="3"/>
      <c r="E615" s="3"/>
      <c r="H615" s="3"/>
    </row>
    <row r="616" spans="3:8" x14ac:dyDescent="0.2">
      <c r="C616" s="3"/>
      <c r="D616" s="3"/>
      <c r="E616" s="3"/>
      <c r="H616" s="3"/>
    </row>
    <row r="617" spans="3:8" x14ac:dyDescent="0.2">
      <c r="C617" s="3"/>
      <c r="D617" s="3"/>
      <c r="E617" s="3"/>
      <c r="H617" s="3"/>
    </row>
    <row r="618" spans="3:8" x14ac:dyDescent="0.2">
      <c r="C618" s="3"/>
      <c r="D618" s="3"/>
      <c r="E618" s="3"/>
      <c r="H618" s="3"/>
    </row>
    <row r="619" spans="3:8" x14ac:dyDescent="0.2">
      <c r="C619" s="3"/>
      <c r="D619" s="3"/>
      <c r="E619" s="3"/>
      <c r="H619" s="3"/>
    </row>
    <row r="620" spans="3:8" x14ac:dyDescent="0.2">
      <c r="C620" s="3"/>
      <c r="D620" s="3"/>
      <c r="E620" s="3"/>
      <c r="H620" s="3"/>
    </row>
    <row r="621" spans="3:8" x14ac:dyDescent="0.2">
      <c r="C621" s="3"/>
      <c r="D621" s="3"/>
      <c r="E621" s="3"/>
      <c r="H621" s="3"/>
    </row>
    <row r="622" spans="3:8" x14ac:dyDescent="0.2">
      <c r="C622" s="3"/>
      <c r="D622" s="3"/>
      <c r="E622" s="3"/>
      <c r="H622" s="3"/>
    </row>
    <row r="623" spans="3:8" x14ac:dyDescent="0.2">
      <c r="C623" s="3"/>
      <c r="D623" s="3"/>
      <c r="E623" s="3"/>
      <c r="H623" s="3"/>
    </row>
    <row r="624" spans="3:8" x14ac:dyDescent="0.2">
      <c r="C624" s="3"/>
      <c r="D624" s="3"/>
      <c r="E624" s="3"/>
      <c r="H624" s="3"/>
    </row>
    <row r="625" spans="3:8" x14ac:dyDescent="0.2">
      <c r="C625" s="3"/>
      <c r="D625" s="3"/>
      <c r="E625" s="3"/>
      <c r="H625" s="3"/>
    </row>
    <row r="626" spans="3:8" x14ac:dyDescent="0.2">
      <c r="C626" s="3"/>
      <c r="D626" s="3"/>
      <c r="E626" s="3"/>
      <c r="H626" s="3"/>
    </row>
    <row r="627" spans="3:8" x14ac:dyDescent="0.2">
      <c r="C627" s="3"/>
      <c r="D627" s="3"/>
      <c r="E627" s="3"/>
      <c r="H627" s="3"/>
    </row>
    <row r="628" spans="3:8" x14ac:dyDescent="0.2">
      <c r="C628" s="3"/>
      <c r="D628" s="3"/>
      <c r="E628" s="3"/>
      <c r="H628" s="3"/>
    </row>
    <row r="629" spans="3:8" x14ac:dyDescent="0.2">
      <c r="C629" s="3"/>
      <c r="D629" s="3"/>
      <c r="E629" s="3"/>
      <c r="H629" s="3"/>
    </row>
    <row r="630" spans="3:8" x14ac:dyDescent="0.2">
      <c r="C630" s="3"/>
      <c r="D630" s="3"/>
      <c r="E630" s="3"/>
      <c r="H630" s="3"/>
    </row>
    <row r="631" spans="3:8" x14ac:dyDescent="0.2">
      <c r="C631" s="3"/>
      <c r="D631" s="3"/>
      <c r="E631" s="3"/>
      <c r="H631" s="3"/>
    </row>
    <row r="632" spans="3:8" x14ac:dyDescent="0.2">
      <c r="C632" s="3"/>
      <c r="D632" s="3"/>
      <c r="E632" s="3"/>
      <c r="H632" s="3"/>
    </row>
    <row r="633" spans="3:8" x14ac:dyDescent="0.2">
      <c r="C633" s="3"/>
      <c r="D633" s="3"/>
      <c r="E633" s="3"/>
      <c r="H633" s="3"/>
    </row>
    <row r="634" spans="3:8" x14ac:dyDescent="0.2">
      <c r="C634" s="3"/>
      <c r="D634" s="3"/>
      <c r="E634" s="3"/>
      <c r="H634" s="3"/>
    </row>
    <row r="635" spans="3:8" x14ac:dyDescent="0.2">
      <c r="C635" s="3"/>
      <c r="D635" s="3"/>
      <c r="E635" s="3"/>
      <c r="H635" s="3"/>
    </row>
    <row r="636" spans="3:8" x14ac:dyDescent="0.2">
      <c r="C636" s="3"/>
      <c r="D636" s="3"/>
      <c r="E636" s="3"/>
      <c r="H636" s="3"/>
    </row>
    <row r="637" spans="3:8" x14ac:dyDescent="0.2">
      <c r="C637" s="3"/>
      <c r="D637" s="3"/>
      <c r="E637" s="3"/>
      <c r="H637" s="3"/>
    </row>
    <row r="638" spans="3:8" x14ac:dyDescent="0.2">
      <c r="C638" s="3"/>
      <c r="D638" s="3"/>
      <c r="E638" s="3"/>
      <c r="H638" s="3"/>
    </row>
    <row r="639" spans="3:8" x14ac:dyDescent="0.2">
      <c r="C639" s="3"/>
      <c r="D639" s="3"/>
      <c r="E639" s="3"/>
      <c r="H639" s="3"/>
    </row>
    <row r="640" spans="3:8" x14ac:dyDescent="0.2">
      <c r="C640" s="3"/>
      <c r="D640" s="3"/>
      <c r="E640" s="3"/>
      <c r="H640" s="3"/>
    </row>
    <row r="641" spans="3:8" x14ac:dyDescent="0.2">
      <c r="C641" s="3"/>
      <c r="D641" s="3"/>
      <c r="E641" s="3"/>
      <c r="H641" s="3"/>
    </row>
    <row r="642" spans="3:8" x14ac:dyDescent="0.2">
      <c r="C642" s="3"/>
      <c r="D642" s="3"/>
      <c r="E642" s="3"/>
      <c r="H642" s="3"/>
    </row>
    <row r="643" spans="3:8" x14ac:dyDescent="0.2">
      <c r="C643" s="3"/>
      <c r="D643" s="3"/>
      <c r="E643" s="3"/>
      <c r="H643" s="3"/>
    </row>
    <row r="644" spans="3:8" x14ac:dyDescent="0.2">
      <c r="C644" s="3"/>
      <c r="D644" s="3"/>
      <c r="E644" s="3"/>
      <c r="H644" s="3"/>
    </row>
    <row r="645" spans="3:8" x14ac:dyDescent="0.2">
      <c r="C645" s="3"/>
      <c r="D645" s="3"/>
      <c r="E645" s="3"/>
      <c r="H645" s="3"/>
    </row>
    <row r="646" spans="3:8" x14ac:dyDescent="0.2">
      <c r="C646" s="3"/>
      <c r="D646" s="3"/>
      <c r="E646" s="3"/>
      <c r="H646" s="3"/>
    </row>
    <row r="647" spans="3:8" x14ac:dyDescent="0.2">
      <c r="C647" s="3"/>
      <c r="D647" s="3"/>
      <c r="E647" s="3"/>
      <c r="H647" s="3"/>
    </row>
    <row r="648" spans="3:8" x14ac:dyDescent="0.2">
      <c r="C648" s="3"/>
      <c r="D648" s="3"/>
      <c r="E648" s="3"/>
      <c r="H648" s="3"/>
    </row>
    <row r="649" spans="3:8" x14ac:dyDescent="0.2">
      <c r="C649" s="3"/>
      <c r="D649" s="3"/>
      <c r="E649" s="3"/>
      <c r="H649" s="3"/>
    </row>
    <row r="650" spans="3:8" x14ac:dyDescent="0.2">
      <c r="C650" s="3"/>
      <c r="D650" s="3"/>
      <c r="E650" s="3"/>
      <c r="H650" s="3"/>
    </row>
    <row r="651" spans="3:8" x14ac:dyDescent="0.2">
      <c r="C651" s="3"/>
      <c r="D651" s="3"/>
      <c r="E651" s="3"/>
      <c r="H651" s="3"/>
    </row>
    <row r="652" spans="3:8" x14ac:dyDescent="0.2">
      <c r="C652" s="3"/>
      <c r="D652" s="3"/>
      <c r="E652" s="3"/>
      <c r="H652" s="3"/>
    </row>
    <row r="653" spans="3:8" x14ac:dyDescent="0.2">
      <c r="C653" s="3"/>
      <c r="D653" s="3"/>
      <c r="E653" s="3"/>
      <c r="H653" s="3"/>
    </row>
    <row r="654" spans="3:8" x14ac:dyDescent="0.2">
      <c r="C654" s="3"/>
      <c r="D654" s="3"/>
      <c r="E654" s="3"/>
      <c r="H654" s="3"/>
    </row>
    <row r="655" spans="3:8" x14ac:dyDescent="0.2">
      <c r="C655" s="3"/>
      <c r="D655" s="3"/>
      <c r="E655" s="3"/>
      <c r="H655" s="3"/>
    </row>
    <row r="656" spans="3:8" x14ac:dyDescent="0.2">
      <c r="C656" s="3"/>
      <c r="D656" s="3"/>
      <c r="E656" s="3"/>
      <c r="H656" s="3"/>
    </row>
    <row r="657" spans="3:8" x14ac:dyDescent="0.2">
      <c r="C657" s="3"/>
      <c r="D657" s="3"/>
      <c r="E657" s="3"/>
      <c r="H657" s="3"/>
    </row>
    <row r="658" spans="3:8" x14ac:dyDescent="0.2">
      <c r="C658" s="3"/>
      <c r="D658" s="3"/>
      <c r="E658" s="3"/>
      <c r="H658" s="3"/>
    </row>
    <row r="659" spans="3:8" x14ac:dyDescent="0.2">
      <c r="C659" s="3"/>
      <c r="D659" s="3"/>
      <c r="E659" s="3"/>
      <c r="H659" s="3"/>
    </row>
    <row r="660" spans="3:8" x14ac:dyDescent="0.2">
      <c r="C660" s="3"/>
      <c r="D660" s="3"/>
      <c r="E660" s="3"/>
      <c r="H660" s="3"/>
    </row>
    <row r="661" spans="3:8" x14ac:dyDescent="0.2">
      <c r="C661" s="3"/>
      <c r="D661" s="3"/>
      <c r="E661" s="3"/>
      <c r="H661" s="3"/>
    </row>
    <row r="662" spans="3:8" x14ac:dyDescent="0.2">
      <c r="C662" s="3"/>
      <c r="D662" s="3"/>
      <c r="E662" s="3"/>
      <c r="H662" s="3"/>
    </row>
    <row r="663" spans="3:8" x14ac:dyDescent="0.2">
      <c r="C663" s="3"/>
      <c r="D663" s="3"/>
      <c r="E663" s="3"/>
      <c r="H663" s="3"/>
    </row>
    <row r="664" spans="3:8" x14ac:dyDescent="0.2">
      <c r="C664" s="3"/>
      <c r="D664" s="3"/>
      <c r="E664" s="3"/>
      <c r="H664" s="3"/>
    </row>
    <row r="665" spans="3:8" x14ac:dyDescent="0.2">
      <c r="C665" s="3"/>
      <c r="D665" s="3"/>
      <c r="E665" s="3"/>
      <c r="H665" s="3"/>
    </row>
    <row r="666" spans="3:8" x14ac:dyDescent="0.2">
      <c r="C666" s="3"/>
      <c r="D666" s="3"/>
      <c r="E666" s="3"/>
      <c r="H666" s="3"/>
    </row>
    <row r="667" spans="3:8" x14ac:dyDescent="0.2">
      <c r="C667" s="3"/>
      <c r="D667" s="3"/>
      <c r="E667" s="3"/>
      <c r="H667" s="3"/>
    </row>
    <row r="668" spans="3:8" x14ac:dyDescent="0.2">
      <c r="C668" s="3"/>
      <c r="D668" s="3"/>
      <c r="E668" s="3"/>
      <c r="H668" s="3"/>
    </row>
    <row r="669" spans="3:8" x14ac:dyDescent="0.2">
      <c r="C669" s="3"/>
      <c r="D669" s="3"/>
      <c r="E669" s="3"/>
      <c r="H669" s="3"/>
    </row>
    <row r="670" spans="3:8" x14ac:dyDescent="0.2">
      <c r="C670" s="3"/>
      <c r="D670" s="3"/>
      <c r="E670" s="3"/>
      <c r="H670" s="3"/>
    </row>
    <row r="671" spans="3:8" x14ac:dyDescent="0.2">
      <c r="C671" s="3"/>
      <c r="D671" s="3"/>
      <c r="E671" s="3"/>
      <c r="H671" s="3"/>
    </row>
    <row r="672" spans="3:8" x14ac:dyDescent="0.2">
      <c r="C672" s="3"/>
      <c r="D672" s="3"/>
      <c r="E672" s="3"/>
      <c r="H672" s="3"/>
    </row>
    <row r="673" spans="3:8" x14ac:dyDescent="0.2">
      <c r="C673" s="3"/>
      <c r="D673" s="3"/>
      <c r="E673" s="3"/>
      <c r="H673" s="3"/>
    </row>
    <row r="674" spans="3:8" x14ac:dyDescent="0.2">
      <c r="C674" s="3"/>
      <c r="D674" s="3"/>
      <c r="E674" s="3"/>
      <c r="H674" s="3"/>
    </row>
    <row r="675" spans="3:8" x14ac:dyDescent="0.2">
      <c r="C675" s="3"/>
      <c r="D675" s="3"/>
      <c r="E675" s="3"/>
      <c r="H675" s="3"/>
    </row>
    <row r="676" spans="3:8" x14ac:dyDescent="0.2">
      <c r="C676" s="3"/>
      <c r="D676" s="3"/>
      <c r="E676" s="3"/>
      <c r="H676" s="3"/>
    </row>
    <row r="677" spans="3:8" x14ac:dyDescent="0.2">
      <c r="C677" s="3"/>
      <c r="D677" s="3"/>
      <c r="E677" s="3"/>
      <c r="H677" s="3"/>
    </row>
    <row r="678" spans="3:8" x14ac:dyDescent="0.2">
      <c r="C678" s="3"/>
      <c r="D678" s="3"/>
      <c r="E678" s="3"/>
      <c r="H678" s="3"/>
    </row>
    <row r="679" spans="3:8" x14ac:dyDescent="0.2">
      <c r="C679" s="3"/>
      <c r="D679" s="3"/>
      <c r="E679" s="3"/>
      <c r="H679" s="3"/>
    </row>
    <row r="680" spans="3:8" x14ac:dyDescent="0.2">
      <c r="C680" s="3"/>
      <c r="D680" s="3"/>
      <c r="E680" s="3"/>
      <c r="H680" s="3"/>
    </row>
    <row r="681" spans="3:8" x14ac:dyDescent="0.2">
      <c r="C681" s="3"/>
      <c r="D681" s="3"/>
      <c r="E681" s="3"/>
      <c r="H681" s="3"/>
    </row>
    <row r="682" spans="3:8" x14ac:dyDescent="0.2">
      <c r="C682" s="3"/>
      <c r="D682" s="3"/>
      <c r="E682" s="3"/>
      <c r="H682" s="3"/>
    </row>
    <row r="683" spans="3:8" x14ac:dyDescent="0.2">
      <c r="C683" s="3"/>
      <c r="D683" s="3"/>
      <c r="E683" s="3"/>
      <c r="H683" s="3"/>
    </row>
    <row r="684" spans="3:8" x14ac:dyDescent="0.2">
      <c r="C684" s="3"/>
      <c r="D684" s="3"/>
      <c r="E684" s="3"/>
      <c r="H684" s="3"/>
    </row>
    <row r="685" spans="3:8" x14ac:dyDescent="0.2">
      <c r="C685" s="3"/>
      <c r="D685" s="3"/>
      <c r="E685" s="3"/>
      <c r="H685" s="3"/>
    </row>
    <row r="686" spans="3:8" x14ac:dyDescent="0.2">
      <c r="C686" s="3"/>
      <c r="D686" s="3"/>
      <c r="E686" s="3"/>
      <c r="H686" s="3"/>
    </row>
    <row r="687" spans="3:8" x14ac:dyDescent="0.2">
      <c r="C687" s="3"/>
      <c r="D687" s="3"/>
      <c r="E687" s="3"/>
      <c r="H687" s="3"/>
    </row>
    <row r="688" spans="3:8" x14ac:dyDescent="0.2">
      <c r="C688" s="3"/>
      <c r="D688" s="3"/>
      <c r="E688" s="3"/>
      <c r="H688" s="3"/>
    </row>
    <row r="689" spans="3:8" x14ac:dyDescent="0.2">
      <c r="C689" s="3"/>
      <c r="D689" s="3"/>
      <c r="E689" s="3"/>
      <c r="H689" s="3"/>
    </row>
    <row r="690" spans="3:8" x14ac:dyDescent="0.2">
      <c r="C690" s="3"/>
      <c r="D690" s="3"/>
      <c r="E690" s="3"/>
      <c r="H690" s="3"/>
    </row>
    <row r="691" spans="3:8" x14ac:dyDescent="0.2">
      <c r="C691" s="3"/>
      <c r="D691" s="3"/>
      <c r="E691" s="3"/>
      <c r="H691" s="3"/>
    </row>
    <row r="692" spans="3:8" x14ac:dyDescent="0.2">
      <c r="C692" s="3"/>
      <c r="D692" s="3"/>
      <c r="E692" s="3"/>
      <c r="H692" s="3"/>
    </row>
    <row r="693" spans="3:8" x14ac:dyDescent="0.2">
      <c r="C693" s="3"/>
      <c r="D693" s="3"/>
      <c r="E693" s="3"/>
      <c r="H693" s="3"/>
    </row>
    <row r="694" spans="3:8" x14ac:dyDescent="0.2">
      <c r="C694" s="3"/>
      <c r="D694" s="3"/>
      <c r="E694" s="3"/>
      <c r="H694" s="3"/>
    </row>
    <row r="695" spans="3:8" x14ac:dyDescent="0.2">
      <c r="C695" s="3"/>
      <c r="D695" s="3"/>
      <c r="E695" s="3"/>
      <c r="H695" s="3"/>
    </row>
    <row r="696" spans="3:8" x14ac:dyDescent="0.2">
      <c r="C696" s="3"/>
      <c r="D696" s="3"/>
      <c r="E696" s="3"/>
      <c r="H696" s="3"/>
    </row>
    <row r="697" spans="3:8" x14ac:dyDescent="0.2">
      <c r="C697" s="3"/>
      <c r="D697" s="3"/>
      <c r="E697" s="3"/>
      <c r="H697" s="3"/>
    </row>
    <row r="698" spans="3:8" x14ac:dyDescent="0.2">
      <c r="C698" s="3"/>
      <c r="D698" s="3"/>
      <c r="E698" s="3"/>
      <c r="H698" s="3"/>
    </row>
    <row r="699" spans="3:8" x14ac:dyDescent="0.2">
      <c r="C699" s="3"/>
      <c r="D699" s="3"/>
      <c r="E699" s="3"/>
      <c r="H699" s="3"/>
    </row>
    <row r="700" spans="3:8" x14ac:dyDescent="0.2">
      <c r="C700" s="3"/>
      <c r="D700" s="3"/>
      <c r="E700" s="3"/>
      <c r="H700" s="3"/>
    </row>
    <row r="701" spans="3:8" x14ac:dyDescent="0.2">
      <c r="C701" s="3"/>
      <c r="D701" s="3"/>
      <c r="E701" s="3"/>
      <c r="H701" s="3"/>
    </row>
    <row r="702" spans="3:8" x14ac:dyDescent="0.2">
      <c r="C702" s="3"/>
      <c r="D702" s="3"/>
      <c r="E702" s="3"/>
      <c r="H702" s="3"/>
    </row>
    <row r="703" spans="3:8" x14ac:dyDescent="0.2">
      <c r="C703" s="3"/>
      <c r="D703" s="3"/>
      <c r="E703" s="3"/>
      <c r="H703" s="3"/>
    </row>
    <row r="704" spans="3:8" x14ac:dyDescent="0.2">
      <c r="C704" s="3"/>
      <c r="D704" s="3"/>
      <c r="E704" s="3"/>
      <c r="H704" s="3"/>
    </row>
    <row r="705" spans="3:8" x14ac:dyDescent="0.2">
      <c r="C705" s="3"/>
      <c r="D705" s="3"/>
      <c r="E705" s="3"/>
      <c r="H705" s="3"/>
    </row>
    <row r="706" spans="3:8" x14ac:dyDescent="0.2">
      <c r="C706" s="3"/>
      <c r="D706" s="3"/>
      <c r="E706" s="3"/>
      <c r="H706" s="3"/>
    </row>
    <row r="707" spans="3:8" x14ac:dyDescent="0.2">
      <c r="C707" s="3"/>
      <c r="D707" s="3"/>
      <c r="E707" s="3"/>
      <c r="H707" s="3"/>
    </row>
    <row r="708" spans="3:8" x14ac:dyDescent="0.2">
      <c r="C708" s="3"/>
      <c r="D708" s="3"/>
      <c r="E708" s="3"/>
      <c r="H708" s="3"/>
    </row>
    <row r="709" spans="3:8" x14ac:dyDescent="0.2">
      <c r="C709" s="3"/>
      <c r="D709" s="3"/>
      <c r="E709" s="3"/>
      <c r="H709" s="3"/>
    </row>
    <row r="710" spans="3:8" x14ac:dyDescent="0.2">
      <c r="C710" s="3"/>
      <c r="D710" s="3"/>
      <c r="E710" s="3"/>
      <c r="H710" s="3"/>
    </row>
    <row r="711" spans="3:8" x14ac:dyDescent="0.2">
      <c r="C711" s="3"/>
      <c r="D711" s="3"/>
      <c r="E711" s="3"/>
      <c r="H711" s="3"/>
    </row>
    <row r="712" spans="3:8" x14ac:dyDescent="0.2">
      <c r="C712" s="3"/>
      <c r="D712" s="3"/>
      <c r="E712" s="3"/>
      <c r="H712" s="3"/>
    </row>
    <row r="713" spans="3:8" x14ac:dyDescent="0.2">
      <c r="C713" s="3"/>
      <c r="D713" s="3"/>
      <c r="E713" s="3"/>
      <c r="H713" s="3"/>
    </row>
    <row r="714" spans="3:8" x14ac:dyDescent="0.2">
      <c r="C714" s="3"/>
      <c r="D714" s="3"/>
      <c r="E714" s="3"/>
      <c r="H714" s="3"/>
    </row>
    <row r="715" spans="3:8" x14ac:dyDescent="0.2">
      <c r="C715" s="3"/>
      <c r="D715" s="3"/>
      <c r="E715" s="3"/>
      <c r="H715" s="3"/>
    </row>
    <row r="716" spans="3:8" x14ac:dyDescent="0.2">
      <c r="C716" s="3"/>
      <c r="D716" s="3"/>
      <c r="E716" s="3"/>
      <c r="H716" s="3"/>
    </row>
    <row r="717" spans="3:8" x14ac:dyDescent="0.2">
      <c r="C717" s="3"/>
      <c r="D717" s="3"/>
      <c r="E717" s="3"/>
      <c r="H717" s="3"/>
    </row>
    <row r="718" spans="3:8" x14ac:dyDescent="0.2">
      <c r="C718" s="3"/>
      <c r="D718" s="3"/>
      <c r="E718" s="3"/>
      <c r="H718" s="3"/>
    </row>
    <row r="719" spans="3:8" x14ac:dyDescent="0.2">
      <c r="C719" s="3"/>
      <c r="D719" s="3"/>
      <c r="E719" s="3"/>
      <c r="H719" s="3"/>
    </row>
    <row r="720" spans="3:8" x14ac:dyDescent="0.2">
      <c r="C720" s="3"/>
      <c r="D720" s="3"/>
      <c r="E720" s="3"/>
      <c r="H720" s="3"/>
    </row>
    <row r="721" spans="3:8" x14ac:dyDescent="0.2">
      <c r="C721" s="3"/>
      <c r="D721" s="3"/>
      <c r="E721" s="3"/>
      <c r="H721" s="3"/>
    </row>
    <row r="722" spans="3:8" x14ac:dyDescent="0.2">
      <c r="C722" s="3"/>
      <c r="D722" s="3"/>
      <c r="E722" s="3"/>
      <c r="H722" s="3"/>
    </row>
    <row r="723" spans="3:8" x14ac:dyDescent="0.2">
      <c r="C723" s="3"/>
      <c r="D723" s="3"/>
      <c r="E723" s="3"/>
      <c r="H723" s="3"/>
    </row>
    <row r="724" spans="3:8" x14ac:dyDescent="0.2">
      <c r="C724" s="3"/>
      <c r="D724" s="3"/>
      <c r="E724" s="3"/>
      <c r="H724" s="3"/>
    </row>
    <row r="725" spans="3:8" x14ac:dyDescent="0.2">
      <c r="C725" s="3"/>
      <c r="D725" s="3"/>
      <c r="E725" s="3"/>
      <c r="H725" s="3"/>
    </row>
    <row r="726" spans="3:8" x14ac:dyDescent="0.2">
      <c r="C726" s="3"/>
      <c r="D726" s="3"/>
      <c r="E726" s="3"/>
      <c r="H726" s="3"/>
    </row>
    <row r="727" spans="3:8" x14ac:dyDescent="0.2">
      <c r="C727" s="3"/>
      <c r="D727" s="3"/>
      <c r="E727" s="3"/>
      <c r="H727" s="3"/>
    </row>
    <row r="728" spans="3:8" x14ac:dyDescent="0.2">
      <c r="C728" s="3"/>
      <c r="D728" s="3"/>
      <c r="E728" s="3"/>
      <c r="H728" s="3"/>
    </row>
    <row r="729" spans="3:8" x14ac:dyDescent="0.2">
      <c r="C729" s="3"/>
      <c r="D729" s="3"/>
      <c r="E729" s="3"/>
      <c r="H729" s="3"/>
    </row>
    <row r="730" spans="3:8" x14ac:dyDescent="0.2">
      <c r="C730" s="3"/>
      <c r="D730" s="3"/>
      <c r="E730" s="3"/>
      <c r="H730" s="3"/>
    </row>
    <row r="731" spans="3:8" x14ac:dyDescent="0.2">
      <c r="C731" s="3"/>
      <c r="D731" s="3"/>
      <c r="E731" s="3"/>
      <c r="H731" s="3"/>
    </row>
    <row r="732" spans="3:8" x14ac:dyDescent="0.2">
      <c r="C732" s="3"/>
      <c r="D732" s="3"/>
      <c r="E732" s="3"/>
      <c r="H732" s="3"/>
    </row>
    <row r="733" spans="3:8" x14ac:dyDescent="0.2">
      <c r="C733" s="3"/>
      <c r="D733" s="3"/>
      <c r="E733" s="3"/>
      <c r="H733" s="3"/>
    </row>
    <row r="734" spans="3:8" x14ac:dyDescent="0.2">
      <c r="C734" s="3"/>
      <c r="D734" s="3"/>
      <c r="E734" s="3"/>
      <c r="H734" s="3"/>
    </row>
    <row r="735" spans="3:8" x14ac:dyDescent="0.2">
      <c r="C735" s="3"/>
      <c r="D735" s="3"/>
      <c r="E735" s="3"/>
      <c r="H735" s="3"/>
    </row>
    <row r="736" spans="3:8" x14ac:dyDescent="0.2">
      <c r="C736" s="3"/>
      <c r="D736" s="3"/>
      <c r="E736" s="3"/>
      <c r="H736" s="3"/>
    </row>
    <row r="737" spans="3:8" x14ac:dyDescent="0.2">
      <c r="C737" s="3"/>
      <c r="D737" s="3"/>
      <c r="E737" s="3"/>
      <c r="H737" s="3"/>
    </row>
    <row r="738" spans="3:8" x14ac:dyDescent="0.2">
      <c r="C738" s="3"/>
      <c r="D738" s="3"/>
      <c r="E738" s="3"/>
      <c r="H738" s="3"/>
    </row>
    <row r="739" spans="3:8" x14ac:dyDescent="0.2">
      <c r="C739" s="3"/>
      <c r="D739" s="3"/>
      <c r="E739" s="3"/>
      <c r="H739" s="3"/>
    </row>
    <row r="740" spans="3:8" x14ac:dyDescent="0.2">
      <c r="C740" s="3"/>
      <c r="D740" s="3"/>
      <c r="E740" s="3"/>
      <c r="H740" s="3"/>
    </row>
    <row r="741" spans="3:8" x14ac:dyDescent="0.2">
      <c r="C741" s="3"/>
      <c r="D741" s="3"/>
      <c r="E741" s="3"/>
      <c r="H741" s="3"/>
    </row>
    <row r="742" spans="3:8" x14ac:dyDescent="0.2">
      <c r="C742" s="3"/>
      <c r="D742" s="3"/>
      <c r="E742" s="3"/>
      <c r="H742" s="3"/>
    </row>
    <row r="743" spans="3:8" x14ac:dyDescent="0.2">
      <c r="C743" s="3"/>
      <c r="D743" s="3"/>
      <c r="E743" s="3"/>
      <c r="H743" s="3"/>
    </row>
    <row r="744" spans="3:8" x14ac:dyDescent="0.2">
      <c r="C744" s="3"/>
      <c r="D744" s="3"/>
      <c r="E744" s="3"/>
      <c r="H744" s="3"/>
    </row>
    <row r="745" spans="3:8" x14ac:dyDescent="0.2">
      <c r="C745" s="3"/>
      <c r="D745" s="3"/>
      <c r="E745" s="3"/>
      <c r="H745" s="3"/>
    </row>
    <row r="746" spans="3:8" x14ac:dyDescent="0.2">
      <c r="C746" s="3"/>
      <c r="D746" s="3"/>
      <c r="E746" s="3"/>
      <c r="H746" s="3"/>
    </row>
    <row r="747" spans="3:8" x14ac:dyDescent="0.2">
      <c r="C747" s="3"/>
      <c r="D747" s="3"/>
      <c r="E747" s="3"/>
      <c r="H747" s="3"/>
    </row>
    <row r="748" spans="3:8" x14ac:dyDescent="0.2">
      <c r="C748" s="3"/>
      <c r="D748" s="3"/>
      <c r="E748" s="3"/>
      <c r="H748" s="3"/>
    </row>
    <row r="749" spans="3:8" x14ac:dyDescent="0.2">
      <c r="C749" s="3"/>
      <c r="D749" s="3"/>
      <c r="E749" s="3"/>
      <c r="H749" s="3"/>
    </row>
    <row r="750" spans="3:8" x14ac:dyDescent="0.2">
      <c r="C750" s="3"/>
      <c r="D750" s="3"/>
      <c r="E750" s="3"/>
      <c r="H750" s="3"/>
    </row>
    <row r="751" spans="3:8" x14ac:dyDescent="0.2">
      <c r="C751" s="3"/>
      <c r="D751" s="3"/>
      <c r="E751" s="3"/>
      <c r="H751" s="3"/>
    </row>
    <row r="752" spans="3:8" x14ac:dyDescent="0.2">
      <c r="C752" s="3"/>
      <c r="D752" s="3"/>
      <c r="E752" s="3"/>
      <c r="H752" s="3"/>
    </row>
    <row r="753" spans="3:8" x14ac:dyDescent="0.2">
      <c r="C753" s="3"/>
      <c r="D753" s="3"/>
      <c r="E753" s="3"/>
      <c r="H753" s="3"/>
    </row>
    <row r="754" spans="3:8" x14ac:dyDescent="0.2">
      <c r="C754" s="3"/>
      <c r="D754" s="3"/>
      <c r="E754" s="3"/>
      <c r="H754" s="3"/>
    </row>
    <row r="755" spans="3:8" x14ac:dyDescent="0.2">
      <c r="C755" s="3"/>
      <c r="D755" s="3"/>
      <c r="E755" s="3"/>
      <c r="H755" s="3"/>
    </row>
    <row r="756" spans="3:8" x14ac:dyDescent="0.2">
      <c r="C756" s="3"/>
      <c r="D756" s="3"/>
      <c r="E756" s="3"/>
      <c r="H756" s="3"/>
    </row>
    <row r="757" spans="3:8" x14ac:dyDescent="0.2">
      <c r="C757" s="3"/>
      <c r="D757" s="3"/>
      <c r="E757" s="3"/>
      <c r="H757" s="3"/>
    </row>
    <row r="758" spans="3:8" x14ac:dyDescent="0.2">
      <c r="C758" s="3"/>
      <c r="D758" s="3"/>
      <c r="E758" s="3"/>
      <c r="H758" s="3"/>
    </row>
    <row r="759" spans="3:8" x14ac:dyDescent="0.2">
      <c r="C759" s="3"/>
      <c r="D759" s="3"/>
      <c r="E759" s="3"/>
      <c r="H759" s="3"/>
    </row>
    <row r="760" spans="3:8" x14ac:dyDescent="0.2">
      <c r="C760" s="3"/>
      <c r="D760" s="3"/>
      <c r="E760" s="3"/>
      <c r="H760" s="3"/>
    </row>
    <row r="761" spans="3:8" x14ac:dyDescent="0.2">
      <c r="C761" s="3"/>
      <c r="D761" s="3"/>
      <c r="E761" s="3"/>
      <c r="H761" s="3"/>
    </row>
    <row r="762" spans="3:8" x14ac:dyDescent="0.2">
      <c r="C762" s="3"/>
      <c r="D762" s="3"/>
      <c r="E762" s="3"/>
      <c r="H762" s="3"/>
    </row>
    <row r="763" spans="3:8" x14ac:dyDescent="0.2">
      <c r="C763" s="3"/>
      <c r="D763" s="3"/>
      <c r="E763" s="3"/>
      <c r="H763" s="3"/>
    </row>
    <row r="764" spans="3:8" x14ac:dyDescent="0.2">
      <c r="C764" s="3"/>
      <c r="D764" s="3"/>
      <c r="E764" s="3"/>
      <c r="H764" s="3"/>
    </row>
    <row r="765" spans="3:8" x14ac:dyDescent="0.2">
      <c r="C765" s="3"/>
      <c r="D765" s="3"/>
      <c r="E765" s="3"/>
      <c r="H765" s="3"/>
    </row>
    <row r="766" spans="3:8" x14ac:dyDescent="0.2">
      <c r="C766" s="3"/>
      <c r="D766" s="3"/>
      <c r="E766" s="3"/>
      <c r="H766" s="3"/>
    </row>
    <row r="767" spans="3:8" x14ac:dyDescent="0.2">
      <c r="C767" s="3"/>
      <c r="D767" s="3"/>
      <c r="E767" s="3"/>
      <c r="H767" s="3"/>
    </row>
    <row r="768" spans="3:8" x14ac:dyDescent="0.2">
      <c r="C768" s="3"/>
      <c r="D768" s="3"/>
      <c r="E768" s="3"/>
      <c r="H768" s="3"/>
    </row>
    <row r="769" spans="3:8" x14ac:dyDescent="0.2">
      <c r="C769" s="3"/>
      <c r="D769" s="3"/>
      <c r="E769" s="3"/>
      <c r="H769" s="3"/>
    </row>
    <row r="770" spans="3:8" x14ac:dyDescent="0.2">
      <c r="C770" s="3"/>
      <c r="D770" s="3"/>
      <c r="E770" s="3"/>
      <c r="H770" s="3"/>
    </row>
    <row r="771" spans="3:8" x14ac:dyDescent="0.2">
      <c r="C771" s="3"/>
      <c r="D771" s="3"/>
      <c r="E771" s="3"/>
      <c r="H771" s="3"/>
    </row>
    <row r="772" spans="3:8" x14ac:dyDescent="0.2">
      <c r="C772" s="3"/>
      <c r="D772" s="3"/>
      <c r="E772" s="3"/>
      <c r="H772" s="3"/>
    </row>
    <row r="773" spans="3:8" x14ac:dyDescent="0.2">
      <c r="C773" s="3"/>
      <c r="D773" s="3"/>
      <c r="E773" s="3"/>
      <c r="H773" s="3"/>
    </row>
    <row r="774" spans="3:8" x14ac:dyDescent="0.2">
      <c r="C774" s="3"/>
      <c r="D774" s="3"/>
      <c r="E774" s="3"/>
      <c r="H774" s="3"/>
    </row>
    <row r="775" spans="3:8" x14ac:dyDescent="0.2">
      <c r="C775" s="3"/>
      <c r="D775" s="3"/>
      <c r="E775" s="3"/>
      <c r="H775" s="3"/>
    </row>
    <row r="776" spans="3:8" x14ac:dyDescent="0.2">
      <c r="C776" s="3"/>
      <c r="D776" s="3"/>
      <c r="E776" s="3"/>
      <c r="H776" s="3"/>
    </row>
    <row r="777" spans="3:8" x14ac:dyDescent="0.2">
      <c r="C777" s="3"/>
      <c r="D777" s="3"/>
      <c r="E777" s="3"/>
      <c r="H777" s="3"/>
    </row>
    <row r="778" spans="3:8" x14ac:dyDescent="0.2">
      <c r="C778" s="3"/>
      <c r="D778" s="3"/>
      <c r="E778" s="3"/>
      <c r="H778" s="3"/>
    </row>
    <row r="779" spans="3:8" x14ac:dyDescent="0.2">
      <c r="C779" s="3"/>
      <c r="D779" s="3"/>
      <c r="E779" s="3"/>
      <c r="H779" s="3"/>
    </row>
    <row r="780" spans="3:8" x14ac:dyDescent="0.2">
      <c r="C780" s="3"/>
      <c r="D780" s="3"/>
      <c r="E780" s="3"/>
      <c r="H780" s="3"/>
    </row>
    <row r="781" spans="3:8" x14ac:dyDescent="0.2">
      <c r="C781" s="3"/>
      <c r="D781" s="3"/>
      <c r="E781" s="3"/>
      <c r="H781" s="3"/>
    </row>
    <row r="782" spans="3:8" x14ac:dyDescent="0.2">
      <c r="C782" s="3"/>
      <c r="D782" s="3"/>
      <c r="E782" s="3"/>
      <c r="H782" s="3"/>
    </row>
    <row r="783" spans="3:8" x14ac:dyDescent="0.2">
      <c r="C783" s="3"/>
      <c r="D783" s="3"/>
      <c r="E783" s="3"/>
      <c r="H783" s="3"/>
    </row>
    <row r="784" spans="3:8" x14ac:dyDescent="0.2">
      <c r="C784" s="3"/>
      <c r="D784" s="3"/>
      <c r="E784" s="3"/>
      <c r="H784" s="3"/>
    </row>
    <row r="785" spans="3:8" x14ac:dyDescent="0.2">
      <c r="C785" s="3"/>
      <c r="D785" s="3"/>
      <c r="E785" s="3"/>
      <c r="H785" s="3"/>
    </row>
    <row r="786" spans="3:8" x14ac:dyDescent="0.2">
      <c r="C786" s="3"/>
      <c r="D786" s="3"/>
      <c r="E786" s="3"/>
      <c r="H786" s="3"/>
    </row>
    <row r="787" spans="3:8" x14ac:dyDescent="0.2">
      <c r="C787" s="3"/>
      <c r="D787" s="3"/>
      <c r="E787" s="3"/>
      <c r="H787" s="3"/>
    </row>
    <row r="788" spans="3:8" x14ac:dyDescent="0.2">
      <c r="C788" s="3"/>
      <c r="D788" s="3"/>
      <c r="E788" s="3"/>
      <c r="H788" s="3"/>
    </row>
    <row r="789" spans="3:8" x14ac:dyDescent="0.2">
      <c r="C789" s="3"/>
      <c r="D789" s="3"/>
      <c r="E789" s="3"/>
      <c r="H789" s="3"/>
    </row>
    <row r="790" spans="3:8" x14ac:dyDescent="0.2">
      <c r="C790" s="3"/>
      <c r="D790" s="3"/>
      <c r="E790" s="3"/>
      <c r="H790" s="3"/>
    </row>
    <row r="791" spans="3:8" x14ac:dyDescent="0.2">
      <c r="C791" s="3"/>
      <c r="D791" s="3"/>
      <c r="E791" s="3"/>
      <c r="H791" s="3"/>
    </row>
    <row r="792" spans="3:8" x14ac:dyDescent="0.2">
      <c r="C792" s="3"/>
      <c r="D792" s="3"/>
      <c r="E792" s="3"/>
      <c r="H792" s="3"/>
    </row>
    <row r="793" spans="3:8" x14ac:dyDescent="0.2">
      <c r="C793" s="3"/>
      <c r="D793" s="3"/>
      <c r="E793" s="3"/>
      <c r="H793" s="3"/>
    </row>
    <row r="794" spans="3:8" x14ac:dyDescent="0.2">
      <c r="C794" s="3"/>
      <c r="D794" s="3"/>
      <c r="E794" s="3"/>
      <c r="H794" s="3"/>
    </row>
    <row r="795" spans="3:8" x14ac:dyDescent="0.2">
      <c r="C795" s="3"/>
      <c r="D795" s="3"/>
      <c r="E795" s="3"/>
      <c r="H795" s="3"/>
    </row>
    <row r="796" spans="3:8" x14ac:dyDescent="0.2">
      <c r="C796" s="3"/>
      <c r="D796" s="3"/>
      <c r="E796" s="3"/>
      <c r="H796" s="3"/>
    </row>
    <row r="797" spans="3:8" x14ac:dyDescent="0.2">
      <c r="C797" s="3"/>
      <c r="D797" s="3"/>
      <c r="E797" s="3"/>
      <c r="H797" s="3"/>
    </row>
    <row r="798" spans="3:8" x14ac:dyDescent="0.2">
      <c r="C798" s="3"/>
      <c r="D798" s="3"/>
      <c r="E798" s="3"/>
      <c r="H798" s="3"/>
    </row>
    <row r="799" spans="3:8" x14ac:dyDescent="0.2">
      <c r="C799" s="3"/>
      <c r="D799" s="3"/>
      <c r="E799" s="3"/>
      <c r="H799" s="3"/>
    </row>
    <row r="800" spans="3:8" x14ac:dyDescent="0.2">
      <c r="C800" s="3"/>
      <c r="D800" s="3"/>
      <c r="E800" s="3"/>
      <c r="H800" s="3"/>
    </row>
    <row r="801" spans="3:8" x14ac:dyDescent="0.2">
      <c r="C801" s="3"/>
      <c r="D801" s="3"/>
      <c r="E801" s="3"/>
      <c r="H801" s="3"/>
    </row>
    <row r="802" spans="3:8" x14ac:dyDescent="0.2">
      <c r="C802" s="3"/>
      <c r="D802" s="3"/>
      <c r="E802" s="3"/>
      <c r="H802" s="3"/>
    </row>
    <row r="803" spans="3:8" x14ac:dyDescent="0.2">
      <c r="C803" s="3"/>
      <c r="D803" s="3"/>
      <c r="E803" s="3"/>
      <c r="H803" s="3"/>
    </row>
    <row r="804" spans="3:8" x14ac:dyDescent="0.2">
      <c r="C804" s="3"/>
      <c r="D804" s="3"/>
      <c r="E804" s="3"/>
      <c r="H804" s="3"/>
    </row>
    <row r="805" spans="3:8" x14ac:dyDescent="0.2">
      <c r="C805" s="3"/>
      <c r="D805" s="3"/>
      <c r="E805" s="3"/>
      <c r="H805" s="3"/>
    </row>
    <row r="806" spans="3:8" x14ac:dyDescent="0.2">
      <c r="C806" s="3"/>
      <c r="D806" s="3"/>
      <c r="E806" s="3"/>
      <c r="H806" s="3"/>
    </row>
    <row r="807" spans="3:8" x14ac:dyDescent="0.2">
      <c r="C807" s="3"/>
      <c r="D807" s="3"/>
      <c r="E807" s="3"/>
      <c r="H807" s="3"/>
    </row>
    <row r="808" spans="3:8" x14ac:dyDescent="0.2">
      <c r="C808" s="3"/>
      <c r="D808" s="3"/>
      <c r="E808" s="3"/>
      <c r="H808" s="3"/>
    </row>
    <row r="809" spans="3:8" x14ac:dyDescent="0.2">
      <c r="C809" s="3"/>
      <c r="D809" s="3"/>
      <c r="E809" s="3"/>
      <c r="H809" s="3"/>
    </row>
    <row r="810" spans="3:8" x14ac:dyDescent="0.2">
      <c r="C810" s="3"/>
      <c r="D810" s="3"/>
      <c r="E810" s="3"/>
      <c r="H810" s="3"/>
    </row>
    <row r="811" spans="3:8" x14ac:dyDescent="0.2">
      <c r="C811" s="3"/>
      <c r="D811" s="3"/>
      <c r="E811" s="3"/>
      <c r="H811" s="3"/>
    </row>
    <row r="812" spans="3:8" x14ac:dyDescent="0.2">
      <c r="C812" s="3"/>
      <c r="D812" s="3"/>
      <c r="E812" s="3"/>
      <c r="H812" s="3"/>
    </row>
    <row r="813" spans="3:8" x14ac:dyDescent="0.2">
      <c r="C813" s="3"/>
      <c r="D813" s="3"/>
      <c r="E813" s="3"/>
      <c r="H813" s="3"/>
    </row>
    <row r="814" spans="3:8" x14ac:dyDescent="0.2">
      <c r="C814" s="3"/>
      <c r="D814" s="3"/>
      <c r="E814" s="3"/>
      <c r="H814" s="3"/>
    </row>
    <row r="815" spans="3:8" x14ac:dyDescent="0.2">
      <c r="C815" s="3"/>
      <c r="D815" s="3"/>
      <c r="E815" s="3"/>
      <c r="H815" s="3"/>
    </row>
    <row r="816" spans="3:8" x14ac:dyDescent="0.2">
      <c r="C816" s="3"/>
      <c r="D816" s="3"/>
      <c r="E816" s="3"/>
      <c r="H816" s="3"/>
    </row>
    <row r="817" spans="3:8" x14ac:dyDescent="0.2">
      <c r="C817" s="3"/>
      <c r="D817" s="3"/>
      <c r="E817" s="3"/>
      <c r="H817" s="3"/>
    </row>
    <row r="818" spans="3:8" x14ac:dyDescent="0.2">
      <c r="C818" s="3"/>
      <c r="D818" s="3"/>
      <c r="E818" s="3"/>
      <c r="H818" s="3"/>
    </row>
    <row r="819" spans="3:8" x14ac:dyDescent="0.2">
      <c r="C819" s="3"/>
      <c r="D819" s="3"/>
      <c r="E819" s="3"/>
      <c r="H819" s="3"/>
    </row>
    <row r="820" spans="3:8" x14ac:dyDescent="0.2">
      <c r="C820" s="3"/>
      <c r="D820" s="3"/>
      <c r="E820" s="3"/>
      <c r="H820" s="3"/>
    </row>
    <row r="821" spans="3:8" x14ac:dyDescent="0.2">
      <c r="C821" s="3"/>
      <c r="D821" s="3"/>
      <c r="E821" s="3"/>
      <c r="H821" s="3"/>
    </row>
    <row r="822" spans="3:8" x14ac:dyDescent="0.2">
      <c r="C822" s="3"/>
      <c r="D822" s="3"/>
      <c r="E822" s="3"/>
      <c r="H822" s="3"/>
    </row>
    <row r="823" spans="3:8" x14ac:dyDescent="0.2">
      <c r="C823" s="3"/>
      <c r="D823" s="3"/>
      <c r="E823" s="3"/>
      <c r="H823" s="3"/>
    </row>
    <row r="824" spans="3:8" x14ac:dyDescent="0.2">
      <c r="C824" s="3"/>
      <c r="D824" s="3"/>
      <c r="E824" s="3"/>
      <c r="H824" s="3"/>
    </row>
    <row r="825" spans="3:8" x14ac:dyDescent="0.2">
      <c r="C825" s="3"/>
      <c r="D825" s="3"/>
      <c r="E825" s="3"/>
      <c r="H825" s="3"/>
    </row>
    <row r="826" spans="3:8" x14ac:dyDescent="0.2">
      <c r="C826" s="3"/>
      <c r="D826" s="3"/>
      <c r="E826" s="3"/>
      <c r="H826" s="3"/>
    </row>
    <row r="827" spans="3:8" x14ac:dyDescent="0.2">
      <c r="C827" s="3"/>
      <c r="D827" s="3"/>
      <c r="E827" s="3"/>
      <c r="H827" s="3"/>
    </row>
    <row r="828" spans="3:8" x14ac:dyDescent="0.2">
      <c r="C828" s="3"/>
      <c r="D828" s="3"/>
      <c r="E828" s="3"/>
      <c r="H828" s="3"/>
    </row>
    <row r="829" spans="3:8" x14ac:dyDescent="0.2">
      <c r="C829" s="3"/>
      <c r="D829" s="3"/>
      <c r="E829" s="3"/>
      <c r="H829" s="3"/>
    </row>
    <row r="830" spans="3:8" x14ac:dyDescent="0.2">
      <c r="C830" s="3"/>
      <c r="D830" s="3"/>
      <c r="E830" s="3"/>
      <c r="H830" s="3"/>
    </row>
    <row r="831" spans="3:8" x14ac:dyDescent="0.2">
      <c r="C831" s="3"/>
      <c r="D831" s="3"/>
      <c r="E831" s="3"/>
      <c r="H831" s="3"/>
    </row>
    <row r="832" spans="3:8" x14ac:dyDescent="0.2">
      <c r="C832" s="3"/>
      <c r="D832" s="3"/>
      <c r="E832" s="3"/>
      <c r="H832" s="3"/>
    </row>
    <row r="833" spans="3:8" x14ac:dyDescent="0.2">
      <c r="C833" s="3"/>
      <c r="D833" s="3"/>
      <c r="E833" s="3"/>
      <c r="H833" s="3"/>
    </row>
    <row r="834" spans="3:8" x14ac:dyDescent="0.2">
      <c r="C834" s="3"/>
      <c r="D834" s="3"/>
      <c r="E834" s="3"/>
      <c r="H834" s="3"/>
    </row>
    <row r="835" spans="3:8" x14ac:dyDescent="0.2">
      <c r="C835" s="3"/>
      <c r="D835" s="3"/>
      <c r="E835" s="3"/>
      <c r="H835" s="3"/>
    </row>
    <row r="836" spans="3:8" x14ac:dyDescent="0.2">
      <c r="C836" s="3"/>
      <c r="D836" s="3"/>
      <c r="E836" s="3"/>
      <c r="H836" s="3"/>
    </row>
    <row r="837" spans="3:8" x14ac:dyDescent="0.2">
      <c r="C837" s="3"/>
      <c r="D837" s="3"/>
      <c r="E837" s="3"/>
      <c r="H837" s="3"/>
    </row>
    <row r="838" spans="3:8" x14ac:dyDescent="0.2">
      <c r="C838" s="3"/>
      <c r="D838" s="3"/>
      <c r="E838" s="3"/>
      <c r="H838" s="3"/>
    </row>
    <row r="839" spans="3:8" x14ac:dyDescent="0.2">
      <c r="C839" s="3"/>
      <c r="D839" s="3"/>
      <c r="E839" s="3"/>
      <c r="H839" s="3"/>
    </row>
    <row r="840" spans="3:8" x14ac:dyDescent="0.2">
      <c r="C840" s="3"/>
      <c r="D840" s="3"/>
      <c r="E840" s="3"/>
      <c r="H840" s="3"/>
    </row>
    <row r="841" spans="3:8" x14ac:dyDescent="0.2">
      <c r="C841" s="3"/>
      <c r="D841" s="3"/>
      <c r="E841" s="3"/>
      <c r="H841" s="3"/>
    </row>
    <row r="842" spans="3:8" x14ac:dyDescent="0.2">
      <c r="C842" s="3"/>
      <c r="D842" s="3"/>
      <c r="E842" s="3"/>
      <c r="H842" s="3"/>
    </row>
    <row r="843" spans="3:8" x14ac:dyDescent="0.2">
      <c r="C843" s="3"/>
      <c r="D843" s="3"/>
      <c r="E843" s="3"/>
      <c r="H843" s="3"/>
    </row>
    <row r="844" spans="3:8" x14ac:dyDescent="0.2">
      <c r="C844" s="3"/>
      <c r="D844" s="3"/>
      <c r="E844" s="3"/>
      <c r="H844" s="3"/>
    </row>
    <row r="845" spans="3:8" x14ac:dyDescent="0.2">
      <c r="C845" s="3"/>
      <c r="D845" s="3"/>
      <c r="E845" s="3"/>
      <c r="H845" s="3"/>
    </row>
    <row r="846" spans="3:8" x14ac:dyDescent="0.2">
      <c r="C846" s="3"/>
      <c r="D846" s="3"/>
      <c r="E846" s="3"/>
      <c r="H846" s="3"/>
    </row>
    <row r="847" spans="3:8" x14ac:dyDescent="0.2">
      <c r="C847" s="3"/>
      <c r="D847" s="3"/>
      <c r="E847" s="3"/>
      <c r="H847" s="3"/>
    </row>
    <row r="848" spans="3:8" x14ac:dyDescent="0.2">
      <c r="C848" s="3"/>
      <c r="D848" s="3"/>
      <c r="E848" s="3"/>
      <c r="H848" s="3"/>
    </row>
    <row r="849" spans="3:8" x14ac:dyDescent="0.2">
      <c r="C849" s="3"/>
      <c r="D849" s="3"/>
      <c r="E849" s="3"/>
      <c r="H849" s="3"/>
    </row>
    <row r="850" spans="3:8" x14ac:dyDescent="0.2">
      <c r="C850" s="3"/>
      <c r="D850" s="3"/>
      <c r="E850" s="3"/>
      <c r="H850" s="3"/>
    </row>
    <row r="851" spans="3:8" x14ac:dyDescent="0.2">
      <c r="C851" s="3"/>
      <c r="D851" s="3"/>
      <c r="E851" s="3"/>
      <c r="H851" s="3"/>
    </row>
    <row r="852" spans="3:8" x14ac:dyDescent="0.2">
      <c r="C852" s="3"/>
      <c r="D852" s="3"/>
      <c r="E852" s="3"/>
      <c r="H852" s="3"/>
    </row>
    <row r="853" spans="3:8" x14ac:dyDescent="0.2">
      <c r="C853" s="3"/>
      <c r="D853" s="3"/>
      <c r="E853" s="3"/>
      <c r="H853" s="3"/>
    </row>
    <row r="854" spans="3:8" x14ac:dyDescent="0.2">
      <c r="C854" s="3"/>
      <c r="D854" s="3"/>
      <c r="E854" s="3"/>
      <c r="H854" s="3"/>
    </row>
    <row r="855" spans="3:8" x14ac:dyDescent="0.2">
      <c r="C855" s="3"/>
      <c r="D855" s="3"/>
      <c r="E855" s="3"/>
      <c r="H855" s="3"/>
    </row>
    <row r="856" spans="3:8" x14ac:dyDescent="0.2">
      <c r="C856" s="3"/>
      <c r="D856" s="3"/>
      <c r="E856" s="3"/>
      <c r="H856" s="3"/>
    </row>
    <row r="857" spans="3:8" x14ac:dyDescent="0.2">
      <c r="C857" s="3"/>
      <c r="D857" s="3"/>
      <c r="E857" s="3"/>
      <c r="H857" s="3"/>
    </row>
    <row r="858" spans="3:8" x14ac:dyDescent="0.2">
      <c r="C858" s="3"/>
      <c r="D858" s="3"/>
      <c r="E858" s="3"/>
      <c r="H858" s="3"/>
    </row>
    <row r="859" spans="3:8" x14ac:dyDescent="0.2">
      <c r="C859" s="3"/>
      <c r="D859" s="3"/>
      <c r="E859" s="3"/>
      <c r="H859" s="3"/>
    </row>
    <row r="860" spans="3:8" x14ac:dyDescent="0.2">
      <c r="C860" s="3"/>
      <c r="D860" s="3"/>
      <c r="E860" s="3"/>
      <c r="H860" s="3"/>
    </row>
    <row r="861" spans="3:8" x14ac:dyDescent="0.2">
      <c r="C861" s="3"/>
      <c r="D861" s="3"/>
      <c r="E861" s="3"/>
      <c r="H861" s="3"/>
    </row>
    <row r="862" spans="3:8" x14ac:dyDescent="0.2">
      <c r="C862" s="3"/>
      <c r="D862" s="3"/>
      <c r="E862" s="3"/>
      <c r="H862" s="3"/>
    </row>
    <row r="863" spans="3:8" x14ac:dyDescent="0.2">
      <c r="C863" s="3"/>
      <c r="D863" s="3"/>
      <c r="E863" s="3"/>
      <c r="H863" s="3"/>
    </row>
    <row r="864" spans="3:8" x14ac:dyDescent="0.2">
      <c r="C864" s="3"/>
      <c r="D864" s="3"/>
      <c r="E864" s="3"/>
      <c r="H864" s="3"/>
    </row>
    <row r="865" spans="3:8" x14ac:dyDescent="0.2">
      <c r="C865" s="3"/>
      <c r="D865" s="3"/>
      <c r="E865" s="3"/>
      <c r="H865" s="3"/>
    </row>
    <row r="866" spans="3:8" x14ac:dyDescent="0.2">
      <c r="C866" s="3"/>
      <c r="D866" s="3"/>
      <c r="E866" s="3"/>
      <c r="H866" s="3"/>
    </row>
    <row r="867" spans="3:8" x14ac:dyDescent="0.2">
      <c r="C867" s="3"/>
      <c r="D867" s="3"/>
      <c r="E867" s="3"/>
      <c r="H867" s="3"/>
    </row>
    <row r="868" spans="3:8" x14ac:dyDescent="0.2">
      <c r="C868" s="3"/>
      <c r="D868" s="3"/>
      <c r="E868" s="3"/>
      <c r="H868" s="3"/>
    </row>
    <row r="869" spans="3:8" x14ac:dyDescent="0.2">
      <c r="C869" s="3"/>
      <c r="D869" s="3"/>
      <c r="E869" s="3"/>
      <c r="H869" s="3"/>
    </row>
    <row r="870" spans="3:8" x14ac:dyDescent="0.2">
      <c r="C870" s="3"/>
      <c r="D870" s="3"/>
      <c r="E870" s="3"/>
      <c r="H870" s="3"/>
    </row>
    <row r="871" spans="3:8" x14ac:dyDescent="0.2">
      <c r="C871" s="3"/>
      <c r="D871" s="3"/>
      <c r="E871" s="3"/>
      <c r="H871" s="3"/>
    </row>
    <row r="872" spans="3:8" x14ac:dyDescent="0.2">
      <c r="C872" s="3"/>
      <c r="D872" s="3"/>
      <c r="E872" s="3"/>
      <c r="H872" s="3"/>
    </row>
    <row r="873" spans="3:8" x14ac:dyDescent="0.2">
      <c r="C873" s="3"/>
      <c r="D873" s="3"/>
      <c r="E873" s="3"/>
      <c r="H873" s="3"/>
    </row>
    <row r="874" spans="3:8" x14ac:dyDescent="0.2">
      <c r="C874" s="3"/>
      <c r="D874" s="3"/>
      <c r="E874" s="3"/>
      <c r="H874" s="3"/>
    </row>
    <row r="875" spans="3:8" x14ac:dyDescent="0.2">
      <c r="C875" s="3"/>
      <c r="D875" s="3"/>
      <c r="E875" s="3"/>
      <c r="H875" s="3"/>
    </row>
    <row r="876" spans="3:8" x14ac:dyDescent="0.2">
      <c r="C876" s="3"/>
      <c r="D876" s="3"/>
      <c r="E876" s="3"/>
      <c r="H876" s="3"/>
    </row>
    <row r="877" spans="3:8" x14ac:dyDescent="0.2">
      <c r="C877" s="3"/>
      <c r="D877" s="3"/>
      <c r="E877" s="3"/>
      <c r="H877" s="3"/>
    </row>
    <row r="878" spans="3:8" x14ac:dyDescent="0.2">
      <c r="C878" s="3"/>
      <c r="D878" s="3"/>
      <c r="E878" s="3"/>
      <c r="H878" s="3"/>
    </row>
    <row r="879" spans="3:8" x14ac:dyDescent="0.2">
      <c r="C879" s="3"/>
      <c r="D879" s="3"/>
      <c r="E879" s="3"/>
      <c r="H879" s="3"/>
    </row>
    <row r="880" spans="3:8" x14ac:dyDescent="0.2">
      <c r="C880" s="3"/>
      <c r="D880" s="3"/>
      <c r="E880" s="3"/>
      <c r="H880" s="3"/>
    </row>
    <row r="881" spans="3:8" x14ac:dyDescent="0.2">
      <c r="C881" s="3"/>
      <c r="D881" s="3"/>
      <c r="E881" s="3"/>
      <c r="H881" s="3"/>
    </row>
    <row r="882" spans="3:8" x14ac:dyDescent="0.2">
      <c r="C882" s="3"/>
      <c r="D882" s="3"/>
      <c r="E882" s="3"/>
      <c r="H882" s="3"/>
    </row>
    <row r="883" spans="3:8" x14ac:dyDescent="0.2">
      <c r="C883" s="3"/>
      <c r="D883" s="3"/>
      <c r="E883" s="3"/>
      <c r="H883" s="3"/>
    </row>
    <row r="884" spans="3:8" x14ac:dyDescent="0.2">
      <c r="C884" s="3"/>
      <c r="D884" s="3"/>
      <c r="E884" s="3"/>
      <c r="H884" s="3"/>
    </row>
    <row r="885" spans="3:8" x14ac:dyDescent="0.2">
      <c r="C885" s="3"/>
      <c r="D885" s="3"/>
      <c r="E885" s="3"/>
      <c r="H885" s="3"/>
    </row>
    <row r="886" spans="3:8" x14ac:dyDescent="0.2">
      <c r="C886" s="3"/>
      <c r="D886" s="3"/>
      <c r="E886" s="3"/>
      <c r="H886" s="3"/>
    </row>
    <row r="887" spans="3:8" x14ac:dyDescent="0.2">
      <c r="C887" s="3"/>
      <c r="D887" s="3"/>
      <c r="E887" s="3"/>
      <c r="H887" s="3"/>
    </row>
    <row r="888" spans="3:8" x14ac:dyDescent="0.2">
      <c r="C888" s="3"/>
      <c r="D888" s="3"/>
      <c r="E888" s="3"/>
      <c r="H888" s="3"/>
    </row>
    <row r="889" spans="3:8" x14ac:dyDescent="0.2">
      <c r="C889" s="3"/>
      <c r="D889" s="3"/>
      <c r="E889" s="3"/>
      <c r="H889" s="3"/>
    </row>
    <row r="890" spans="3:8" x14ac:dyDescent="0.2">
      <c r="C890" s="3"/>
      <c r="D890" s="3"/>
      <c r="E890" s="3"/>
      <c r="H890" s="3"/>
    </row>
    <row r="891" spans="3:8" x14ac:dyDescent="0.2">
      <c r="C891" s="3"/>
      <c r="D891" s="3"/>
      <c r="E891" s="3"/>
      <c r="H891" s="3"/>
    </row>
    <row r="892" spans="3:8" x14ac:dyDescent="0.2">
      <c r="C892" s="3"/>
      <c r="D892" s="3"/>
      <c r="E892" s="3"/>
      <c r="H892" s="3"/>
    </row>
    <row r="893" spans="3:8" x14ac:dyDescent="0.2">
      <c r="C893" s="3"/>
      <c r="D893" s="3"/>
      <c r="E893" s="3"/>
      <c r="H893" s="3"/>
    </row>
    <row r="894" spans="3:8" x14ac:dyDescent="0.2">
      <c r="C894" s="3"/>
      <c r="D894" s="3"/>
      <c r="E894" s="3"/>
      <c r="H894" s="3"/>
    </row>
    <row r="895" spans="3:8" x14ac:dyDescent="0.2">
      <c r="C895" s="3"/>
      <c r="D895" s="3"/>
      <c r="E895" s="3"/>
      <c r="H895" s="3"/>
    </row>
    <row r="896" spans="3:8" x14ac:dyDescent="0.2">
      <c r="C896" s="3"/>
      <c r="D896" s="3"/>
      <c r="E896" s="3"/>
      <c r="H896" s="3"/>
    </row>
    <row r="897" spans="3:8" x14ac:dyDescent="0.2">
      <c r="C897" s="3"/>
      <c r="D897" s="3"/>
      <c r="E897" s="3"/>
      <c r="H897" s="3"/>
    </row>
    <row r="898" spans="3:8" x14ac:dyDescent="0.2">
      <c r="C898" s="3"/>
      <c r="D898" s="3"/>
      <c r="E898" s="3"/>
      <c r="H898" s="3"/>
    </row>
    <row r="899" spans="3:8" x14ac:dyDescent="0.2">
      <c r="C899" s="3"/>
      <c r="D899" s="3"/>
      <c r="E899" s="3"/>
      <c r="H899" s="3"/>
    </row>
    <row r="900" spans="3:8" x14ac:dyDescent="0.2">
      <c r="C900" s="3"/>
      <c r="D900" s="3"/>
      <c r="E900" s="3"/>
      <c r="H900" s="3"/>
    </row>
    <row r="901" spans="3:8" x14ac:dyDescent="0.2">
      <c r="C901" s="3"/>
      <c r="D901" s="3"/>
      <c r="E901" s="3"/>
      <c r="H901" s="3"/>
    </row>
    <row r="902" spans="3:8" x14ac:dyDescent="0.2">
      <c r="C902" s="3"/>
      <c r="D902" s="3"/>
      <c r="E902" s="3"/>
      <c r="H902" s="3"/>
    </row>
    <row r="903" spans="3:8" x14ac:dyDescent="0.2">
      <c r="C903" s="3"/>
      <c r="D903" s="3"/>
      <c r="E903" s="3"/>
      <c r="H903" s="3"/>
    </row>
    <row r="904" spans="3:8" x14ac:dyDescent="0.2">
      <c r="C904" s="3"/>
      <c r="D904" s="3"/>
      <c r="E904" s="3"/>
      <c r="H904" s="3"/>
    </row>
    <row r="905" spans="3:8" x14ac:dyDescent="0.2">
      <c r="C905" s="3"/>
      <c r="D905" s="3"/>
      <c r="E905" s="3"/>
      <c r="H905" s="3"/>
    </row>
    <row r="906" spans="3:8" x14ac:dyDescent="0.2">
      <c r="C906" s="3"/>
      <c r="D906" s="3"/>
      <c r="E906" s="3"/>
      <c r="H906" s="3"/>
    </row>
    <row r="907" spans="3:8" x14ac:dyDescent="0.2">
      <c r="C907" s="3"/>
      <c r="D907" s="3"/>
      <c r="E907" s="3"/>
      <c r="H907" s="3"/>
    </row>
    <row r="908" spans="3:8" x14ac:dyDescent="0.2">
      <c r="C908" s="3"/>
      <c r="D908" s="3"/>
      <c r="E908" s="3"/>
      <c r="H908" s="3"/>
    </row>
    <row r="909" spans="3:8" x14ac:dyDescent="0.2">
      <c r="C909" s="3"/>
      <c r="D909" s="3"/>
      <c r="E909" s="3"/>
      <c r="H909" s="3"/>
    </row>
    <row r="910" spans="3:8" x14ac:dyDescent="0.2">
      <c r="C910" s="3"/>
      <c r="D910" s="3"/>
      <c r="E910" s="3"/>
      <c r="H910" s="3"/>
    </row>
    <row r="911" spans="3:8" x14ac:dyDescent="0.2">
      <c r="C911" s="3"/>
      <c r="D911" s="3"/>
      <c r="E911" s="3"/>
      <c r="H911" s="3"/>
    </row>
    <row r="912" spans="3:8" x14ac:dyDescent="0.2">
      <c r="C912" s="3"/>
      <c r="D912" s="3"/>
      <c r="E912" s="3"/>
      <c r="H912" s="3"/>
    </row>
    <row r="913" spans="3:8" x14ac:dyDescent="0.2">
      <c r="C913" s="3"/>
      <c r="D913" s="3"/>
      <c r="E913" s="3"/>
      <c r="H913" s="3"/>
    </row>
    <row r="914" spans="3:8" x14ac:dyDescent="0.2">
      <c r="C914" s="3"/>
      <c r="D914" s="3"/>
      <c r="E914" s="3"/>
      <c r="H914" s="3"/>
    </row>
    <row r="915" spans="3:8" x14ac:dyDescent="0.2">
      <c r="C915" s="3"/>
      <c r="D915" s="3"/>
      <c r="E915" s="3"/>
      <c r="H915" s="3"/>
    </row>
    <row r="916" spans="3:8" x14ac:dyDescent="0.2">
      <c r="C916" s="3"/>
      <c r="D916" s="3"/>
      <c r="E916" s="3"/>
      <c r="H916" s="3"/>
    </row>
    <row r="917" spans="3:8" x14ac:dyDescent="0.2">
      <c r="C917" s="3"/>
      <c r="D917" s="3"/>
      <c r="E917" s="3"/>
      <c r="H917" s="3"/>
    </row>
    <row r="918" spans="3:8" x14ac:dyDescent="0.2">
      <c r="C918" s="3"/>
      <c r="D918" s="3"/>
      <c r="E918" s="3"/>
      <c r="H918" s="3"/>
    </row>
    <row r="919" spans="3:8" x14ac:dyDescent="0.2">
      <c r="C919" s="3"/>
      <c r="D919" s="3"/>
      <c r="E919" s="3"/>
      <c r="H919" s="3"/>
    </row>
    <row r="920" spans="3:8" x14ac:dyDescent="0.2">
      <c r="C920" s="3"/>
      <c r="D920" s="3"/>
      <c r="E920" s="3"/>
      <c r="H920" s="3"/>
    </row>
    <row r="921" spans="3:8" x14ac:dyDescent="0.2">
      <c r="C921" s="3"/>
      <c r="D921" s="3"/>
      <c r="E921" s="3"/>
      <c r="H921" s="3"/>
    </row>
    <row r="922" spans="3:8" x14ac:dyDescent="0.2">
      <c r="C922" s="3"/>
      <c r="D922" s="3"/>
      <c r="E922" s="3"/>
      <c r="H922" s="3"/>
    </row>
    <row r="923" spans="3:8" x14ac:dyDescent="0.2">
      <c r="C923" s="3"/>
      <c r="D923" s="3"/>
      <c r="E923" s="3"/>
      <c r="H923" s="3"/>
    </row>
    <row r="924" spans="3:8" x14ac:dyDescent="0.2">
      <c r="C924" s="3"/>
      <c r="D924" s="3"/>
      <c r="E924" s="3"/>
      <c r="H924" s="3"/>
    </row>
    <row r="925" spans="3:8" x14ac:dyDescent="0.2">
      <c r="C925" s="3"/>
      <c r="D925" s="3"/>
      <c r="E925" s="3"/>
      <c r="H925" s="3"/>
    </row>
    <row r="926" spans="3:8" x14ac:dyDescent="0.2">
      <c r="C926" s="3"/>
      <c r="D926" s="3"/>
      <c r="E926" s="3"/>
      <c r="H926" s="3"/>
    </row>
    <row r="927" spans="3:8" x14ac:dyDescent="0.2">
      <c r="C927" s="3"/>
      <c r="D927" s="3"/>
      <c r="E927" s="3"/>
      <c r="H927" s="3"/>
    </row>
    <row r="928" spans="3:8" x14ac:dyDescent="0.2">
      <c r="C928" s="3"/>
      <c r="D928" s="3"/>
      <c r="E928" s="3"/>
      <c r="H928" s="3"/>
    </row>
    <row r="929" spans="3:8" x14ac:dyDescent="0.2">
      <c r="C929" s="3"/>
      <c r="D929" s="3"/>
      <c r="E929" s="3"/>
      <c r="H929" s="3"/>
    </row>
    <row r="930" spans="3:8" x14ac:dyDescent="0.2">
      <c r="C930" s="3"/>
      <c r="D930" s="3"/>
      <c r="E930" s="3"/>
      <c r="H930" s="3"/>
    </row>
    <row r="931" spans="3:8" x14ac:dyDescent="0.2">
      <c r="C931" s="3"/>
      <c r="D931" s="3"/>
      <c r="E931" s="3"/>
      <c r="H931" s="3"/>
    </row>
    <row r="932" spans="3:8" x14ac:dyDescent="0.2">
      <c r="C932" s="3"/>
      <c r="D932" s="3"/>
      <c r="E932" s="3"/>
      <c r="H932" s="3"/>
    </row>
    <row r="933" spans="3:8" x14ac:dyDescent="0.2">
      <c r="C933" s="3"/>
      <c r="D933" s="3"/>
      <c r="E933" s="3"/>
      <c r="H933" s="3"/>
    </row>
    <row r="934" spans="3:8" x14ac:dyDescent="0.2">
      <c r="C934" s="3"/>
      <c r="D934" s="3"/>
      <c r="E934" s="3"/>
      <c r="H934" s="3"/>
    </row>
    <row r="935" spans="3:8" x14ac:dyDescent="0.2">
      <c r="C935" s="3"/>
      <c r="D935" s="3"/>
      <c r="E935" s="3"/>
      <c r="H935" s="3"/>
    </row>
    <row r="936" spans="3:8" x14ac:dyDescent="0.2">
      <c r="C936" s="3"/>
      <c r="D936" s="3"/>
      <c r="E936" s="3"/>
      <c r="H936" s="3"/>
    </row>
    <row r="937" spans="3:8" x14ac:dyDescent="0.2">
      <c r="C937" s="3"/>
      <c r="D937" s="3"/>
      <c r="E937" s="3"/>
      <c r="H937" s="3"/>
    </row>
    <row r="938" spans="3:8" x14ac:dyDescent="0.2">
      <c r="C938" s="3"/>
      <c r="D938" s="3"/>
      <c r="E938" s="3"/>
      <c r="H938" s="3"/>
    </row>
    <row r="939" spans="3:8" x14ac:dyDescent="0.2">
      <c r="C939" s="3"/>
      <c r="D939" s="3"/>
      <c r="E939" s="3"/>
      <c r="H939" s="3"/>
    </row>
    <row r="940" spans="3:8" x14ac:dyDescent="0.2">
      <c r="C940" s="3"/>
      <c r="D940" s="3"/>
      <c r="E940" s="3"/>
      <c r="H940" s="3"/>
    </row>
    <row r="941" spans="3:8" x14ac:dyDescent="0.2">
      <c r="C941" s="3"/>
      <c r="D941" s="3"/>
      <c r="E941" s="3"/>
      <c r="H941" s="3"/>
    </row>
    <row r="942" spans="3:8" x14ac:dyDescent="0.2">
      <c r="C942" s="3"/>
      <c r="D942" s="3"/>
      <c r="E942" s="3"/>
      <c r="H942" s="3"/>
    </row>
    <row r="943" spans="3:8" x14ac:dyDescent="0.2">
      <c r="C943" s="3"/>
      <c r="D943" s="3"/>
      <c r="E943" s="3"/>
      <c r="H943" s="3"/>
    </row>
    <row r="944" spans="3:8" x14ac:dyDescent="0.2">
      <c r="C944" s="3"/>
      <c r="D944" s="3"/>
      <c r="E944" s="3"/>
      <c r="H944" s="3"/>
    </row>
    <row r="945" spans="3:8" x14ac:dyDescent="0.2">
      <c r="C945" s="3"/>
      <c r="D945" s="3"/>
      <c r="E945" s="3"/>
      <c r="H945" s="3"/>
    </row>
    <row r="946" spans="3:8" x14ac:dyDescent="0.2">
      <c r="C946" s="3"/>
      <c r="D946" s="3"/>
      <c r="E946" s="3"/>
      <c r="H946" s="3"/>
    </row>
    <row r="947" spans="3:8" x14ac:dyDescent="0.2">
      <c r="C947" s="3"/>
      <c r="D947" s="3"/>
      <c r="E947" s="3"/>
      <c r="H947" s="3"/>
    </row>
    <row r="948" spans="3:8" x14ac:dyDescent="0.2">
      <c r="C948" s="3"/>
      <c r="D948" s="3"/>
      <c r="E948" s="3"/>
      <c r="H948" s="3"/>
    </row>
    <row r="949" spans="3:8" x14ac:dyDescent="0.2">
      <c r="C949" s="3"/>
      <c r="D949" s="3"/>
      <c r="E949" s="3"/>
      <c r="H949" s="3"/>
    </row>
    <row r="950" spans="3:8" x14ac:dyDescent="0.2">
      <c r="C950" s="3"/>
      <c r="D950" s="3"/>
      <c r="E950" s="3"/>
      <c r="H950" s="3"/>
    </row>
    <row r="951" spans="3:8" x14ac:dyDescent="0.2">
      <c r="C951" s="3"/>
      <c r="D951" s="3"/>
      <c r="E951" s="3"/>
      <c r="H951" s="3"/>
    </row>
    <row r="952" spans="3:8" x14ac:dyDescent="0.2">
      <c r="C952" s="3"/>
      <c r="D952" s="3"/>
      <c r="E952" s="3"/>
      <c r="H952" s="3"/>
    </row>
    <row r="953" spans="3:8" x14ac:dyDescent="0.2">
      <c r="C953" s="3"/>
      <c r="D953" s="3"/>
      <c r="E953" s="3"/>
      <c r="H953" s="3"/>
    </row>
    <row r="954" spans="3:8" x14ac:dyDescent="0.2">
      <c r="C954" s="3"/>
      <c r="D954" s="3"/>
      <c r="E954" s="3"/>
      <c r="H954" s="3"/>
    </row>
    <row r="955" spans="3:8" x14ac:dyDescent="0.2">
      <c r="C955" s="3"/>
      <c r="D955" s="3"/>
      <c r="E955" s="3"/>
      <c r="H955" s="3"/>
    </row>
    <row r="956" spans="3:8" x14ac:dyDescent="0.2">
      <c r="C956" s="3"/>
      <c r="D956" s="3"/>
      <c r="E956" s="3"/>
      <c r="H956" s="3"/>
    </row>
    <row r="957" spans="3:8" x14ac:dyDescent="0.2">
      <c r="C957" s="3"/>
      <c r="D957" s="3"/>
      <c r="E957" s="3"/>
      <c r="H957" s="3"/>
    </row>
    <row r="958" spans="3:8" x14ac:dyDescent="0.2">
      <c r="C958" s="3"/>
      <c r="D958" s="3"/>
      <c r="E958" s="3"/>
      <c r="H958" s="3"/>
    </row>
    <row r="959" spans="3:8" x14ac:dyDescent="0.2">
      <c r="C959" s="3"/>
      <c r="D959" s="3"/>
      <c r="E959" s="3"/>
      <c r="H959" s="3"/>
    </row>
    <row r="960" spans="3:8" x14ac:dyDescent="0.2">
      <c r="C960" s="3"/>
      <c r="D960" s="3"/>
      <c r="E960" s="3"/>
      <c r="H960" s="3"/>
    </row>
    <row r="961" spans="3:8" x14ac:dyDescent="0.2">
      <c r="C961" s="3"/>
      <c r="D961" s="3"/>
      <c r="E961" s="3"/>
      <c r="H961" s="3"/>
    </row>
    <row r="962" spans="3:8" x14ac:dyDescent="0.2">
      <c r="C962" s="3"/>
      <c r="D962" s="3"/>
      <c r="E962" s="3"/>
      <c r="H962" s="3"/>
    </row>
    <row r="963" spans="3:8" x14ac:dyDescent="0.2">
      <c r="C963" s="3"/>
      <c r="D963" s="3"/>
      <c r="E963" s="3"/>
      <c r="H963" s="3"/>
    </row>
    <row r="964" spans="3:8" x14ac:dyDescent="0.2">
      <c r="C964" s="3"/>
      <c r="D964" s="3"/>
      <c r="E964" s="3"/>
      <c r="H964" s="3"/>
    </row>
    <row r="965" spans="3:8" x14ac:dyDescent="0.2">
      <c r="C965" s="3"/>
      <c r="D965" s="3"/>
      <c r="E965" s="3"/>
      <c r="H965" s="3"/>
    </row>
    <row r="966" spans="3:8" x14ac:dyDescent="0.2">
      <c r="C966" s="3"/>
      <c r="D966" s="3"/>
      <c r="E966" s="3"/>
      <c r="H966" s="3"/>
    </row>
    <row r="967" spans="3:8" x14ac:dyDescent="0.2">
      <c r="C967" s="3"/>
      <c r="D967" s="3"/>
      <c r="E967" s="3"/>
      <c r="H967" s="3"/>
    </row>
    <row r="968" spans="3:8" x14ac:dyDescent="0.2">
      <c r="C968" s="3"/>
      <c r="D968" s="3"/>
      <c r="E968" s="3"/>
      <c r="H968" s="3"/>
    </row>
    <row r="969" spans="3:8" x14ac:dyDescent="0.2">
      <c r="C969" s="3"/>
      <c r="D969" s="3"/>
      <c r="E969" s="3"/>
      <c r="H969" s="3"/>
    </row>
    <row r="970" spans="3:8" x14ac:dyDescent="0.2">
      <c r="C970" s="3"/>
      <c r="D970" s="3"/>
      <c r="E970" s="3"/>
      <c r="H970" s="3"/>
    </row>
    <row r="971" spans="3:8" x14ac:dyDescent="0.2">
      <c r="C971" s="3"/>
      <c r="D971" s="3"/>
      <c r="E971" s="3"/>
      <c r="H971" s="3"/>
    </row>
    <row r="972" spans="3:8" x14ac:dyDescent="0.2">
      <c r="C972" s="3"/>
      <c r="D972" s="3"/>
      <c r="E972" s="3"/>
      <c r="H972" s="3"/>
    </row>
    <row r="973" spans="3:8" x14ac:dyDescent="0.2">
      <c r="C973" s="3"/>
      <c r="D973" s="3"/>
      <c r="E973" s="3"/>
      <c r="H973" s="3"/>
    </row>
    <row r="974" spans="3:8" x14ac:dyDescent="0.2">
      <c r="C974" s="3"/>
      <c r="D974" s="3"/>
      <c r="E974" s="3"/>
      <c r="H974" s="3"/>
    </row>
    <row r="975" spans="3:8" x14ac:dyDescent="0.2">
      <c r="C975" s="3"/>
      <c r="D975" s="3"/>
      <c r="E975" s="3"/>
      <c r="H975" s="3"/>
    </row>
    <row r="976" spans="3:8" x14ac:dyDescent="0.2">
      <c r="C976" s="3"/>
      <c r="D976" s="3"/>
      <c r="E976" s="3"/>
      <c r="H976" s="3"/>
    </row>
    <row r="977" spans="3:8" x14ac:dyDescent="0.2">
      <c r="C977" s="3"/>
      <c r="D977" s="3"/>
      <c r="E977" s="3"/>
      <c r="H977" s="3"/>
    </row>
    <row r="978" spans="3:8" x14ac:dyDescent="0.2">
      <c r="C978" s="3"/>
      <c r="D978" s="3"/>
      <c r="E978" s="3"/>
      <c r="H978" s="3"/>
    </row>
    <row r="979" spans="3:8" x14ac:dyDescent="0.2">
      <c r="C979" s="3"/>
      <c r="D979" s="3"/>
      <c r="E979" s="3"/>
      <c r="H979" s="3"/>
    </row>
    <row r="980" spans="3:8" x14ac:dyDescent="0.2">
      <c r="C980" s="3"/>
      <c r="D980" s="3"/>
      <c r="E980" s="3"/>
      <c r="H980" s="3"/>
    </row>
    <row r="981" spans="3:8" x14ac:dyDescent="0.2">
      <c r="C981" s="3"/>
      <c r="D981" s="3"/>
      <c r="E981" s="3"/>
      <c r="H981" s="3"/>
    </row>
    <row r="982" spans="3:8" x14ac:dyDescent="0.2">
      <c r="C982" s="3"/>
      <c r="D982" s="3"/>
      <c r="E982" s="3"/>
      <c r="H982" s="3"/>
    </row>
    <row r="983" spans="3:8" x14ac:dyDescent="0.2">
      <c r="C983" s="3"/>
      <c r="D983" s="3"/>
      <c r="E983" s="3"/>
      <c r="H983" s="3"/>
    </row>
    <row r="984" spans="3:8" x14ac:dyDescent="0.2">
      <c r="C984" s="3"/>
      <c r="D984" s="3"/>
      <c r="E984" s="3"/>
      <c r="H984" s="3"/>
    </row>
    <row r="985" spans="3:8" x14ac:dyDescent="0.2">
      <c r="C985" s="3"/>
      <c r="D985" s="3"/>
      <c r="E985" s="3"/>
      <c r="H985" s="3"/>
    </row>
    <row r="986" spans="3:8" x14ac:dyDescent="0.2">
      <c r="C986" s="3"/>
      <c r="D986" s="3"/>
      <c r="E986" s="3"/>
      <c r="H986" s="3"/>
    </row>
    <row r="987" spans="3:8" x14ac:dyDescent="0.2">
      <c r="C987" s="3"/>
      <c r="D987" s="3"/>
      <c r="E987" s="3"/>
      <c r="H987" s="3"/>
    </row>
    <row r="988" spans="3:8" x14ac:dyDescent="0.2">
      <c r="C988" s="3"/>
      <c r="D988" s="3"/>
      <c r="E988" s="3"/>
      <c r="H988" s="3"/>
    </row>
    <row r="989" spans="3:8" x14ac:dyDescent="0.2">
      <c r="C989" s="3"/>
      <c r="D989" s="3"/>
      <c r="E989" s="3"/>
      <c r="H989" s="3"/>
    </row>
    <row r="990" spans="3:8" x14ac:dyDescent="0.2">
      <c r="C990" s="3"/>
      <c r="D990" s="3"/>
      <c r="E990" s="3"/>
      <c r="H990" s="3"/>
    </row>
    <row r="991" spans="3:8" x14ac:dyDescent="0.2">
      <c r="C991" s="3"/>
      <c r="D991" s="3"/>
      <c r="E991" s="3"/>
      <c r="H991" s="3"/>
    </row>
    <row r="992" spans="3:8" x14ac:dyDescent="0.2">
      <c r="C992" s="3"/>
      <c r="D992" s="3"/>
      <c r="E992" s="3"/>
      <c r="H992" s="3"/>
    </row>
    <row r="993" spans="3:8" x14ac:dyDescent="0.2">
      <c r="C993" s="3"/>
      <c r="D993" s="3"/>
      <c r="E993" s="3"/>
      <c r="H993" s="3"/>
    </row>
    <row r="994" spans="3:8" x14ac:dyDescent="0.2">
      <c r="C994" s="3"/>
      <c r="D994" s="3"/>
      <c r="E994" s="3"/>
      <c r="H994" s="3"/>
    </row>
    <row r="995" spans="3:8" x14ac:dyDescent="0.2">
      <c r="C995" s="3"/>
      <c r="D995" s="3"/>
      <c r="E995" s="3"/>
      <c r="H995" s="3"/>
    </row>
    <row r="996" spans="3:8" x14ac:dyDescent="0.2">
      <c r="C996" s="3"/>
      <c r="D996" s="3"/>
      <c r="E996" s="3"/>
      <c r="H996" s="3"/>
    </row>
    <row r="997" spans="3:8" x14ac:dyDescent="0.2">
      <c r="C997" s="3"/>
      <c r="D997" s="3"/>
      <c r="E997" s="3"/>
      <c r="H997" s="3"/>
    </row>
    <row r="998" spans="3:8" x14ac:dyDescent="0.2">
      <c r="C998" s="3"/>
      <c r="D998" s="3"/>
      <c r="E998" s="3"/>
      <c r="H998" s="3"/>
    </row>
    <row r="999" spans="3:8" x14ac:dyDescent="0.2">
      <c r="C999" s="3"/>
      <c r="D999" s="3"/>
      <c r="E999" s="3"/>
      <c r="H999" s="3"/>
    </row>
    <row r="1000" spans="3:8" x14ac:dyDescent="0.2">
      <c r="C1000" s="3"/>
      <c r="D1000" s="3"/>
      <c r="E1000" s="3"/>
      <c r="H1000" s="3"/>
    </row>
    <row r="1001" spans="3:8" x14ac:dyDescent="0.2">
      <c r="C1001" s="3"/>
      <c r="D1001" s="3"/>
      <c r="E1001" s="3"/>
      <c r="H1001" s="3"/>
    </row>
    <row r="1002" spans="3:8" x14ac:dyDescent="0.2">
      <c r="C1002" s="3"/>
      <c r="D1002" s="3"/>
      <c r="E1002" s="3"/>
      <c r="H1002" s="3"/>
    </row>
    <row r="1003" spans="3:8" x14ac:dyDescent="0.2">
      <c r="C1003" s="3"/>
      <c r="D1003" s="3"/>
      <c r="E1003" s="3"/>
      <c r="H1003" s="3"/>
    </row>
    <row r="1004" spans="3:8" x14ac:dyDescent="0.2">
      <c r="C1004" s="3"/>
      <c r="D1004" s="3"/>
      <c r="E1004" s="3"/>
      <c r="H1004" s="3"/>
    </row>
    <row r="1005" spans="3:8" x14ac:dyDescent="0.2">
      <c r="C1005" s="3"/>
      <c r="D1005" s="3"/>
      <c r="E1005" s="3"/>
      <c r="H1005" s="3"/>
    </row>
    <row r="1006" spans="3:8" x14ac:dyDescent="0.2">
      <c r="C1006" s="3"/>
      <c r="D1006" s="3"/>
      <c r="E1006" s="3"/>
      <c r="H1006" s="3"/>
    </row>
    <row r="1007" spans="3:8" x14ac:dyDescent="0.2">
      <c r="C1007" s="3"/>
      <c r="D1007" s="3"/>
      <c r="E1007" s="3"/>
      <c r="H1007" s="3"/>
    </row>
    <row r="1008" spans="3:8" x14ac:dyDescent="0.2">
      <c r="C1008" s="3"/>
      <c r="D1008" s="3"/>
      <c r="E1008" s="3"/>
      <c r="H1008" s="3"/>
    </row>
    <row r="1009" spans="3:8" x14ac:dyDescent="0.2">
      <c r="C1009" s="3"/>
      <c r="D1009" s="3"/>
      <c r="E1009" s="3"/>
      <c r="H1009" s="3"/>
    </row>
    <row r="1010" spans="3:8" x14ac:dyDescent="0.2">
      <c r="C1010" s="3"/>
      <c r="D1010" s="3"/>
      <c r="E1010" s="3"/>
      <c r="H1010" s="3"/>
    </row>
    <row r="1011" spans="3:8" x14ac:dyDescent="0.2">
      <c r="C1011" s="3"/>
      <c r="D1011" s="3"/>
      <c r="E1011" s="3"/>
      <c r="H1011" s="3"/>
    </row>
    <row r="1012" spans="3:8" x14ac:dyDescent="0.2">
      <c r="C1012" s="3"/>
      <c r="D1012" s="3"/>
      <c r="E1012" s="3"/>
      <c r="H1012" s="3"/>
    </row>
    <row r="1013" spans="3:8" x14ac:dyDescent="0.2">
      <c r="C1013" s="3"/>
      <c r="D1013" s="3"/>
      <c r="E1013" s="3"/>
      <c r="H1013" s="3"/>
    </row>
    <row r="1014" spans="3:8" x14ac:dyDescent="0.2">
      <c r="C1014" s="3"/>
      <c r="D1014" s="3"/>
      <c r="E1014" s="3"/>
      <c r="H1014" s="3"/>
    </row>
    <row r="1015" spans="3:8" x14ac:dyDescent="0.2">
      <c r="C1015" s="3"/>
      <c r="D1015" s="3"/>
      <c r="E1015" s="3"/>
      <c r="H1015" s="3"/>
    </row>
    <row r="1016" spans="3:8" x14ac:dyDescent="0.2">
      <c r="C1016" s="3"/>
      <c r="D1016" s="3"/>
      <c r="E1016" s="3"/>
      <c r="H1016" s="3"/>
    </row>
    <row r="1017" spans="3:8" x14ac:dyDescent="0.2">
      <c r="C1017" s="3"/>
      <c r="D1017" s="3"/>
      <c r="E1017" s="3"/>
      <c r="H1017" s="3"/>
    </row>
    <row r="1018" spans="3:8" x14ac:dyDescent="0.2">
      <c r="C1018" s="3"/>
      <c r="D1018" s="3"/>
      <c r="E1018" s="3"/>
      <c r="H1018" s="3"/>
    </row>
    <row r="1019" spans="3:8" x14ac:dyDescent="0.2">
      <c r="C1019" s="3"/>
      <c r="D1019" s="3"/>
      <c r="E1019" s="3"/>
      <c r="H1019" s="3"/>
    </row>
    <row r="1020" spans="3:8" x14ac:dyDescent="0.2">
      <c r="C1020" s="3"/>
      <c r="D1020" s="3"/>
      <c r="E1020" s="3"/>
      <c r="H1020" s="3"/>
    </row>
    <row r="1021" spans="3:8" x14ac:dyDescent="0.2">
      <c r="C1021" s="3"/>
      <c r="D1021" s="3"/>
      <c r="E1021" s="3"/>
      <c r="H1021" s="3"/>
    </row>
    <row r="1022" spans="3:8" x14ac:dyDescent="0.2">
      <c r="C1022" s="3"/>
      <c r="D1022" s="3"/>
      <c r="E1022" s="3"/>
      <c r="H1022" s="3"/>
    </row>
    <row r="1023" spans="3:8" x14ac:dyDescent="0.2">
      <c r="C1023" s="3"/>
      <c r="D1023" s="3"/>
      <c r="E1023" s="3"/>
      <c r="H1023" s="3"/>
    </row>
    <row r="1024" spans="3:8" x14ac:dyDescent="0.2">
      <c r="C1024" s="3"/>
      <c r="D1024" s="3"/>
      <c r="E1024" s="3"/>
      <c r="H1024" s="3"/>
    </row>
    <row r="1025" spans="3:8" x14ac:dyDescent="0.2">
      <c r="C1025" s="3"/>
      <c r="D1025" s="3"/>
      <c r="E1025" s="3"/>
      <c r="H1025" s="3"/>
    </row>
    <row r="1026" spans="3:8" x14ac:dyDescent="0.2">
      <c r="C1026" s="3"/>
      <c r="D1026" s="3"/>
      <c r="E1026" s="3"/>
      <c r="H1026" s="3"/>
    </row>
    <row r="1027" spans="3:8" x14ac:dyDescent="0.2">
      <c r="C1027" s="3"/>
      <c r="D1027" s="3"/>
      <c r="E1027" s="3"/>
      <c r="H1027" s="3"/>
    </row>
    <row r="1028" spans="3:8" x14ac:dyDescent="0.2">
      <c r="C1028" s="3"/>
      <c r="D1028" s="3"/>
      <c r="E1028" s="3"/>
      <c r="H1028" s="3"/>
    </row>
    <row r="1029" spans="3:8" x14ac:dyDescent="0.2">
      <c r="C1029" s="3"/>
      <c r="D1029" s="3"/>
      <c r="E1029" s="3"/>
      <c r="H1029" s="3"/>
    </row>
    <row r="1030" spans="3:8" x14ac:dyDescent="0.2">
      <c r="C1030" s="3"/>
      <c r="D1030" s="3"/>
      <c r="E1030" s="3"/>
      <c r="H1030" s="3"/>
    </row>
    <row r="1031" spans="3:8" x14ac:dyDescent="0.2">
      <c r="C1031" s="3"/>
      <c r="D1031" s="3"/>
      <c r="E1031" s="3"/>
      <c r="H1031" s="3"/>
    </row>
    <row r="1032" spans="3:8" x14ac:dyDescent="0.2">
      <c r="C1032" s="3"/>
      <c r="D1032" s="3"/>
      <c r="E1032" s="3"/>
      <c r="H1032" s="3"/>
    </row>
    <row r="1033" spans="3:8" x14ac:dyDescent="0.2">
      <c r="C1033" s="3"/>
      <c r="D1033" s="3"/>
      <c r="E1033" s="3"/>
      <c r="H1033" s="3"/>
    </row>
    <row r="1034" spans="3:8" x14ac:dyDescent="0.2">
      <c r="C1034" s="3"/>
      <c r="D1034" s="3"/>
      <c r="E1034" s="3"/>
      <c r="H1034" s="3"/>
    </row>
    <row r="1035" spans="3:8" x14ac:dyDescent="0.2">
      <c r="C1035" s="3"/>
      <c r="D1035" s="3"/>
      <c r="E1035" s="3"/>
      <c r="H1035" s="3"/>
    </row>
    <row r="1036" spans="3:8" x14ac:dyDescent="0.2">
      <c r="C1036" s="3"/>
      <c r="D1036" s="3"/>
      <c r="E1036" s="3"/>
      <c r="H1036" s="3"/>
    </row>
    <row r="1037" spans="3:8" x14ac:dyDescent="0.2">
      <c r="C1037" s="3"/>
      <c r="D1037" s="3"/>
      <c r="E1037" s="3"/>
      <c r="H1037" s="3"/>
    </row>
    <row r="1038" spans="3:8" x14ac:dyDescent="0.2">
      <c r="C1038" s="3"/>
      <c r="D1038" s="3"/>
      <c r="E1038" s="3"/>
      <c r="H1038" s="3"/>
    </row>
    <row r="1039" spans="3:8" x14ac:dyDescent="0.2">
      <c r="C1039" s="3"/>
      <c r="D1039" s="3"/>
      <c r="E1039" s="3"/>
      <c r="H1039" s="3"/>
    </row>
    <row r="1040" spans="3:8" x14ac:dyDescent="0.2">
      <c r="C1040" s="3"/>
      <c r="D1040" s="3"/>
      <c r="E1040" s="3"/>
      <c r="H1040" s="3"/>
    </row>
    <row r="1041" spans="3:8" x14ac:dyDescent="0.2">
      <c r="C1041" s="3"/>
      <c r="D1041" s="3"/>
      <c r="E1041" s="3"/>
      <c r="H1041" s="3"/>
    </row>
    <row r="1042" spans="3:8" x14ac:dyDescent="0.2">
      <c r="C1042" s="3"/>
      <c r="D1042" s="3"/>
      <c r="E1042" s="3"/>
      <c r="H1042" s="3"/>
    </row>
    <row r="1043" spans="3:8" x14ac:dyDescent="0.2">
      <c r="C1043" s="3"/>
      <c r="D1043" s="3"/>
      <c r="E1043" s="3"/>
      <c r="H1043" s="3"/>
    </row>
    <row r="1044" spans="3:8" x14ac:dyDescent="0.2">
      <c r="C1044" s="3"/>
      <c r="D1044" s="3"/>
      <c r="E1044" s="3"/>
      <c r="H1044" s="3"/>
    </row>
    <row r="1045" spans="3:8" x14ac:dyDescent="0.2">
      <c r="C1045" s="3"/>
      <c r="D1045" s="3"/>
      <c r="E1045" s="3"/>
      <c r="H1045" s="3"/>
    </row>
    <row r="1046" spans="3:8" x14ac:dyDescent="0.2">
      <c r="C1046" s="3"/>
      <c r="D1046" s="3"/>
      <c r="E1046" s="3"/>
      <c r="H1046" s="3"/>
    </row>
    <row r="1047" spans="3:8" x14ac:dyDescent="0.2">
      <c r="C1047" s="3"/>
      <c r="D1047" s="3"/>
      <c r="E1047" s="3"/>
      <c r="H1047" s="3"/>
    </row>
    <row r="1048" spans="3:8" x14ac:dyDescent="0.2">
      <c r="C1048" s="3"/>
      <c r="D1048" s="3"/>
      <c r="E1048" s="3"/>
      <c r="H1048" s="3"/>
    </row>
    <row r="1049" spans="3:8" x14ac:dyDescent="0.2">
      <c r="C1049" s="3"/>
      <c r="D1049" s="3"/>
      <c r="E1049" s="3"/>
      <c r="H1049" s="3"/>
    </row>
    <row r="1050" spans="3:8" x14ac:dyDescent="0.2">
      <c r="C1050" s="3"/>
      <c r="D1050" s="3"/>
      <c r="E1050" s="3"/>
      <c r="H1050" s="3"/>
    </row>
    <row r="1051" spans="3:8" x14ac:dyDescent="0.2">
      <c r="C1051" s="3"/>
      <c r="D1051" s="3"/>
      <c r="E1051" s="3"/>
      <c r="H1051" s="3"/>
    </row>
    <row r="1052" spans="3:8" x14ac:dyDescent="0.2">
      <c r="C1052" s="3"/>
      <c r="D1052" s="3"/>
      <c r="E1052" s="3"/>
      <c r="H1052" s="3"/>
    </row>
    <row r="1053" spans="3:8" x14ac:dyDescent="0.2">
      <c r="C1053" s="3"/>
      <c r="D1053" s="3"/>
      <c r="E1053" s="3"/>
      <c r="H1053" s="3"/>
    </row>
    <row r="1054" spans="3:8" x14ac:dyDescent="0.2">
      <c r="C1054" s="3"/>
      <c r="D1054" s="3"/>
      <c r="E1054" s="3"/>
      <c r="H1054" s="3"/>
    </row>
    <row r="1055" spans="3:8" x14ac:dyDescent="0.2">
      <c r="C1055" s="3"/>
      <c r="D1055" s="3"/>
      <c r="E1055" s="3"/>
      <c r="H1055" s="3"/>
    </row>
    <row r="1056" spans="3:8" x14ac:dyDescent="0.2">
      <c r="C1056" s="3"/>
      <c r="D1056" s="3"/>
      <c r="E1056" s="3"/>
      <c r="H1056" s="3"/>
    </row>
    <row r="1057" spans="3:8" x14ac:dyDescent="0.2">
      <c r="C1057" s="3"/>
      <c r="D1057" s="3"/>
      <c r="E1057" s="3"/>
      <c r="H1057" s="3"/>
    </row>
    <row r="1058" spans="3:8" x14ac:dyDescent="0.2">
      <c r="C1058" s="3"/>
      <c r="D1058" s="3"/>
      <c r="E1058" s="3"/>
      <c r="H1058" s="3"/>
    </row>
    <row r="1059" spans="3:8" x14ac:dyDescent="0.2">
      <c r="C1059" s="3"/>
      <c r="D1059" s="3"/>
      <c r="E1059" s="3"/>
      <c r="H1059" s="3"/>
    </row>
    <row r="1060" spans="3:8" x14ac:dyDescent="0.2">
      <c r="C1060" s="3"/>
      <c r="D1060" s="3"/>
      <c r="E1060" s="3"/>
      <c r="H1060" s="3"/>
    </row>
    <row r="1061" spans="3:8" x14ac:dyDescent="0.2">
      <c r="C1061" s="3"/>
      <c r="D1061" s="3"/>
      <c r="E1061" s="3"/>
      <c r="H1061" s="3"/>
    </row>
    <row r="1062" spans="3:8" x14ac:dyDescent="0.2">
      <c r="C1062" s="3"/>
      <c r="D1062" s="3"/>
      <c r="E1062" s="3"/>
      <c r="H1062" s="3"/>
    </row>
    <row r="1063" spans="3:8" x14ac:dyDescent="0.2">
      <c r="C1063" s="3"/>
      <c r="D1063" s="3"/>
      <c r="E1063" s="3"/>
      <c r="H1063" s="3"/>
    </row>
    <row r="1064" spans="3:8" x14ac:dyDescent="0.2">
      <c r="C1064" s="3"/>
      <c r="D1064" s="3"/>
      <c r="E1064" s="3"/>
      <c r="H1064" s="3"/>
    </row>
    <row r="1065" spans="3:8" x14ac:dyDescent="0.2">
      <c r="C1065" s="3"/>
      <c r="D1065" s="3"/>
      <c r="E1065" s="3"/>
      <c r="H1065" s="3"/>
    </row>
    <row r="1066" spans="3:8" x14ac:dyDescent="0.2">
      <c r="C1066" s="3"/>
      <c r="D1066" s="3"/>
      <c r="E1066" s="3"/>
      <c r="H1066" s="3"/>
    </row>
    <row r="1067" spans="3:8" x14ac:dyDescent="0.2">
      <c r="C1067" s="3"/>
      <c r="D1067" s="3"/>
      <c r="E1067" s="3"/>
      <c r="H1067" s="3"/>
    </row>
    <row r="1068" spans="3:8" x14ac:dyDescent="0.2">
      <c r="C1068" s="3"/>
      <c r="D1068" s="3"/>
      <c r="E1068" s="3"/>
      <c r="H1068" s="3"/>
    </row>
    <row r="1069" spans="3:8" x14ac:dyDescent="0.2">
      <c r="C1069" s="3"/>
      <c r="D1069" s="3"/>
      <c r="E1069" s="3"/>
      <c r="H1069" s="3"/>
    </row>
    <row r="1070" spans="3:8" x14ac:dyDescent="0.2">
      <c r="C1070" s="3"/>
      <c r="D1070" s="3"/>
      <c r="E1070" s="3"/>
      <c r="H1070" s="3"/>
    </row>
    <row r="1071" spans="3:8" x14ac:dyDescent="0.2">
      <c r="C1071" s="3"/>
      <c r="D1071" s="3"/>
      <c r="E1071" s="3"/>
      <c r="H1071" s="3"/>
    </row>
    <row r="1072" spans="3:8" x14ac:dyDescent="0.2">
      <c r="C1072" s="3"/>
      <c r="D1072" s="3"/>
      <c r="E1072" s="3"/>
      <c r="H1072" s="3"/>
    </row>
    <row r="1073" spans="3:8" x14ac:dyDescent="0.2">
      <c r="C1073" s="3"/>
      <c r="D1073" s="3"/>
      <c r="E1073" s="3"/>
      <c r="H1073" s="3"/>
    </row>
    <row r="1074" spans="3:8" x14ac:dyDescent="0.2">
      <c r="C1074" s="3"/>
      <c r="D1074" s="3"/>
      <c r="E1074" s="3"/>
      <c r="H1074" s="3"/>
    </row>
    <row r="1075" spans="3:8" x14ac:dyDescent="0.2">
      <c r="C1075" s="3"/>
      <c r="D1075" s="3"/>
      <c r="E1075" s="3"/>
      <c r="H1075" s="3"/>
    </row>
    <row r="1076" spans="3:8" x14ac:dyDescent="0.2">
      <c r="C1076" s="3"/>
      <c r="D1076" s="3"/>
      <c r="E1076" s="3"/>
      <c r="H1076" s="3"/>
    </row>
    <row r="1077" spans="3:8" x14ac:dyDescent="0.2">
      <c r="C1077" s="3"/>
      <c r="D1077" s="3"/>
      <c r="E1077" s="3"/>
      <c r="H1077" s="3"/>
    </row>
    <row r="1078" spans="3:8" x14ac:dyDescent="0.2">
      <c r="C1078" s="3"/>
      <c r="D1078" s="3"/>
      <c r="E1078" s="3"/>
      <c r="H1078" s="3"/>
    </row>
    <row r="1079" spans="3:8" x14ac:dyDescent="0.2">
      <c r="C1079" s="3"/>
      <c r="D1079" s="3"/>
      <c r="E1079" s="3"/>
      <c r="H1079" s="3"/>
    </row>
    <row r="1080" spans="3:8" x14ac:dyDescent="0.2">
      <c r="C1080" s="3"/>
      <c r="D1080" s="3"/>
      <c r="E1080" s="3"/>
      <c r="H1080" s="3"/>
    </row>
    <row r="1081" spans="3:8" x14ac:dyDescent="0.2">
      <c r="C1081" s="3"/>
      <c r="D1081" s="3"/>
      <c r="E1081" s="3"/>
      <c r="H1081" s="3"/>
    </row>
    <row r="1082" spans="3:8" x14ac:dyDescent="0.2">
      <c r="C1082" s="3"/>
      <c r="D1082" s="3"/>
      <c r="E1082" s="3"/>
      <c r="H1082" s="3"/>
    </row>
    <row r="1083" spans="3:8" x14ac:dyDescent="0.2">
      <c r="C1083" s="3"/>
      <c r="D1083" s="3"/>
      <c r="E1083" s="3"/>
      <c r="H1083" s="3"/>
    </row>
    <row r="1084" spans="3:8" x14ac:dyDescent="0.2">
      <c r="C1084" s="3"/>
      <c r="D1084" s="3"/>
      <c r="E1084" s="3"/>
      <c r="H1084" s="3"/>
    </row>
    <row r="1085" spans="3:8" x14ac:dyDescent="0.2">
      <c r="C1085" s="3"/>
      <c r="D1085" s="3"/>
      <c r="E1085" s="3"/>
      <c r="H1085" s="3"/>
    </row>
    <row r="1086" spans="3:8" x14ac:dyDescent="0.2">
      <c r="C1086" s="3"/>
      <c r="D1086" s="3"/>
      <c r="E1086" s="3"/>
      <c r="H1086" s="3"/>
    </row>
    <row r="1087" spans="3:8" x14ac:dyDescent="0.2">
      <c r="C1087" s="3"/>
      <c r="D1087" s="3"/>
      <c r="E1087" s="3"/>
      <c r="H1087" s="3"/>
    </row>
    <row r="1088" spans="3:8" x14ac:dyDescent="0.2">
      <c r="C1088" s="3"/>
      <c r="D1088" s="3"/>
      <c r="E1088" s="3"/>
      <c r="H1088" s="3"/>
    </row>
    <row r="1089" spans="3:8" x14ac:dyDescent="0.2">
      <c r="C1089" s="3"/>
      <c r="D1089" s="3"/>
      <c r="E1089" s="3"/>
      <c r="H1089" s="3"/>
    </row>
    <row r="1090" spans="3:8" x14ac:dyDescent="0.2">
      <c r="C1090" s="3"/>
      <c r="D1090" s="3"/>
      <c r="E1090" s="3"/>
      <c r="H1090" s="3"/>
    </row>
    <row r="1091" spans="3:8" x14ac:dyDescent="0.2">
      <c r="C1091" s="3"/>
      <c r="D1091" s="3"/>
      <c r="E1091" s="3"/>
      <c r="H1091" s="3"/>
    </row>
    <row r="1092" spans="3:8" x14ac:dyDescent="0.2">
      <c r="C1092" s="3"/>
      <c r="D1092" s="3"/>
      <c r="E1092" s="3"/>
      <c r="H1092" s="3"/>
    </row>
    <row r="1093" spans="3:8" x14ac:dyDescent="0.2">
      <c r="C1093" s="3"/>
      <c r="D1093" s="3"/>
      <c r="E1093" s="3"/>
      <c r="H1093" s="3"/>
    </row>
    <row r="1094" spans="3:8" x14ac:dyDescent="0.2">
      <c r="C1094" s="3"/>
      <c r="D1094" s="3"/>
      <c r="E1094" s="3"/>
      <c r="H1094" s="3"/>
    </row>
    <row r="1095" spans="3:8" x14ac:dyDescent="0.2">
      <c r="C1095" s="3"/>
      <c r="D1095" s="3"/>
      <c r="E1095" s="3"/>
      <c r="H1095" s="3"/>
    </row>
    <row r="1096" spans="3:8" x14ac:dyDescent="0.2">
      <c r="C1096" s="3"/>
      <c r="D1096" s="3"/>
      <c r="E1096" s="3"/>
      <c r="H1096" s="3"/>
    </row>
    <row r="1097" spans="3:8" x14ac:dyDescent="0.2">
      <c r="C1097" s="3"/>
      <c r="D1097" s="3"/>
      <c r="E1097" s="3"/>
      <c r="H1097" s="3"/>
    </row>
    <row r="1098" spans="3:8" x14ac:dyDescent="0.2">
      <c r="C1098" s="3"/>
      <c r="D1098" s="3"/>
      <c r="E1098" s="3"/>
      <c r="H1098" s="3"/>
    </row>
    <row r="1099" spans="3:8" x14ac:dyDescent="0.2">
      <c r="C1099" s="3"/>
      <c r="D1099" s="3"/>
      <c r="E1099" s="3"/>
      <c r="H1099" s="3"/>
    </row>
    <row r="1100" spans="3:8" x14ac:dyDescent="0.2">
      <c r="C1100" s="3"/>
      <c r="D1100" s="3"/>
      <c r="E1100" s="3"/>
      <c r="H1100" s="3"/>
    </row>
    <row r="1101" spans="3:8" x14ac:dyDescent="0.2">
      <c r="C1101" s="3"/>
      <c r="D1101" s="3"/>
      <c r="E1101" s="3"/>
      <c r="H1101" s="3"/>
    </row>
    <row r="1102" spans="3:8" x14ac:dyDescent="0.2">
      <c r="C1102" s="3"/>
      <c r="D1102" s="3"/>
      <c r="E1102" s="3"/>
      <c r="H1102" s="3"/>
    </row>
    <row r="1103" spans="3:8" x14ac:dyDescent="0.2">
      <c r="C1103" s="3"/>
      <c r="D1103" s="3"/>
      <c r="E1103" s="3"/>
      <c r="H1103" s="3"/>
    </row>
    <row r="1104" spans="3:8" x14ac:dyDescent="0.2">
      <c r="C1104" s="3"/>
      <c r="D1104" s="3"/>
      <c r="E1104" s="3"/>
      <c r="H1104" s="3"/>
    </row>
    <row r="1105" spans="3:8" x14ac:dyDescent="0.2">
      <c r="C1105" s="3"/>
      <c r="D1105" s="3"/>
      <c r="E1105" s="3"/>
      <c r="H1105" s="3"/>
    </row>
    <row r="1106" spans="3:8" x14ac:dyDescent="0.2">
      <c r="C1106" s="3"/>
      <c r="D1106" s="3"/>
      <c r="E1106" s="3"/>
      <c r="H1106" s="3"/>
    </row>
    <row r="1107" spans="3:8" x14ac:dyDescent="0.2">
      <c r="C1107" s="3"/>
      <c r="D1107" s="3"/>
      <c r="E1107" s="3"/>
      <c r="H1107" s="3"/>
    </row>
    <row r="1108" spans="3:8" x14ac:dyDescent="0.2">
      <c r="C1108" s="3"/>
      <c r="D1108" s="3"/>
      <c r="E1108" s="3"/>
      <c r="H1108" s="3"/>
    </row>
    <row r="1109" spans="3:8" x14ac:dyDescent="0.2">
      <c r="C1109" s="3"/>
      <c r="D1109" s="3"/>
      <c r="E1109" s="3"/>
      <c r="H1109" s="3"/>
    </row>
    <row r="1110" spans="3:8" x14ac:dyDescent="0.2">
      <c r="C1110" s="3"/>
      <c r="D1110" s="3"/>
      <c r="E1110" s="3"/>
      <c r="H1110" s="3"/>
    </row>
    <row r="1111" spans="3:8" x14ac:dyDescent="0.2">
      <c r="C1111" s="3"/>
      <c r="D1111" s="3"/>
      <c r="E1111" s="3"/>
      <c r="H1111" s="3"/>
    </row>
    <row r="1112" spans="3:8" x14ac:dyDescent="0.2">
      <c r="C1112" s="3"/>
      <c r="D1112" s="3"/>
      <c r="E1112" s="3"/>
      <c r="H1112" s="3"/>
    </row>
    <row r="1113" spans="3:8" x14ac:dyDescent="0.2">
      <c r="C1113" s="3"/>
      <c r="D1113" s="3"/>
      <c r="E1113" s="3"/>
      <c r="H1113" s="3"/>
    </row>
    <row r="1114" spans="3:8" x14ac:dyDescent="0.2">
      <c r="C1114" s="3"/>
      <c r="D1114" s="3"/>
      <c r="E1114" s="3"/>
      <c r="H1114" s="3"/>
    </row>
    <row r="1115" spans="3:8" x14ac:dyDescent="0.2">
      <c r="C1115" s="3"/>
      <c r="D1115" s="3"/>
      <c r="E1115" s="3"/>
      <c r="H1115" s="3"/>
    </row>
    <row r="1116" spans="3:8" x14ac:dyDescent="0.2">
      <c r="C1116" s="3"/>
      <c r="D1116" s="3"/>
      <c r="E1116" s="3"/>
      <c r="H1116" s="3"/>
    </row>
    <row r="1117" spans="3:8" x14ac:dyDescent="0.2">
      <c r="C1117" s="3"/>
      <c r="D1117" s="3"/>
      <c r="E1117" s="3"/>
      <c r="H1117" s="3"/>
    </row>
    <row r="1118" spans="3:8" x14ac:dyDescent="0.2">
      <c r="C1118" s="3"/>
      <c r="D1118" s="3"/>
      <c r="E1118" s="3"/>
      <c r="H1118" s="3"/>
    </row>
    <row r="1119" spans="3:8" x14ac:dyDescent="0.2">
      <c r="C1119" s="3"/>
      <c r="D1119" s="3"/>
      <c r="E1119" s="3"/>
      <c r="H1119" s="3"/>
    </row>
    <row r="1120" spans="3:8" x14ac:dyDescent="0.2">
      <c r="C1120" s="3"/>
      <c r="D1120" s="3"/>
      <c r="E1120" s="3"/>
      <c r="H1120" s="3"/>
    </row>
    <row r="1121" spans="3:8" x14ac:dyDescent="0.2">
      <c r="C1121" s="3"/>
      <c r="D1121" s="3"/>
      <c r="E1121" s="3"/>
      <c r="H1121" s="3"/>
    </row>
    <row r="1122" spans="3:8" x14ac:dyDescent="0.2">
      <c r="C1122" s="3"/>
      <c r="D1122" s="3"/>
      <c r="E1122" s="3"/>
      <c r="H1122" s="3"/>
    </row>
    <row r="1123" spans="3:8" x14ac:dyDescent="0.2">
      <c r="C1123" s="3"/>
      <c r="D1123" s="3"/>
      <c r="E1123" s="3"/>
      <c r="H1123" s="3"/>
    </row>
    <row r="1124" spans="3:8" x14ac:dyDescent="0.2">
      <c r="C1124" s="3"/>
      <c r="D1124" s="3"/>
      <c r="E1124" s="3"/>
      <c r="H1124" s="3"/>
    </row>
    <row r="1125" spans="3:8" x14ac:dyDescent="0.2">
      <c r="C1125" s="3"/>
      <c r="D1125" s="3"/>
      <c r="E1125" s="3"/>
      <c r="H1125" s="3"/>
    </row>
    <row r="1126" spans="3:8" x14ac:dyDescent="0.2">
      <c r="C1126" s="3"/>
      <c r="D1126" s="3"/>
      <c r="E1126" s="3"/>
      <c r="H1126" s="3"/>
    </row>
    <row r="1127" spans="3:8" x14ac:dyDescent="0.2">
      <c r="C1127" s="3"/>
      <c r="D1127" s="3"/>
      <c r="E1127" s="3"/>
      <c r="H1127" s="3"/>
    </row>
    <row r="1128" spans="3:8" x14ac:dyDescent="0.2">
      <c r="C1128" s="3"/>
      <c r="D1128" s="3"/>
      <c r="E1128" s="3"/>
      <c r="H1128" s="3"/>
    </row>
    <row r="1129" spans="3:8" x14ac:dyDescent="0.2">
      <c r="C1129" s="3"/>
      <c r="D1129" s="3"/>
      <c r="E1129" s="3"/>
      <c r="H1129" s="3"/>
    </row>
    <row r="1130" spans="3:8" x14ac:dyDescent="0.2">
      <c r="C1130" s="3"/>
      <c r="D1130" s="3"/>
      <c r="E1130" s="3"/>
      <c r="H1130" s="3"/>
    </row>
    <row r="1131" spans="3:8" x14ac:dyDescent="0.2">
      <c r="C1131" s="3"/>
      <c r="D1131" s="3"/>
      <c r="E1131" s="3"/>
      <c r="H1131" s="3"/>
    </row>
    <row r="1132" spans="3:8" x14ac:dyDescent="0.2">
      <c r="C1132" s="3"/>
      <c r="D1132" s="3"/>
      <c r="E1132" s="3"/>
      <c r="H1132" s="3"/>
    </row>
    <row r="1133" spans="3:8" x14ac:dyDescent="0.2">
      <c r="C1133" s="3"/>
      <c r="D1133" s="3"/>
      <c r="E1133" s="3"/>
      <c r="H1133" s="3"/>
    </row>
    <row r="1134" spans="3:8" x14ac:dyDescent="0.2">
      <c r="C1134" s="3"/>
      <c r="D1134" s="3"/>
      <c r="E1134" s="3"/>
      <c r="H1134" s="3"/>
    </row>
    <row r="1135" spans="3:8" x14ac:dyDescent="0.2">
      <c r="C1135" s="3"/>
      <c r="D1135" s="3"/>
      <c r="E1135" s="3"/>
      <c r="H1135" s="3"/>
    </row>
    <row r="1136" spans="3:8" x14ac:dyDescent="0.2">
      <c r="C1136" s="3"/>
      <c r="D1136" s="3"/>
      <c r="E1136" s="3"/>
      <c r="H1136" s="3"/>
    </row>
    <row r="1137" spans="3:8" x14ac:dyDescent="0.2">
      <c r="C1137" s="3"/>
      <c r="D1137" s="3"/>
      <c r="E1137" s="3"/>
      <c r="H1137" s="3"/>
    </row>
    <row r="1138" spans="3:8" x14ac:dyDescent="0.2">
      <c r="C1138" s="3"/>
      <c r="D1138" s="3"/>
      <c r="E1138" s="3"/>
      <c r="H1138" s="3"/>
    </row>
    <row r="1139" spans="3:8" x14ac:dyDescent="0.2">
      <c r="C1139" s="3"/>
      <c r="D1139" s="3"/>
      <c r="E1139" s="3"/>
      <c r="H1139" s="3"/>
    </row>
    <row r="1140" spans="3:8" x14ac:dyDescent="0.2">
      <c r="C1140" s="3"/>
      <c r="D1140" s="3"/>
      <c r="E1140" s="3"/>
      <c r="H1140" s="3"/>
    </row>
    <row r="1141" spans="3:8" x14ac:dyDescent="0.2">
      <c r="C1141" s="3"/>
      <c r="D1141" s="3"/>
      <c r="E1141" s="3"/>
      <c r="H1141" s="3"/>
    </row>
    <row r="1142" spans="3:8" x14ac:dyDescent="0.2">
      <c r="C1142" s="3"/>
      <c r="D1142" s="3"/>
      <c r="E1142" s="3"/>
      <c r="H1142" s="3"/>
    </row>
    <row r="1143" spans="3:8" x14ac:dyDescent="0.2">
      <c r="C1143" s="3"/>
      <c r="D1143" s="3"/>
      <c r="E1143" s="3"/>
      <c r="H1143" s="3"/>
    </row>
    <row r="1144" spans="3:8" x14ac:dyDescent="0.2">
      <c r="C1144" s="3"/>
      <c r="D1144" s="3"/>
      <c r="E1144" s="3"/>
      <c r="H1144" s="3"/>
    </row>
    <row r="1145" spans="3:8" x14ac:dyDescent="0.2">
      <c r="C1145" s="3"/>
      <c r="D1145" s="3"/>
      <c r="E1145" s="3"/>
      <c r="H1145" s="3"/>
    </row>
    <row r="1146" spans="3:8" x14ac:dyDescent="0.2">
      <c r="C1146" s="3"/>
      <c r="D1146" s="3"/>
      <c r="E1146" s="3"/>
      <c r="H1146" s="3"/>
    </row>
    <row r="1147" spans="3:8" x14ac:dyDescent="0.2">
      <c r="C1147" s="3"/>
      <c r="D1147" s="3"/>
      <c r="E1147" s="3"/>
      <c r="H1147" s="3"/>
    </row>
    <row r="1148" spans="3:8" x14ac:dyDescent="0.2">
      <c r="C1148" s="3"/>
      <c r="D1148" s="3"/>
      <c r="E1148" s="3"/>
      <c r="H1148" s="3"/>
    </row>
    <row r="1149" spans="3:8" x14ac:dyDescent="0.2">
      <c r="C1149" s="3"/>
      <c r="D1149" s="3"/>
      <c r="E1149" s="3"/>
      <c r="H1149" s="3"/>
    </row>
    <row r="1150" spans="3:8" x14ac:dyDescent="0.2">
      <c r="C1150" s="3"/>
      <c r="D1150" s="3"/>
      <c r="E1150" s="3"/>
      <c r="H1150" s="3"/>
    </row>
    <row r="1151" spans="3:8" x14ac:dyDescent="0.2">
      <c r="C1151" s="3"/>
      <c r="D1151" s="3"/>
      <c r="E1151" s="3"/>
      <c r="H1151" s="3"/>
    </row>
    <row r="1152" spans="3:8" x14ac:dyDescent="0.2">
      <c r="C1152" s="3"/>
      <c r="D1152" s="3"/>
      <c r="E1152" s="3"/>
      <c r="H1152" s="3"/>
    </row>
    <row r="1153" spans="3:8" x14ac:dyDescent="0.2">
      <c r="C1153" s="3"/>
      <c r="D1153" s="3"/>
      <c r="E1153" s="3"/>
      <c r="H1153" s="3"/>
    </row>
    <row r="1154" spans="3:8" x14ac:dyDescent="0.2">
      <c r="C1154" s="3"/>
      <c r="D1154" s="3"/>
      <c r="E1154" s="3"/>
      <c r="H1154" s="3"/>
    </row>
    <row r="1155" spans="3:8" x14ac:dyDescent="0.2">
      <c r="C1155" s="3"/>
      <c r="D1155" s="3"/>
      <c r="E1155" s="3"/>
      <c r="H1155" s="3"/>
    </row>
    <row r="1156" spans="3:8" x14ac:dyDescent="0.2">
      <c r="C1156" s="3"/>
      <c r="D1156" s="3"/>
      <c r="E1156" s="3"/>
      <c r="H1156" s="3"/>
    </row>
    <row r="1157" spans="3:8" x14ac:dyDescent="0.2">
      <c r="C1157" s="3"/>
      <c r="D1157" s="3"/>
      <c r="E1157" s="3"/>
      <c r="H1157" s="3"/>
    </row>
    <row r="1158" spans="3:8" x14ac:dyDescent="0.2">
      <c r="C1158" s="3"/>
      <c r="D1158" s="3"/>
      <c r="E1158" s="3"/>
      <c r="H1158" s="3"/>
    </row>
    <row r="1159" spans="3:8" x14ac:dyDescent="0.2">
      <c r="C1159" s="3"/>
      <c r="D1159" s="3"/>
      <c r="E1159" s="3"/>
      <c r="H1159" s="3"/>
    </row>
    <row r="1160" spans="3:8" x14ac:dyDescent="0.2">
      <c r="C1160" s="3"/>
      <c r="D1160" s="3"/>
      <c r="E1160" s="3"/>
      <c r="H1160" s="3"/>
    </row>
    <row r="1161" spans="3:8" x14ac:dyDescent="0.2">
      <c r="C1161" s="3"/>
      <c r="D1161" s="3"/>
      <c r="E1161" s="3"/>
      <c r="H1161" s="3"/>
    </row>
    <row r="1162" spans="3:8" x14ac:dyDescent="0.2">
      <c r="C1162" s="3"/>
      <c r="D1162" s="3"/>
      <c r="E1162" s="3"/>
      <c r="H1162" s="3"/>
    </row>
    <row r="1163" spans="3:8" x14ac:dyDescent="0.2">
      <c r="C1163" s="3"/>
      <c r="D1163" s="3"/>
      <c r="E1163" s="3"/>
      <c r="H1163" s="3"/>
    </row>
    <row r="1164" spans="3:8" x14ac:dyDescent="0.2">
      <c r="C1164" s="3"/>
      <c r="D1164" s="3"/>
      <c r="E1164" s="3"/>
      <c r="H1164" s="3"/>
    </row>
    <row r="1165" spans="3:8" x14ac:dyDescent="0.2">
      <c r="C1165" s="3"/>
      <c r="D1165" s="3"/>
      <c r="E1165" s="3"/>
      <c r="H1165" s="3"/>
    </row>
    <row r="1166" spans="3:8" x14ac:dyDescent="0.2">
      <c r="C1166" s="3"/>
      <c r="D1166" s="3"/>
      <c r="E1166" s="3"/>
      <c r="H1166" s="3"/>
    </row>
    <row r="1167" spans="3:8" x14ac:dyDescent="0.2">
      <c r="C1167" s="3"/>
      <c r="D1167" s="3"/>
      <c r="E1167" s="3"/>
      <c r="H1167" s="3"/>
    </row>
    <row r="1168" spans="3:8" x14ac:dyDescent="0.2">
      <c r="C1168" s="3"/>
      <c r="D1168" s="3"/>
      <c r="E1168" s="3"/>
      <c r="H1168" s="3"/>
    </row>
    <row r="1169" spans="3:8" x14ac:dyDescent="0.2">
      <c r="C1169" s="3"/>
      <c r="D1169" s="3"/>
      <c r="E1169" s="3"/>
      <c r="H1169" s="3"/>
    </row>
    <row r="1170" spans="3:8" x14ac:dyDescent="0.2">
      <c r="C1170" s="3"/>
      <c r="D1170" s="3"/>
      <c r="E1170" s="3"/>
      <c r="H1170" s="3"/>
    </row>
    <row r="1171" spans="3:8" x14ac:dyDescent="0.2">
      <c r="C1171" s="3"/>
      <c r="D1171" s="3"/>
      <c r="E1171" s="3"/>
      <c r="H1171" s="3"/>
    </row>
    <row r="1172" spans="3:8" x14ac:dyDescent="0.2">
      <c r="C1172" s="3"/>
      <c r="D1172" s="3"/>
      <c r="E1172" s="3"/>
      <c r="H1172" s="3"/>
    </row>
    <row r="1173" spans="3:8" x14ac:dyDescent="0.2">
      <c r="C1173" s="3"/>
      <c r="D1173" s="3"/>
      <c r="E1173" s="3"/>
      <c r="H1173" s="3"/>
    </row>
    <row r="1174" spans="3:8" x14ac:dyDescent="0.2">
      <c r="C1174" s="3"/>
      <c r="D1174" s="3"/>
      <c r="E1174" s="3"/>
      <c r="H1174" s="3"/>
    </row>
    <row r="1175" spans="3:8" x14ac:dyDescent="0.2">
      <c r="C1175" s="3"/>
      <c r="D1175" s="3"/>
      <c r="E1175" s="3"/>
      <c r="H1175" s="3"/>
    </row>
    <row r="1176" spans="3:8" x14ac:dyDescent="0.2">
      <c r="C1176" s="3"/>
      <c r="D1176" s="3"/>
      <c r="E1176" s="3"/>
      <c r="H1176" s="3"/>
    </row>
    <row r="1177" spans="3:8" x14ac:dyDescent="0.2">
      <c r="C1177" s="3"/>
      <c r="D1177" s="3"/>
      <c r="E1177" s="3"/>
      <c r="H1177" s="3"/>
    </row>
    <row r="1178" spans="3:8" x14ac:dyDescent="0.2">
      <c r="C1178" s="3"/>
      <c r="D1178" s="3"/>
      <c r="E1178" s="3"/>
      <c r="H1178" s="3"/>
    </row>
    <row r="1179" spans="3:8" x14ac:dyDescent="0.2">
      <c r="C1179" s="3"/>
      <c r="D1179" s="3"/>
      <c r="E1179" s="3"/>
      <c r="H1179" s="3"/>
    </row>
    <row r="1180" spans="3:8" x14ac:dyDescent="0.2">
      <c r="C1180" s="3"/>
      <c r="D1180" s="3"/>
      <c r="E1180" s="3"/>
      <c r="H1180" s="3"/>
    </row>
    <row r="1181" spans="3:8" x14ac:dyDescent="0.2">
      <c r="C1181" s="3"/>
      <c r="D1181" s="3"/>
      <c r="E1181" s="3"/>
      <c r="H1181" s="3"/>
    </row>
    <row r="1182" spans="3:8" x14ac:dyDescent="0.2">
      <c r="C1182" s="3"/>
      <c r="D1182" s="3"/>
      <c r="E1182" s="3"/>
      <c r="H1182" s="3"/>
    </row>
    <row r="1183" spans="3:8" x14ac:dyDescent="0.2">
      <c r="C1183" s="3"/>
      <c r="D1183" s="3"/>
      <c r="E1183" s="3"/>
      <c r="H1183" s="3"/>
    </row>
    <row r="1184" spans="3:8" x14ac:dyDescent="0.2">
      <c r="C1184" s="3"/>
      <c r="D1184" s="3"/>
      <c r="E1184" s="3"/>
      <c r="H1184" s="3"/>
    </row>
    <row r="1185" spans="3:8" x14ac:dyDescent="0.2">
      <c r="C1185" s="3"/>
      <c r="D1185" s="3"/>
      <c r="E1185" s="3"/>
      <c r="H1185" s="3"/>
    </row>
    <row r="1186" spans="3:8" x14ac:dyDescent="0.2">
      <c r="H1186" s="3"/>
    </row>
  </sheetData>
  <sheetProtection password="F6CC" sheet="1" objects="1" scenarios="1" formatCells="0" formatColumns="0" formatRows="0" insertHyperlinks="0" sort="0" autoFilter="0" pivotTables="0"/>
  <mergeCells count="26">
    <mergeCell ref="L9:M9"/>
    <mergeCell ref="B1:E1"/>
    <mergeCell ref="B2:E2"/>
    <mergeCell ref="B3:E3"/>
    <mergeCell ref="B4:E4"/>
    <mergeCell ref="B6:C7"/>
    <mergeCell ref="B40:D40"/>
    <mergeCell ref="L10:M10"/>
    <mergeCell ref="L11:M11"/>
    <mergeCell ref="J14:M16"/>
    <mergeCell ref="J17:M22"/>
    <mergeCell ref="J23:M27"/>
    <mergeCell ref="J28:M30"/>
    <mergeCell ref="J35:K35"/>
    <mergeCell ref="J36:K36"/>
    <mergeCell ref="J37:K37"/>
    <mergeCell ref="J38:K38"/>
    <mergeCell ref="C39:D39"/>
    <mergeCell ref="C61:E61"/>
    <mergeCell ref="F62:H62"/>
    <mergeCell ref="B41:D41"/>
    <mergeCell ref="B42:D42"/>
    <mergeCell ref="B44:D44"/>
    <mergeCell ref="C46:E46"/>
    <mergeCell ref="C51:E51"/>
    <mergeCell ref="C52:E52"/>
  </mergeCells>
  <printOptions horizontalCentered="1"/>
  <pageMargins left="0.75" right="0.75" top="1" bottom="1" header="0.5" footer="0.5"/>
  <pageSetup scale="70" orientation="portrait" blackAndWhite="1" horizontalDpi="300" verticalDpi="300" r:id="rId1"/>
  <headerFooter alignWithMargins="0">
    <oddHeader>&amp;LPrinted: &amp;D
&amp;T&amp;CType A Data&amp;RFile: &amp;F  
Sheet: &amp;A</oddHeader>
    <oddFooter>Page &amp;P of &amp;N</oddFooter>
  </headerFooter>
  <drawing r:id="rId2"/>
  <legacyDrawing r:id="rId3"/>
  <oleObjects>
    <mc:AlternateContent xmlns:mc="http://schemas.openxmlformats.org/markup-compatibility/2006">
      <mc:Choice Requires="x14">
        <oleObject progId="Equation.DSMT4" shapeId="6145" r:id="rId4">
          <objectPr defaultSize="0" autoPict="0" r:id="rId5">
            <anchor moveWithCells="1" sizeWithCells="1">
              <from>
                <xdr:col>1</xdr:col>
                <xdr:colOff>1066800</xdr:colOff>
                <xdr:row>4</xdr:row>
                <xdr:rowOff>133350</xdr:rowOff>
              </from>
              <to>
                <xdr:col>3</xdr:col>
                <xdr:colOff>0</xdr:colOff>
                <xdr:row>4</xdr:row>
                <xdr:rowOff>923925</xdr:rowOff>
              </to>
            </anchor>
          </objectPr>
        </oleObject>
      </mc:Choice>
      <mc:Fallback>
        <oleObject progId="Equation.DSMT4" shapeId="6145" r:id="rId4"/>
      </mc:Fallback>
    </mc:AlternateContent>
    <mc:AlternateContent xmlns:mc="http://schemas.openxmlformats.org/markup-compatibility/2006">
      <mc:Choice Requires="x14">
        <oleObject progId="Equation.DSMT4" shapeId="6146" r:id="rId6">
          <objectPr defaultSize="0" autoPict="0" r:id="rId7">
            <anchor moveWithCells="1" sizeWithCells="1">
              <from>
                <xdr:col>4</xdr:col>
                <xdr:colOff>9525</xdr:colOff>
                <xdr:row>43</xdr:row>
                <xdr:rowOff>9525</xdr:rowOff>
              </from>
              <to>
                <xdr:col>4</xdr:col>
                <xdr:colOff>1323975</xdr:colOff>
                <xdr:row>43</xdr:row>
                <xdr:rowOff>666750</xdr:rowOff>
              </to>
            </anchor>
          </objectPr>
        </oleObject>
      </mc:Choice>
      <mc:Fallback>
        <oleObject progId="Equation.DSMT4" shapeId="6146" r:id="rId6"/>
      </mc:Fallback>
    </mc:AlternateContent>
  </oleObjects>
  <controls>
    <mc:AlternateContent xmlns:mc="http://schemas.openxmlformats.org/markup-compatibility/2006">
      <mc:Choice Requires="x14">
        <control shapeId="6147" r:id="rId8" name="CommandButton1">
          <controlPr defaultSize="0" print="0" autoLine="0" r:id="rId9">
            <anchor moveWithCells="1" sizeWithCells="1">
              <from>
                <xdr:col>4</xdr:col>
                <xdr:colOff>123825</xdr:colOff>
                <xdr:row>4</xdr:row>
                <xdr:rowOff>285750</xdr:rowOff>
              </from>
              <to>
                <xdr:col>4</xdr:col>
                <xdr:colOff>1190625</xdr:colOff>
                <xdr:row>4</xdr:row>
                <xdr:rowOff>762000</xdr:rowOff>
              </to>
            </anchor>
          </controlPr>
        </control>
      </mc:Choice>
      <mc:Fallback>
        <control shapeId="6147" r:id="rId8" name="CommandButton1"/>
      </mc:Fallback>
    </mc:AlternateContent>
    <mc:AlternateContent xmlns:mc="http://schemas.openxmlformats.org/markup-compatibility/2006">
      <mc:Choice Requires="x14">
        <control shapeId="6150" r:id="rId10" name="AutosizeA">
          <controlPr defaultSize="0" print="0" autoFill="0" autoLine="0" r:id="rId11">
            <anchor moveWithCells="1" sizeWithCells="1">
              <from>
                <xdr:col>1</xdr:col>
                <xdr:colOff>9525</xdr:colOff>
                <xdr:row>1</xdr:row>
                <xdr:rowOff>9525</xdr:rowOff>
              </from>
              <to>
                <xdr:col>1</xdr:col>
                <xdr:colOff>838200</xdr:colOff>
                <xdr:row>1</xdr:row>
                <xdr:rowOff>390525</xdr:rowOff>
              </to>
            </anchor>
          </controlPr>
        </control>
      </mc:Choice>
      <mc:Fallback>
        <control shapeId="6150" r:id="rId10" name="AutosizeA"/>
      </mc:Fallback>
    </mc:AlternateContent>
    <mc:AlternateContent xmlns:mc="http://schemas.openxmlformats.org/markup-compatibility/2006">
      <mc:Choice Requires="x14">
        <control shapeId="6151" r:id="rId12" name="ComboBox1">
          <controlPr print="0" autoFill="0" autoLine="0" linkedCell="F4" listFillRange="G52:G61" r:id="rId13">
            <anchor moveWithCells="1">
              <from>
                <xdr:col>3</xdr:col>
                <xdr:colOff>66675</xdr:colOff>
                <xdr:row>4</xdr:row>
                <xdr:rowOff>476250</xdr:rowOff>
              </from>
              <to>
                <xdr:col>3</xdr:col>
                <xdr:colOff>1266825</xdr:colOff>
                <xdr:row>4</xdr:row>
                <xdr:rowOff>695325</xdr:rowOff>
              </to>
            </anchor>
          </controlPr>
        </control>
      </mc:Choice>
      <mc:Fallback>
        <control shapeId="6151" r:id="rId12" name="ComboBox1"/>
      </mc:Fallback>
    </mc:AlternateContent>
    <mc:AlternateContent xmlns:mc="http://schemas.openxmlformats.org/markup-compatibility/2006">
      <mc:Choice Requires="x14">
        <control shapeId="6152" r:id="rId14" name="TextBox1">
          <controlPr defaultSize="0" print="0" autoFill="0" autoLine="0" r:id="rId15">
            <anchor moveWithCells="1">
              <from>
                <xdr:col>3</xdr:col>
                <xdr:colOff>66675</xdr:colOff>
                <xdr:row>4</xdr:row>
                <xdr:rowOff>228600</xdr:rowOff>
              </from>
              <to>
                <xdr:col>3</xdr:col>
                <xdr:colOff>1266825</xdr:colOff>
                <xdr:row>4</xdr:row>
                <xdr:rowOff>428625</xdr:rowOff>
              </to>
            </anchor>
          </controlPr>
        </control>
      </mc:Choice>
      <mc:Fallback>
        <control shapeId="6152" r:id="rId14" name="TextBox1"/>
      </mc:Fallback>
    </mc:AlternateContent>
    <mc:AlternateContent xmlns:mc="http://schemas.openxmlformats.org/markup-compatibility/2006">
      <mc:Choice Requires="x14">
        <control shapeId="6153" r:id="rId16" name="spbBins">
          <controlPr defaultSize="0" autoLine="0" linkedCell="G40" r:id="rId17">
            <anchor moveWithCells="1">
              <from>
                <xdr:col>12</xdr:col>
                <xdr:colOff>114300</xdr:colOff>
                <xdr:row>5</xdr:row>
                <xdr:rowOff>142875</xdr:rowOff>
              </from>
              <to>
                <xdr:col>12</xdr:col>
                <xdr:colOff>428625</xdr:colOff>
                <xdr:row>7</xdr:row>
                <xdr:rowOff>104775</xdr:rowOff>
              </to>
            </anchor>
          </controlPr>
        </control>
      </mc:Choice>
      <mc:Fallback>
        <control shapeId="6153" r:id="rId16" name="spbBins"/>
      </mc:Fallback>
    </mc:AlternateContent>
    <mc:AlternateContent xmlns:mc="http://schemas.openxmlformats.org/markup-compatibility/2006">
      <mc:Choice Requires="x14">
        <control shapeId="6148" r:id="rId18" name="Option Button 4">
          <controlPr defaultSize="0" autoFill="0" autoLine="0" autoPict="0">
            <anchor moveWithCells="1">
              <from>
                <xdr:col>9</xdr:col>
                <xdr:colOff>161925</xdr:colOff>
                <xdr:row>9</xdr:row>
                <xdr:rowOff>76200</xdr:rowOff>
              </from>
              <to>
                <xdr:col>9</xdr:col>
                <xdr:colOff>1666875</xdr:colOff>
                <xdr:row>10</xdr:row>
                <xdr:rowOff>171450</xdr:rowOff>
              </to>
            </anchor>
          </controlPr>
        </control>
      </mc:Choice>
    </mc:AlternateContent>
    <mc:AlternateContent xmlns:mc="http://schemas.openxmlformats.org/markup-compatibility/2006">
      <mc:Choice Requires="x14">
        <control shapeId="6149" r:id="rId19" name="Option Button 5">
          <controlPr defaultSize="0" autoFill="0" autoLine="0" autoPict="0">
            <anchor moveWithCells="1">
              <from>
                <xdr:col>9</xdr:col>
                <xdr:colOff>161925</xdr:colOff>
                <xdr:row>7</xdr:row>
                <xdr:rowOff>47625</xdr:rowOff>
              </from>
              <to>
                <xdr:col>9</xdr:col>
                <xdr:colOff>1666875</xdr:colOff>
                <xdr:row>8</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Z1186"/>
  <sheetViews>
    <sheetView showGridLines="0" zoomScaleNormal="100" workbookViewId="0"/>
  </sheetViews>
  <sheetFormatPr defaultRowHeight="12.75" x14ac:dyDescent="0.2"/>
  <cols>
    <col min="1" max="1" width="1.85546875" style="3" customWidth="1"/>
    <col min="2" max="2" width="19.28515625" style="3" customWidth="1"/>
    <col min="3" max="3" width="23.140625" style="36" customWidth="1"/>
    <col min="4" max="4" width="20.28515625" style="36" customWidth="1"/>
    <col min="5" max="5" width="20.140625" style="36" customWidth="1"/>
    <col min="6" max="6" width="18.7109375" style="3" hidden="1" customWidth="1"/>
    <col min="7" max="7" width="21.85546875" style="3" hidden="1" customWidth="1"/>
    <col min="8" max="8" width="22.7109375" style="36" hidden="1" customWidth="1"/>
    <col min="9" max="9" width="2.7109375" style="3" customWidth="1"/>
    <col min="10" max="10" width="27.140625" style="3" customWidth="1"/>
    <col min="11" max="11" width="8.28515625" style="3" customWidth="1"/>
    <col min="12" max="12" width="4" style="3" customWidth="1"/>
    <col min="13" max="13" width="13" style="3" customWidth="1"/>
    <col min="14" max="24" width="9.140625" style="3"/>
    <col min="25" max="26" width="9.140625" style="3" hidden="1" customWidth="1"/>
    <col min="27" max="256" width="9.140625" style="3"/>
    <col min="257" max="257" width="1.85546875" style="3" customWidth="1"/>
    <col min="258" max="258" width="19.28515625" style="3" customWidth="1"/>
    <col min="259" max="259" width="23.140625" style="3" customWidth="1"/>
    <col min="260" max="260" width="20.28515625" style="3" customWidth="1"/>
    <col min="261" max="261" width="20.140625" style="3" customWidth="1"/>
    <col min="262" max="264" width="0" style="3" hidden="1" customWidth="1"/>
    <col min="265" max="265" width="2.7109375" style="3" customWidth="1"/>
    <col min="266" max="266" width="27.140625" style="3" customWidth="1"/>
    <col min="267" max="267" width="8.28515625" style="3" customWidth="1"/>
    <col min="268" max="268" width="4" style="3" customWidth="1"/>
    <col min="269" max="269" width="13" style="3" customWidth="1"/>
    <col min="270" max="280" width="9.140625" style="3"/>
    <col min="281" max="282" width="0" style="3" hidden="1" customWidth="1"/>
    <col min="283" max="512" width="9.140625" style="3"/>
    <col min="513" max="513" width="1.85546875" style="3" customWidth="1"/>
    <col min="514" max="514" width="19.28515625" style="3" customWidth="1"/>
    <col min="515" max="515" width="23.140625" style="3" customWidth="1"/>
    <col min="516" max="516" width="20.28515625" style="3" customWidth="1"/>
    <col min="517" max="517" width="20.140625" style="3" customWidth="1"/>
    <col min="518" max="520" width="0" style="3" hidden="1" customWidth="1"/>
    <col min="521" max="521" width="2.7109375" style="3" customWidth="1"/>
    <col min="522" max="522" width="27.140625" style="3" customWidth="1"/>
    <col min="523" max="523" width="8.28515625" style="3" customWidth="1"/>
    <col min="524" max="524" width="4" style="3" customWidth="1"/>
    <col min="525" max="525" width="13" style="3" customWidth="1"/>
    <col min="526" max="536" width="9.140625" style="3"/>
    <col min="537" max="538" width="0" style="3" hidden="1" customWidth="1"/>
    <col min="539" max="768" width="9.140625" style="3"/>
    <col min="769" max="769" width="1.85546875" style="3" customWidth="1"/>
    <col min="770" max="770" width="19.28515625" style="3" customWidth="1"/>
    <col min="771" max="771" width="23.140625" style="3" customWidth="1"/>
    <col min="772" max="772" width="20.28515625" style="3" customWidth="1"/>
    <col min="773" max="773" width="20.140625" style="3" customWidth="1"/>
    <col min="774" max="776" width="0" style="3" hidden="1" customWidth="1"/>
    <col min="777" max="777" width="2.7109375" style="3" customWidth="1"/>
    <col min="778" max="778" width="27.140625" style="3" customWidth="1"/>
    <col min="779" max="779" width="8.28515625" style="3" customWidth="1"/>
    <col min="780" max="780" width="4" style="3" customWidth="1"/>
    <col min="781" max="781" width="13" style="3" customWidth="1"/>
    <col min="782" max="792" width="9.140625" style="3"/>
    <col min="793" max="794" width="0" style="3" hidden="1" customWidth="1"/>
    <col min="795" max="1024" width="9.140625" style="3"/>
    <col min="1025" max="1025" width="1.85546875" style="3" customWidth="1"/>
    <col min="1026" max="1026" width="19.28515625" style="3" customWidth="1"/>
    <col min="1027" max="1027" width="23.140625" style="3" customWidth="1"/>
    <col min="1028" max="1028" width="20.28515625" style="3" customWidth="1"/>
    <col min="1029" max="1029" width="20.140625" style="3" customWidth="1"/>
    <col min="1030" max="1032" width="0" style="3" hidden="1" customWidth="1"/>
    <col min="1033" max="1033" width="2.7109375" style="3" customWidth="1"/>
    <col min="1034" max="1034" width="27.140625" style="3" customWidth="1"/>
    <col min="1035" max="1035" width="8.28515625" style="3" customWidth="1"/>
    <col min="1036" max="1036" width="4" style="3" customWidth="1"/>
    <col min="1037" max="1037" width="13" style="3" customWidth="1"/>
    <col min="1038" max="1048" width="9.140625" style="3"/>
    <col min="1049" max="1050" width="0" style="3" hidden="1" customWidth="1"/>
    <col min="1051" max="1280" width="9.140625" style="3"/>
    <col min="1281" max="1281" width="1.85546875" style="3" customWidth="1"/>
    <col min="1282" max="1282" width="19.28515625" style="3" customWidth="1"/>
    <col min="1283" max="1283" width="23.140625" style="3" customWidth="1"/>
    <col min="1284" max="1284" width="20.28515625" style="3" customWidth="1"/>
    <col min="1285" max="1285" width="20.140625" style="3" customWidth="1"/>
    <col min="1286" max="1288" width="0" style="3" hidden="1" customWidth="1"/>
    <col min="1289" max="1289" width="2.7109375" style="3" customWidth="1"/>
    <col min="1290" max="1290" width="27.140625" style="3" customWidth="1"/>
    <col min="1291" max="1291" width="8.28515625" style="3" customWidth="1"/>
    <col min="1292" max="1292" width="4" style="3" customWidth="1"/>
    <col min="1293" max="1293" width="13" style="3" customWidth="1"/>
    <col min="1294" max="1304" width="9.140625" style="3"/>
    <col min="1305" max="1306" width="0" style="3" hidden="1" customWidth="1"/>
    <col min="1307" max="1536" width="9.140625" style="3"/>
    <col min="1537" max="1537" width="1.85546875" style="3" customWidth="1"/>
    <col min="1538" max="1538" width="19.28515625" style="3" customWidth="1"/>
    <col min="1539" max="1539" width="23.140625" style="3" customWidth="1"/>
    <col min="1540" max="1540" width="20.28515625" style="3" customWidth="1"/>
    <col min="1541" max="1541" width="20.140625" style="3" customWidth="1"/>
    <col min="1542" max="1544" width="0" style="3" hidden="1" customWidth="1"/>
    <col min="1545" max="1545" width="2.7109375" style="3" customWidth="1"/>
    <col min="1546" max="1546" width="27.140625" style="3" customWidth="1"/>
    <col min="1547" max="1547" width="8.28515625" style="3" customWidth="1"/>
    <col min="1548" max="1548" width="4" style="3" customWidth="1"/>
    <col min="1549" max="1549" width="13" style="3" customWidth="1"/>
    <col min="1550" max="1560" width="9.140625" style="3"/>
    <col min="1561" max="1562" width="0" style="3" hidden="1" customWidth="1"/>
    <col min="1563" max="1792" width="9.140625" style="3"/>
    <col min="1793" max="1793" width="1.85546875" style="3" customWidth="1"/>
    <col min="1794" max="1794" width="19.28515625" style="3" customWidth="1"/>
    <col min="1795" max="1795" width="23.140625" style="3" customWidth="1"/>
    <col min="1796" max="1796" width="20.28515625" style="3" customWidth="1"/>
    <col min="1797" max="1797" width="20.140625" style="3" customWidth="1"/>
    <col min="1798" max="1800" width="0" style="3" hidden="1" customWidth="1"/>
    <col min="1801" max="1801" width="2.7109375" style="3" customWidth="1"/>
    <col min="1802" max="1802" width="27.140625" style="3" customWidth="1"/>
    <col min="1803" max="1803" width="8.28515625" style="3" customWidth="1"/>
    <col min="1804" max="1804" width="4" style="3" customWidth="1"/>
    <col min="1805" max="1805" width="13" style="3" customWidth="1"/>
    <col min="1806" max="1816" width="9.140625" style="3"/>
    <col min="1817" max="1818" width="0" style="3" hidden="1" customWidth="1"/>
    <col min="1819" max="2048" width="9.140625" style="3"/>
    <col min="2049" max="2049" width="1.85546875" style="3" customWidth="1"/>
    <col min="2050" max="2050" width="19.28515625" style="3" customWidth="1"/>
    <col min="2051" max="2051" width="23.140625" style="3" customWidth="1"/>
    <col min="2052" max="2052" width="20.28515625" style="3" customWidth="1"/>
    <col min="2053" max="2053" width="20.140625" style="3" customWidth="1"/>
    <col min="2054" max="2056" width="0" style="3" hidden="1" customWidth="1"/>
    <col min="2057" max="2057" width="2.7109375" style="3" customWidth="1"/>
    <col min="2058" max="2058" width="27.140625" style="3" customWidth="1"/>
    <col min="2059" max="2059" width="8.28515625" style="3" customWidth="1"/>
    <col min="2060" max="2060" width="4" style="3" customWidth="1"/>
    <col min="2061" max="2061" width="13" style="3" customWidth="1"/>
    <col min="2062" max="2072" width="9.140625" style="3"/>
    <col min="2073" max="2074" width="0" style="3" hidden="1" customWidth="1"/>
    <col min="2075" max="2304" width="9.140625" style="3"/>
    <col min="2305" max="2305" width="1.85546875" style="3" customWidth="1"/>
    <col min="2306" max="2306" width="19.28515625" style="3" customWidth="1"/>
    <col min="2307" max="2307" width="23.140625" style="3" customWidth="1"/>
    <col min="2308" max="2308" width="20.28515625" style="3" customWidth="1"/>
    <col min="2309" max="2309" width="20.140625" style="3" customWidth="1"/>
    <col min="2310" max="2312" width="0" style="3" hidden="1" customWidth="1"/>
    <col min="2313" max="2313" width="2.7109375" style="3" customWidth="1"/>
    <col min="2314" max="2314" width="27.140625" style="3" customWidth="1"/>
    <col min="2315" max="2315" width="8.28515625" style="3" customWidth="1"/>
    <col min="2316" max="2316" width="4" style="3" customWidth="1"/>
    <col min="2317" max="2317" width="13" style="3" customWidth="1"/>
    <col min="2318" max="2328" width="9.140625" style="3"/>
    <col min="2329" max="2330" width="0" style="3" hidden="1" customWidth="1"/>
    <col min="2331" max="2560" width="9.140625" style="3"/>
    <col min="2561" max="2561" width="1.85546875" style="3" customWidth="1"/>
    <col min="2562" max="2562" width="19.28515625" style="3" customWidth="1"/>
    <col min="2563" max="2563" width="23.140625" style="3" customWidth="1"/>
    <col min="2564" max="2564" width="20.28515625" style="3" customWidth="1"/>
    <col min="2565" max="2565" width="20.140625" style="3" customWidth="1"/>
    <col min="2566" max="2568" width="0" style="3" hidden="1" customWidth="1"/>
    <col min="2569" max="2569" width="2.7109375" style="3" customWidth="1"/>
    <col min="2570" max="2570" width="27.140625" style="3" customWidth="1"/>
    <col min="2571" max="2571" width="8.28515625" style="3" customWidth="1"/>
    <col min="2572" max="2572" width="4" style="3" customWidth="1"/>
    <col min="2573" max="2573" width="13" style="3" customWidth="1"/>
    <col min="2574" max="2584" width="9.140625" style="3"/>
    <col min="2585" max="2586" width="0" style="3" hidden="1" customWidth="1"/>
    <col min="2587" max="2816" width="9.140625" style="3"/>
    <col min="2817" max="2817" width="1.85546875" style="3" customWidth="1"/>
    <col min="2818" max="2818" width="19.28515625" style="3" customWidth="1"/>
    <col min="2819" max="2819" width="23.140625" style="3" customWidth="1"/>
    <col min="2820" max="2820" width="20.28515625" style="3" customWidth="1"/>
    <col min="2821" max="2821" width="20.140625" style="3" customWidth="1"/>
    <col min="2822" max="2824" width="0" style="3" hidden="1" customWidth="1"/>
    <col min="2825" max="2825" width="2.7109375" style="3" customWidth="1"/>
    <col min="2826" max="2826" width="27.140625" style="3" customWidth="1"/>
    <col min="2827" max="2827" width="8.28515625" style="3" customWidth="1"/>
    <col min="2828" max="2828" width="4" style="3" customWidth="1"/>
    <col min="2829" max="2829" width="13" style="3" customWidth="1"/>
    <col min="2830" max="2840" width="9.140625" style="3"/>
    <col min="2841" max="2842" width="0" style="3" hidden="1" customWidth="1"/>
    <col min="2843" max="3072" width="9.140625" style="3"/>
    <col min="3073" max="3073" width="1.85546875" style="3" customWidth="1"/>
    <col min="3074" max="3074" width="19.28515625" style="3" customWidth="1"/>
    <col min="3075" max="3075" width="23.140625" style="3" customWidth="1"/>
    <col min="3076" max="3076" width="20.28515625" style="3" customWidth="1"/>
    <col min="3077" max="3077" width="20.140625" style="3" customWidth="1"/>
    <col min="3078" max="3080" width="0" style="3" hidden="1" customWidth="1"/>
    <col min="3081" max="3081" width="2.7109375" style="3" customWidth="1"/>
    <col min="3082" max="3082" width="27.140625" style="3" customWidth="1"/>
    <col min="3083" max="3083" width="8.28515625" style="3" customWidth="1"/>
    <col min="3084" max="3084" width="4" style="3" customWidth="1"/>
    <col min="3085" max="3085" width="13" style="3" customWidth="1"/>
    <col min="3086" max="3096" width="9.140625" style="3"/>
    <col min="3097" max="3098" width="0" style="3" hidden="1" customWidth="1"/>
    <col min="3099" max="3328" width="9.140625" style="3"/>
    <col min="3329" max="3329" width="1.85546875" style="3" customWidth="1"/>
    <col min="3330" max="3330" width="19.28515625" style="3" customWidth="1"/>
    <col min="3331" max="3331" width="23.140625" style="3" customWidth="1"/>
    <col min="3332" max="3332" width="20.28515625" style="3" customWidth="1"/>
    <col min="3333" max="3333" width="20.140625" style="3" customWidth="1"/>
    <col min="3334" max="3336" width="0" style="3" hidden="1" customWidth="1"/>
    <col min="3337" max="3337" width="2.7109375" style="3" customWidth="1"/>
    <col min="3338" max="3338" width="27.140625" style="3" customWidth="1"/>
    <col min="3339" max="3339" width="8.28515625" style="3" customWidth="1"/>
    <col min="3340" max="3340" width="4" style="3" customWidth="1"/>
    <col min="3341" max="3341" width="13" style="3" customWidth="1"/>
    <col min="3342" max="3352" width="9.140625" style="3"/>
    <col min="3353" max="3354" width="0" style="3" hidden="1" customWidth="1"/>
    <col min="3355" max="3584" width="9.140625" style="3"/>
    <col min="3585" max="3585" width="1.85546875" style="3" customWidth="1"/>
    <col min="3586" max="3586" width="19.28515625" style="3" customWidth="1"/>
    <col min="3587" max="3587" width="23.140625" style="3" customWidth="1"/>
    <col min="3588" max="3588" width="20.28515625" style="3" customWidth="1"/>
    <col min="3589" max="3589" width="20.140625" style="3" customWidth="1"/>
    <col min="3590" max="3592" width="0" style="3" hidden="1" customWidth="1"/>
    <col min="3593" max="3593" width="2.7109375" style="3" customWidth="1"/>
    <col min="3594" max="3594" width="27.140625" style="3" customWidth="1"/>
    <col min="3595" max="3595" width="8.28515625" style="3" customWidth="1"/>
    <col min="3596" max="3596" width="4" style="3" customWidth="1"/>
    <col min="3597" max="3597" width="13" style="3" customWidth="1"/>
    <col min="3598" max="3608" width="9.140625" style="3"/>
    <col min="3609" max="3610" width="0" style="3" hidden="1" customWidth="1"/>
    <col min="3611" max="3840" width="9.140625" style="3"/>
    <col min="3841" max="3841" width="1.85546875" style="3" customWidth="1"/>
    <col min="3842" max="3842" width="19.28515625" style="3" customWidth="1"/>
    <col min="3843" max="3843" width="23.140625" style="3" customWidth="1"/>
    <col min="3844" max="3844" width="20.28515625" style="3" customWidth="1"/>
    <col min="3845" max="3845" width="20.140625" style="3" customWidth="1"/>
    <col min="3846" max="3848" width="0" style="3" hidden="1" customWidth="1"/>
    <col min="3849" max="3849" width="2.7109375" style="3" customWidth="1"/>
    <col min="3850" max="3850" width="27.140625" style="3" customWidth="1"/>
    <col min="3851" max="3851" width="8.28515625" style="3" customWidth="1"/>
    <col min="3852" max="3852" width="4" style="3" customWidth="1"/>
    <col min="3853" max="3853" width="13" style="3" customWidth="1"/>
    <col min="3854" max="3864" width="9.140625" style="3"/>
    <col min="3865" max="3866" width="0" style="3" hidden="1" customWidth="1"/>
    <col min="3867" max="4096" width="9.140625" style="3"/>
    <col min="4097" max="4097" width="1.85546875" style="3" customWidth="1"/>
    <col min="4098" max="4098" width="19.28515625" style="3" customWidth="1"/>
    <col min="4099" max="4099" width="23.140625" style="3" customWidth="1"/>
    <col min="4100" max="4100" width="20.28515625" style="3" customWidth="1"/>
    <col min="4101" max="4101" width="20.140625" style="3" customWidth="1"/>
    <col min="4102" max="4104" width="0" style="3" hidden="1" customWidth="1"/>
    <col min="4105" max="4105" width="2.7109375" style="3" customWidth="1"/>
    <col min="4106" max="4106" width="27.140625" style="3" customWidth="1"/>
    <col min="4107" max="4107" width="8.28515625" style="3" customWidth="1"/>
    <col min="4108" max="4108" width="4" style="3" customWidth="1"/>
    <col min="4109" max="4109" width="13" style="3" customWidth="1"/>
    <col min="4110" max="4120" width="9.140625" style="3"/>
    <col min="4121" max="4122" width="0" style="3" hidden="1" customWidth="1"/>
    <col min="4123" max="4352" width="9.140625" style="3"/>
    <col min="4353" max="4353" width="1.85546875" style="3" customWidth="1"/>
    <col min="4354" max="4354" width="19.28515625" style="3" customWidth="1"/>
    <col min="4355" max="4355" width="23.140625" style="3" customWidth="1"/>
    <col min="4356" max="4356" width="20.28515625" style="3" customWidth="1"/>
    <col min="4357" max="4357" width="20.140625" style="3" customWidth="1"/>
    <col min="4358" max="4360" width="0" style="3" hidden="1" customWidth="1"/>
    <col min="4361" max="4361" width="2.7109375" style="3" customWidth="1"/>
    <col min="4362" max="4362" width="27.140625" style="3" customWidth="1"/>
    <col min="4363" max="4363" width="8.28515625" style="3" customWidth="1"/>
    <col min="4364" max="4364" width="4" style="3" customWidth="1"/>
    <col min="4365" max="4365" width="13" style="3" customWidth="1"/>
    <col min="4366" max="4376" width="9.140625" style="3"/>
    <col min="4377" max="4378" width="0" style="3" hidden="1" customWidth="1"/>
    <col min="4379" max="4608" width="9.140625" style="3"/>
    <col min="4609" max="4609" width="1.85546875" style="3" customWidth="1"/>
    <col min="4610" max="4610" width="19.28515625" style="3" customWidth="1"/>
    <col min="4611" max="4611" width="23.140625" style="3" customWidth="1"/>
    <col min="4612" max="4612" width="20.28515625" style="3" customWidth="1"/>
    <col min="4613" max="4613" width="20.140625" style="3" customWidth="1"/>
    <col min="4614" max="4616" width="0" style="3" hidden="1" customWidth="1"/>
    <col min="4617" max="4617" width="2.7109375" style="3" customWidth="1"/>
    <col min="4618" max="4618" width="27.140625" style="3" customWidth="1"/>
    <col min="4619" max="4619" width="8.28515625" style="3" customWidth="1"/>
    <col min="4620" max="4620" width="4" style="3" customWidth="1"/>
    <col min="4621" max="4621" width="13" style="3" customWidth="1"/>
    <col min="4622" max="4632" width="9.140625" style="3"/>
    <col min="4633" max="4634" width="0" style="3" hidden="1" customWidth="1"/>
    <col min="4635" max="4864" width="9.140625" style="3"/>
    <col min="4865" max="4865" width="1.85546875" style="3" customWidth="1"/>
    <col min="4866" max="4866" width="19.28515625" style="3" customWidth="1"/>
    <col min="4867" max="4867" width="23.140625" style="3" customWidth="1"/>
    <col min="4868" max="4868" width="20.28515625" style="3" customWidth="1"/>
    <col min="4869" max="4869" width="20.140625" style="3" customWidth="1"/>
    <col min="4870" max="4872" width="0" style="3" hidden="1" customWidth="1"/>
    <col min="4873" max="4873" width="2.7109375" style="3" customWidth="1"/>
    <col min="4874" max="4874" width="27.140625" style="3" customWidth="1"/>
    <col min="4875" max="4875" width="8.28515625" style="3" customWidth="1"/>
    <col min="4876" max="4876" width="4" style="3" customWidth="1"/>
    <col min="4877" max="4877" width="13" style="3" customWidth="1"/>
    <col min="4878" max="4888" width="9.140625" style="3"/>
    <col min="4889" max="4890" width="0" style="3" hidden="1" customWidth="1"/>
    <col min="4891" max="5120" width="9.140625" style="3"/>
    <col min="5121" max="5121" width="1.85546875" style="3" customWidth="1"/>
    <col min="5122" max="5122" width="19.28515625" style="3" customWidth="1"/>
    <col min="5123" max="5123" width="23.140625" style="3" customWidth="1"/>
    <col min="5124" max="5124" width="20.28515625" style="3" customWidth="1"/>
    <col min="5125" max="5125" width="20.140625" style="3" customWidth="1"/>
    <col min="5126" max="5128" width="0" style="3" hidden="1" customWidth="1"/>
    <col min="5129" max="5129" width="2.7109375" style="3" customWidth="1"/>
    <col min="5130" max="5130" width="27.140625" style="3" customWidth="1"/>
    <col min="5131" max="5131" width="8.28515625" style="3" customWidth="1"/>
    <col min="5132" max="5132" width="4" style="3" customWidth="1"/>
    <col min="5133" max="5133" width="13" style="3" customWidth="1"/>
    <col min="5134" max="5144" width="9.140625" style="3"/>
    <col min="5145" max="5146" width="0" style="3" hidden="1" customWidth="1"/>
    <col min="5147" max="5376" width="9.140625" style="3"/>
    <col min="5377" max="5377" width="1.85546875" style="3" customWidth="1"/>
    <col min="5378" max="5378" width="19.28515625" style="3" customWidth="1"/>
    <col min="5379" max="5379" width="23.140625" style="3" customWidth="1"/>
    <col min="5380" max="5380" width="20.28515625" style="3" customWidth="1"/>
    <col min="5381" max="5381" width="20.140625" style="3" customWidth="1"/>
    <col min="5382" max="5384" width="0" style="3" hidden="1" customWidth="1"/>
    <col min="5385" max="5385" width="2.7109375" style="3" customWidth="1"/>
    <col min="5386" max="5386" width="27.140625" style="3" customWidth="1"/>
    <col min="5387" max="5387" width="8.28515625" style="3" customWidth="1"/>
    <col min="5388" max="5388" width="4" style="3" customWidth="1"/>
    <col min="5389" max="5389" width="13" style="3" customWidth="1"/>
    <col min="5390" max="5400" width="9.140625" style="3"/>
    <col min="5401" max="5402" width="0" style="3" hidden="1" customWidth="1"/>
    <col min="5403" max="5632" width="9.140625" style="3"/>
    <col min="5633" max="5633" width="1.85546875" style="3" customWidth="1"/>
    <col min="5634" max="5634" width="19.28515625" style="3" customWidth="1"/>
    <col min="5635" max="5635" width="23.140625" style="3" customWidth="1"/>
    <col min="5636" max="5636" width="20.28515625" style="3" customWidth="1"/>
    <col min="5637" max="5637" width="20.140625" style="3" customWidth="1"/>
    <col min="5638" max="5640" width="0" style="3" hidden="1" customWidth="1"/>
    <col min="5641" max="5641" width="2.7109375" style="3" customWidth="1"/>
    <col min="5642" max="5642" width="27.140625" style="3" customWidth="1"/>
    <col min="5643" max="5643" width="8.28515625" style="3" customWidth="1"/>
    <col min="5644" max="5644" width="4" style="3" customWidth="1"/>
    <col min="5645" max="5645" width="13" style="3" customWidth="1"/>
    <col min="5646" max="5656" width="9.140625" style="3"/>
    <col min="5657" max="5658" width="0" style="3" hidden="1" customWidth="1"/>
    <col min="5659" max="5888" width="9.140625" style="3"/>
    <col min="5889" max="5889" width="1.85546875" style="3" customWidth="1"/>
    <col min="5890" max="5890" width="19.28515625" style="3" customWidth="1"/>
    <col min="5891" max="5891" width="23.140625" style="3" customWidth="1"/>
    <col min="5892" max="5892" width="20.28515625" style="3" customWidth="1"/>
    <col min="5893" max="5893" width="20.140625" style="3" customWidth="1"/>
    <col min="5894" max="5896" width="0" style="3" hidden="1" customWidth="1"/>
    <col min="5897" max="5897" width="2.7109375" style="3" customWidth="1"/>
    <col min="5898" max="5898" width="27.140625" style="3" customWidth="1"/>
    <col min="5899" max="5899" width="8.28515625" style="3" customWidth="1"/>
    <col min="5900" max="5900" width="4" style="3" customWidth="1"/>
    <col min="5901" max="5901" width="13" style="3" customWidth="1"/>
    <col min="5902" max="5912" width="9.140625" style="3"/>
    <col min="5913" max="5914" width="0" style="3" hidden="1" customWidth="1"/>
    <col min="5915" max="6144" width="9.140625" style="3"/>
    <col min="6145" max="6145" width="1.85546875" style="3" customWidth="1"/>
    <col min="6146" max="6146" width="19.28515625" style="3" customWidth="1"/>
    <col min="6147" max="6147" width="23.140625" style="3" customWidth="1"/>
    <col min="6148" max="6148" width="20.28515625" style="3" customWidth="1"/>
    <col min="6149" max="6149" width="20.140625" style="3" customWidth="1"/>
    <col min="6150" max="6152" width="0" style="3" hidden="1" customWidth="1"/>
    <col min="6153" max="6153" width="2.7109375" style="3" customWidth="1"/>
    <col min="6154" max="6154" width="27.140625" style="3" customWidth="1"/>
    <col min="6155" max="6155" width="8.28515625" style="3" customWidth="1"/>
    <col min="6156" max="6156" width="4" style="3" customWidth="1"/>
    <col min="6157" max="6157" width="13" style="3" customWidth="1"/>
    <col min="6158" max="6168" width="9.140625" style="3"/>
    <col min="6169" max="6170" width="0" style="3" hidden="1" customWidth="1"/>
    <col min="6171" max="6400" width="9.140625" style="3"/>
    <col min="6401" max="6401" width="1.85546875" style="3" customWidth="1"/>
    <col min="6402" max="6402" width="19.28515625" style="3" customWidth="1"/>
    <col min="6403" max="6403" width="23.140625" style="3" customWidth="1"/>
    <col min="6404" max="6404" width="20.28515625" style="3" customWidth="1"/>
    <col min="6405" max="6405" width="20.140625" style="3" customWidth="1"/>
    <col min="6406" max="6408" width="0" style="3" hidden="1" customWidth="1"/>
    <col min="6409" max="6409" width="2.7109375" style="3" customWidth="1"/>
    <col min="6410" max="6410" width="27.140625" style="3" customWidth="1"/>
    <col min="6411" max="6411" width="8.28515625" style="3" customWidth="1"/>
    <col min="6412" max="6412" width="4" style="3" customWidth="1"/>
    <col min="6413" max="6413" width="13" style="3" customWidth="1"/>
    <col min="6414" max="6424" width="9.140625" style="3"/>
    <col min="6425" max="6426" width="0" style="3" hidden="1" customWidth="1"/>
    <col min="6427" max="6656" width="9.140625" style="3"/>
    <col min="6657" max="6657" width="1.85546875" style="3" customWidth="1"/>
    <col min="6658" max="6658" width="19.28515625" style="3" customWidth="1"/>
    <col min="6659" max="6659" width="23.140625" style="3" customWidth="1"/>
    <col min="6660" max="6660" width="20.28515625" style="3" customWidth="1"/>
    <col min="6661" max="6661" width="20.140625" style="3" customWidth="1"/>
    <col min="6662" max="6664" width="0" style="3" hidden="1" customWidth="1"/>
    <col min="6665" max="6665" width="2.7109375" style="3" customWidth="1"/>
    <col min="6666" max="6666" width="27.140625" style="3" customWidth="1"/>
    <col min="6667" max="6667" width="8.28515625" style="3" customWidth="1"/>
    <col min="6668" max="6668" width="4" style="3" customWidth="1"/>
    <col min="6669" max="6669" width="13" style="3" customWidth="1"/>
    <col min="6670" max="6680" width="9.140625" style="3"/>
    <col min="6681" max="6682" width="0" style="3" hidden="1" customWidth="1"/>
    <col min="6683" max="6912" width="9.140625" style="3"/>
    <col min="6913" max="6913" width="1.85546875" style="3" customWidth="1"/>
    <col min="6914" max="6914" width="19.28515625" style="3" customWidth="1"/>
    <col min="6915" max="6915" width="23.140625" style="3" customWidth="1"/>
    <col min="6916" max="6916" width="20.28515625" style="3" customWidth="1"/>
    <col min="6917" max="6917" width="20.140625" style="3" customWidth="1"/>
    <col min="6918" max="6920" width="0" style="3" hidden="1" customWidth="1"/>
    <col min="6921" max="6921" width="2.7109375" style="3" customWidth="1"/>
    <col min="6922" max="6922" width="27.140625" style="3" customWidth="1"/>
    <col min="6923" max="6923" width="8.28515625" style="3" customWidth="1"/>
    <col min="6924" max="6924" width="4" style="3" customWidth="1"/>
    <col min="6925" max="6925" width="13" style="3" customWidth="1"/>
    <col min="6926" max="6936" width="9.140625" style="3"/>
    <col min="6937" max="6938" width="0" style="3" hidden="1" customWidth="1"/>
    <col min="6939" max="7168" width="9.140625" style="3"/>
    <col min="7169" max="7169" width="1.85546875" style="3" customWidth="1"/>
    <col min="7170" max="7170" width="19.28515625" style="3" customWidth="1"/>
    <col min="7171" max="7171" width="23.140625" style="3" customWidth="1"/>
    <col min="7172" max="7172" width="20.28515625" style="3" customWidth="1"/>
    <col min="7173" max="7173" width="20.140625" style="3" customWidth="1"/>
    <col min="7174" max="7176" width="0" style="3" hidden="1" customWidth="1"/>
    <col min="7177" max="7177" width="2.7109375" style="3" customWidth="1"/>
    <col min="7178" max="7178" width="27.140625" style="3" customWidth="1"/>
    <col min="7179" max="7179" width="8.28515625" style="3" customWidth="1"/>
    <col min="7180" max="7180" width="4" style="3" customWidth="1"/>
    <col min="7181" max="7181" width="13" style="3" customWidth="1"/>
    <col min="7182" max="7192" width="9.140625" style="3"/>
    <col min="7193" max="7194" width="0" style="3" hidden="1" customWidth="1"/>
    <col min="7195" max="7424" width="9.140625" style="3"/>
    <col min="7425" max="7425" width="1.85546875" style="3" customWidth="1"/>
    <col min="7426" max="7426" width="19.28515625" style="3" customWidth="1"/>
    <col min="7427" max="7427" width="23.140625" style="3" customWidth="1"/>
    <col min="7428" max="7428" width="20.28515625" style="3" customWidth="1"/>
    <col min="7429" max="7429" width="20.140625" style="3" customWidth="1"/>
    <col min="7430" max="7432" width="0" style="3" hidden="1" customWidth="1"/>
    <col min="7433" max="7433" width="2.7109375" style="3" customWidth="1"/>
    <col min="7434" max="7434" width="27.140625" style="3" customWidth="1"/>
    <col min="7435" max="7435" width="8.28515625" style="3" customWidth="1"/>
    <col min="7436" max="7436" width="4" style="3" customWidth="1"/>
    <col min="7437" max="7437" width="13" style="3" customWidth="1"/>
    <col min="7438" max="7448" width="9.140625" style="3"/>
    <col min="7449" max="7450" width="0" style="3" hidden="1" customWidth="1"/>
    <col min="7451" max="7680" width="9.140625" style="3"/>
    <col min="7681" max="7681" width="1.85546875" style="3" customWidth="1"/>
    <col min="7682" max="7682" width="19.28515625" style="3" customWidth="1"/>
    <col min="7683" max="7683" width="23.140625" style="3" customWidth="1"/>
    <col min="7684" max="7684" width="20.28515625" style="3" customWidth="1"/>
    <col min="7685" max="7685" width="20.140625" style="3" customWidth="1"/>
    <col min="7686" max="7688" width="0" style="3" hidden="1" customWidth="1"/>
    <col min="7689" max="7689" width="2.7109375" style="3" customWidth="1"/>
    <col min="7690" max="7690" width="27.140625" style="3" customWidth="1"/>
    <col min="7691" max="7691" width="8.28515625" style="3" customWidth="1"/>
    <col min="7692" max="7692" width="4" style="3" customWidth="1"/>
    <col min="7693" max="7693" width="13" style="3" customWidth="1"/>
    <col min="7694" max="7704" width="9.140625" style="3"/>
    <col min="7705" max="7706" width="0" style="3" hidden="1" customWidth="1"/>
    <col min="7707" max="7936" width="9.140625" style="3"/>
    <col min="7937" max="7937" width="1.85546875" style="3" customWidth="1"/>
    <col min="7938" max="7938" width="19.28515625" style="3" customWidth="1"/>
    <col min="7939" max="7939" width="23.140625" style="3" customWidth="1"/>
    <col min="7940" max="7940" width="20.28515625" style="3" customWidth="1"/>
    <col min="7941" max="7941" width="20.140625" style="3" customWidth="1"/>
    <col min="7942" max="7944" width="0" style="3" hidden="1" customWidth="1"/>
    <col min="7945" max="7945" width="2.7109375" style="3" customWidth="1"/>
    <col min="7946" max="7946" width="27.140625" style="3" customWidth="1"/>
    <col min="7947" max="7947" width="8.28515625" style="3" customWidth="1"/>
    <col min="7948" max="7948" width="4" style="3" customWidth="1"/>
    <col min="7949" max="7949" width="13" style="3" customWidth="1"/>
    <col min="7950" max="7960" width="9.140625" style="3"/>
    <col min="7961" max="7962" width="0" style="3" hidden="1" customWidth="1"/>
    <col min="7963" max="8192" width="9.140625" style="3"/>
    <col min="8193" max="8193" width="1.85546875" style="3" customWidth="1"/>
    <col min="8194" max="8194" width="19.28515625" style="3" customWidth="1"/>
    <col min="8195" max="8195" width="23.140625" style="3" customWidth="1"/>
    <col min="8196" max="8196" width="20.28515625" style="3" customWidth="1"/>
    <col min="8197" max="8197" width="20.140625" style="3" customWidth="1"/>
    <col min="8198" max="8200" width="0" style="3" hidden="1" customWidth="1"/>
    <col min="8201" max="8201" width="2.7109375" style="3" customWidth="1"/>
    <col min="8202" max="8202" width="27.140625" style="3" customWidth="1"/>
    <col min="8203" max="8203" width="8.28515625" style="3" customWidth="1"/>
    <col min="8204" max="8204" width="4" style="3" customWidth="1"/>
    <col min="8205" max="8205" width="13" style="3" customWidth="1"/>
    <col min="8206" max="8216" width="9.140625" style="3"/>
    <col min="8217" max="8218" width="0" style="3" hidden="1" customWidth="1"/>
    <col min="8219" max="8448" width="9.140625" style="3"/>
    <col min="8449" max="8449" width="1.85546875" style="3" customWidth="1"/>
    <col min="8450" max="8450" width="19.28515625" style="3" customWidth="1"/>
    <col min="8451" max="8451" width="23.140625" style="3" customWidth="1"/>
    <col min="8452" max="8452" width="20.28515625" style="3" customWidth="1"/>
    <col min="8453" max="8453" width="20.140625" style="3" customWidth="1"/>
    <col min="8454" max="8456" width="0" style="3" hidden="1" customWidth="1"/>
    <col min="8457" max="8457" width="2.7109375" style="3" customWidth="1"/>
    <col min="8458" max="8458" width="27.140625" style="3" customWidth="1"/>
    <col min="8459" max="8459" width="8.28515625" style="3" customWidth="1"/>
    <col min="8460" max="8460" width="4" style="3" customWidth="1"/>
    <col min="8461" max="8461" width="13" style="3" customWidth="1"/>
    <col min="8462" max="8472" width="9.140625" style="3"/>
    <col min="8473" max="8474" width="0" style="3" hidden="1" customWidth="1"/>
    <col min="8475" max="8704" width="9.140625" style="3"/>
    <col min="8705" max="8705" width="1.85546875" style="3" customWidth="1"/>
    <col min="8706" max="8706" width="19.28515625" style="3" customWidth="1"/>
    <col min="8707" max="8707" width="23.140625" style="3" customWidth="1"/>
    <col min="8708" max="8708" width="20.28515625" style="3" customWidth="1"/>
    <col min="8709" max="8709" width="20.140625" style="3" customWidth="1"/>
    <col min="8710" max="8712" width="0" style="3" hidden="1" customWidth="1"/>
    <col min="8713" max="8713" width="2.7109375" style="3" customWidth="1"/>
    <col min="8714" max="8714" width="27.140625" style="3" customWidth="1"/>
    <col min="8715" max="8715" width="8.28515625" style="3" customWidth="1"/>
    <col min="8716" max="8716" width="4" style="3" customWidth="1"/>
    <col min="8717" max="8717" width="13" style="3" customWidth="1"/>
    <col min="8718" max="8728" width="9.140625" style="3"/>
    <col min="8729" max="8730" width="0" style="3" hidden="1" customWidth="1"/>
    <col min="8731" max="8960" width="9.140625" style="3"/>
    <col min="8961" max="8961" width="1.85546875" style="3" customWidth="1"/>
    <col min="8962" max="8962" width="19.28515625" style="3" customWidth="1"/>
    <col min="8963" max="8963" width="23.140625" style="3" customWidth="1"/>
    <col min="8964" max="8964" width="20.28515625" style="3" customWidth="1"/>
    <col min="8965" max="8965" width="20.140625" style="3" customWidth="1"/>
    <col min="8966" max="8968" width="0" style="3" hidden="1" customWidth="1"/>
    <col min="8969" max="8969" width="2.7109375" style="3" customWidth="1"/>
    <col min="8970" max="8970" width="27.140625" style="3" customWidth="1"/>
    <col min="8971" max="8971" width="8.28515625" style="3" customWidth="1"/>
    <col min="8972" max="8972" width="4" style="3" customWidth="1"/>
    <col min="8973" max="8973" width="13" style="3" customWidth="1"/>
    <col min="8974" max="8984" width="9.140625" style="3"/>
    <col min="8985" max="8986" width="0" style="3" hidden="1" customWidth="1"/>
    <col min="8987" max="9216" width="9.140625" style="3"/>
    <col min="9217" max="9217" width="1.85546875" style="3" customWidth="1"/>
    <col min="9218" max="9218" width="19.28515625" style="3" customWidth="1"/>
    <col min="9219" max="9219" width="23.140625" style="3" customWidth="1"/>
    <col min="9220" max="9220" width="20.28515625" style="3" customWidth="1"/>
    <col min="9221" max="9221" width="20.140625" style="3" customWidth="1"/>
    <col min="9222" max="9224" width="0" style="3" hidden="1" customWidth="1"/>
    <col min="9225" max="9225" width="2.7109375" style="3" customWidth="1"/>
    <col min="9226" max="9226" width="27.140625" style="3" customWidth="1"/>
    <col min="9227" max="9227" width="8.28515625" style="3" customWidth="1"/>
    <col min="9228" max="9228" width="4" style="3" customWidth="1"/>
    <col min="9229" max="9229" width="13" style="3" customWidth="1"/>
    <col min="9230" max="9240" width="9.140625" style="3"/>
    <col min="9241" max="9242" width="0" style="3" hidden="1" customWidth="1"/>
    <col min="9243" max="9472" width="9.140625" style="3"/>
    <col min="9473" max="9473" width="1.85546875" style="3" customWidth="1"/>
    <col min="9474" max="9474" width="19.28515625" style="3" customWidth="1"/>
    <col min="9475" max="9475" width="23.140625" style="3" customWidth="1"/>
    <col min="9476" max="9476" width="20.28515625" style="3" customWidth="1"/>
    <col min="9477" max="9477" width="20.140625" style="3" customWidth="1"/>
    <col min="9478" max="9480" width="0" style="3" hidden="1" customWidth="1"/>
    <col min="9481" max="9481" width="2.7109375" style="3" customWidth="1"/>
    <col min="9482" max="9482" width="27.140625" style="3" customWidth="1"/>
    <col min="9483" max="9483" width="8.28515625" style="3" customWidth="1"/>
    <col min="9484" max="9484" width="4" style="3" customWidth="1"/>
    <col min="9485" max="9485" width="13" style="3" customWidth="1"/>
    <col min="9486" max="9496" width="9.140625" style="3"/>
    <col min="9497" max="9498" width="0" style="3" hidden="1" customWidth="1"/>
    <col min="9499" max="9728" width="9.140625" style="3"/>
    <col min="9729" max="9729" width="1.85546875" style="3" customWidth="1"/>
    <col min="9730" max="9730" width="19.28515625" style="3" customWidth="1"/>
    <col min="9731" max="9731" width="23.140625" style="3" customWidth="1"/>
    <col min="9732" max="9732" width="20.28515625" style="3" customWidth="1"/>
    <col min="9733" max="9733" width="20.140625" style="3" customWidth="1"/>
    <col min="9734" max="9736" width="0" style="3" hidden="1" customWidth="1"/>
    <col min="9737" max="9737" width="2.7109375" style="3" customWidth="1"/>
    <col min="9738" max="9738" width="27.140625" style="3" customWidth="1"/>
    <col min="9739" max="9739" width="8.28515625" style="3" customWidth="1"/>
    <col min="9740" max="9740" width="4" style="3" customWidth="1"/>
    <col min="9741" max="9741" width="13" style="3" customWidth="1"/>
    <col min="9742" max="9752" width="9.140625" style="3"/>
    <col min="9753" max="9754" width="0" style="3" hidden="1" customWidth="1"/>
    <col min="9755" max="9984" width="9.140625" style="3"/>
    <col min="9985" max="9985" width="1.85546875" style="3" customWidth="1"/>
    <col min="9986" max="9986" width="19.28515625" style="3" customWidth="1"/>
    <col min="9987" max="9987" width="23.140625" style="3" customWidth="1"/>
    <col min="9988" max="9988" width="20.28515625" style="3" customWidth="1"/>
    <col min="9989" max="9989" width="20.140625" style="3" customWidth="1"/>
    <col min="9990" max="9992" width="0" style="3" hidden="1" customWidth="1"/>
    <col min="9993" max="9993" width="2.7109375" style="3" customWidth="1"/>
    <col min="9994" max="9994" width="27.140625" style="3" customWidth="1"/>
    <col min="9995" max="9995" width="8.28515625" style="3" customWidth="1"/>
    <col min="9996" max="9996" width="4" style="3" customWidth="1"/>
    <col min="9997" max="9997" width="13" style="3" customWidth="1"/>
    <col min="9998" max="10008" width="9.140625" style="3"/>
    <col min="10009" max="10010" width="0" style="3" hidden="1" customWidth="1"/>
    <col min="10011" max="10240" width="9.140625" style="3"/>
    <col min="10241" max="10241" width="1.85546875" style="3" customWidth="1"/>
    <col min="10242" max="10242" width="19.28515625" style="3" customWidth="1"/>
    <col min="10243" max="10243" width="23.140625" style="3" customWidth="1"/>
    <col min="10244" max="10244" width="20.28515625" style="3" customWidth="1"/>
    <col min="10245" max="10245" width="20.140625" style="3" customWidth="1"/>
    <col min="10246" max="10248" width="0" style="3" hidden="1" customWidth="1"/>
    <col min="10249" max="10249" width="2.7109375" style="3" customWidth="1"/>
    <col min="10250" max="10250" width="27.140625" style="3" customWidth="1"/>
    <col min="10251" max="10251" width="8.28515625" style="3" customWidth="1"/>
    <col min="10252" max="10252" width="4" style="3" customWidth="1"/>
    <col min="10253" max="10253" width="13" style="3" customWidth="1"/>
    <col min="10254" max="10264" width="9.140625" style="3"/>
    <col min="10265" max="10266" width="0" style="3" hidden="1" customWidth="1"/>
    <col min="10267" max="10496" width="9.140625" style="3"/>
    <col min="10497" max="10497" width="1.85546875" style="3" customWidth="1"/>
    <col min="10498" max="10498" width="19.28515625" style="3" customWidth="1"/>
    <col min="10499" max="10499" width="23.140625" style="3" customWidth="1"/>
    <col min="10500" max="10500" width="20.28515625" style="3" customWidth="1"/>
    <col min="10501" max="10501" width="20.140625" style="3" customWidth="1"/>
    <col min="10502" max="10504" width="0" style="3" hidden="1" customWidth="1"/>
    <col min="10505" max="10505" width="2.7109375" style="3" customWidth="1"/>
    <col min="10506" max="10506" width="27.140625" style="3" customWidth="1"/>
    <col min="10507" max="10507" width="8.28515625" style="3" customWidth="1"/>
    <col min="10508" max="10508" width="4" style="3" customWidth="1"/>
    <col min="10509" max="10509" width="13" style="3" customWidth="1"/>
    <col min="10510" max="10520" width="9.140625" style="3"/>
    <col min="10521" max="10522" width="0" style="3" hidden="1" customWidth="1"/>
    <col min="10523" max="10752" width="9.140625" style="3"/>
    <col min="10753" max="10753" width="1.85546875" style="3" customWidth="1"/>
    <col min="10754" max="10754" width="19.28515625" style="3" customWidth="1"/>
    <col min="10755" max="10755" width="23.140625" style="3" customWidth="1"/>
    <col min="10756" max="10756" width="20.28515625" style="3" customWidth="1"/>
    <col min="10757" max="10757" width="20.140625" style="3" customWidth="1"/>
    <col min="10758" max="10760" width="0" style="3" hidden="1" customWidth="1"/>
    <col min="10761" max="10761" width="2.7109375" style="3" customWidth="1"/>
    <col min="10762" max="10762" width="27.140625" style="3" customWidth="1"/>
    <col min="10763" max="10763" width="8.28515625" style="3" customWidth="1"/>
    <col min="10764" max="10764" width="4" style="3" customWidth="1"/>
    <col min="10765" max="10765" width="13" style="3" customWidth="1"/>
    <col min="10766" max="10776" width="9.140625" style="3"/>
    <col min="10777" max="10778" width="0" style="3" hidden="1" customWidth="1"/>
    <col min="10779" max="11008" width="9.140625" style="3"/>
    <col min="11009" max="11009" width="1.85546875" style="3" customWidth="1"/>
    <col min="11010" max="11010" width="19.28515625" style="3" customWidth="1"/>
    <col min="11011" max="11011" width="23.140625" style="3" customWidth="1"/>
    <col min="11012" max="11012" width="20.28515625" style="3" customWidth="1"/>
    <col min="11013" max="11013" width="20.140625" style="3" customWidth="1"/>
    <col min="11014" max="11016" width="0" style="3" hidden="1" customWidth="1"/>
    <col min="11017" max="11017" width="2.7109375" style="3" customWidth="1"/>
    <col min="11018" max="11018" width="27.140625" style="3" customWidth="1"/>
    <col min="11019" max="11019" width="8.28515625" style="3" customWidth="1"/>
    <col min="11020" max="11020" width="4" style="3" customWidth="1"/>
    <col min="11021" max="11021" width="13" style="3" customWidth="1"/>
    <col min="11022" max="11032" width="9.140625" style="3"/>
    <col min="11033" max="11034" width="0" style="3" hidden="1" customWidth="1"/>
    <col min="11035" max="11264" width="9.140625" style="3"/>
    <col min="11265" max="11265" width="1.85546875" style="3" customWidth="1"/>
    <col min="11266" max="11266" width="19.28515625" style="3" customWidth="1"/>
    <col min="11267" max="11267" width="23.140625" style="3" customWidth="1"/>
    <col min="11268" max="11268" width="20.28515625" style="3" customWidth="1"/>
    <col min="11269" max="11269" width="20.140625" style="3" customWidth="1"/>
    <col min="11270" max="11272" width="0" style="3" hidden="1" customWidth="1"/>
    <col min="11273" max="11273" width="2.7109375" style="3" customWidth="1"/>
    <col min="11274" max="11274" width="27.140625" style="3" customWidth="1"/>
    <col min="11275" max="11275" width="8.28515625" style="3" customWidth="1"/>
    <col min="11276" max="11276" width="4" style="3" customWidth="1"/>
    <col min="11277" max="11277" width="13" style="3" customWidth="1"/>
    <col min="11278" max="11288" width="9.140625" style="3"/>
    <col min="11289" max="11290" width="0" style="3" hidden="1" customWidth="1"/>
    <col min="11291" max="11520" width="9.140625" style="3"/>
    <col min="11521" max="11521" width="1.85546875" style="3" customWidth="1"/>
    <col min="11522" max="11522" width="19.28515625" style="3" customWidth="1"/>
    <col min="11523" max="11523" width="23.140625" style="3" customWidth="1"/>
    <col min="11524" max="11524" width="20.28515625" style="3" customWidth="1"/>
    <col min="11525" max="11525" width="20.140625" style="3" customWidth="1"/>
    <col min="11526" max="11528" width="0" style="3" hidden="1" customWidth="1"/>
    <col min="11529" max="11529" width="2.7109375" style="3" customWidth="1"/>
    <col min="11530" max="11530" width="27.140625" style="3" customWidth="1"/>
    <col min="11531" max="11531" width="8.28515625" style="3" customWidth="1"/>
    <col min="11532" max="11532" width="4" style="3" customWidth="1"/>
    <col min="11533" max="11533" width="13" style="3" customWidth="1"/>
    <col min="11534" max="11544" width="9.140625" style="3"/>
    <col min="11545" max="11546" width="0" style="3" hidden="1" customWidth="1"/>
    <col min="11547" max="11776" width="9.140625" style="3"/>
    <col min="11777" max="11777" width="1.85546875" style="3" customWidth="1"/>
    <col min="11778" max="11778" width="19.28515625" style="3" customWidth="1"/>
    <col min="11779" max="11779" width="23.140625" style="3" customWidth="1"/>
    <col min="11780" max="11780" width="20.28515625" style="3" customWidth="1"/>
    <col min="11781" max="11781" width="20.140625" style="3" customWidth="1"/>
    <col min="11782" max="11784" width="0" style="3" hidden="1" customWidth="1"/>
    <col min="11785" max="11785" width="2.7109375" style="3" customWidth="1"/>
    <col min="11786" max="11786" width="27.140625" style="3" customWidth="1"/>
    <col min="11787" max="11787" width="8.28515625" style="3" customWidth="1"/>
    <col min="11788" max="11788" width="4" style="3" customWidth="1"/>
    <col min="11789" max="11789" width="13" style="3" customWidth="1"/>
    <col min="11790" max="11800" width="9.140625" style="3"/>
    <col min="11801" max="11802" width="0" style="3" hidden="1" customWidth="1"/>
    <col min="11803" max="12032" width="9.140625" style="3"/>
    <col min="12033" max="12033" width="1.85546875" style="3" customWidth="1"/>
    <col min="12034" max="12034" width="19.28515625" style="3" customWidth="1"/>
    <col min="12035" max="12035" width="23.140625" style="3" customWidth="1"/>
    <col min="12036" max="12036" width="20.28515625" style="3" customWidth="1"/>
    <col min="12037" max="12037" width="20.140625" style="3" customWidth="1"/>
    <col min="12038" max="12040" width="0" style="3" hidden="1" customWidth="1"/>
    <col min="12041" max="12041" width="2.7109375" style="3" customWidth="1"/>
    <col min="12042" max="12042" width="27.140625" style="3" customWidth="1"/>
    <col min="12043" max="12043" width="8.28515625" style="3" customWidth="1"/>
    <col min="12044" max="12044" width="4" style="3" customWidth="1"/>
    <col min="12045" max="12045" width="13" style="3" customWidth="1"/>
    <col min="12046" max="12056" width="9.140625" style="3"/>
    <col min="12057" max="12058" width="0" style="3" hidden="1" customWidth="1"/>
    <col min="12059" max="12288" width="9.140625" style="3"/>
    <col min="12289" max="12289" width="1.85546875" style="3" customWidth="1"/>
    <col min="12290" max="12290" width="19.28515625" style="3" customWidth="1"/>
    <col min="12291" max="12291" width="23.140625" style="3" customWidth="1"/>
    <col min="12292" max="12292" width="20.28515625" style="3" customWidth="1"/>
    <col min="12293" max="12293" width="20.140625" style="3" customWidth="1"/>
    <col min="12294" max="12296" width="0" style="3" hidden="1" customWidth="1"/>
    <col min="12297" max="12297" width="2.7109375" style="3" customWidth="1"/>
    <col min="12298" max="12298" width="27.140625" style="3" customWidth="1"/>
    <col min="12299" max="12299" width="8.28515625" style="3" customWidth="1"/>
    <col min="12300" max="12300" width="4" style="3" customWidth="1"/>
    <col min="12301" max="12301" width="13" style="3" customWidth="1"/>
    <col min="12302" max="12312" width="9.140625" style="3"/>
    <col min="12313" max="12314" width="0" style="3" hidden="1" customWidth="1"/>
    <col min="12315" max="12544" width="9.140625" style="3"/>
    <col min="12545" max="12545" width="1.85546875" style="3" customWidth="1"/>
    <col min="12546" max="12546" width="19.28515625" style="3" customWidth="1"/>
    <col min="12547" max="12547" width="23.140625" style="3" customWidth="1"/>
    <col min="12548" max="12548" width="20.28515625" style="3" customWidth="1"/>
    <col min="12549" max="12549" width="20.140625" style="3" customWidth="1"/>
    <col min="12550" max="12552" width="0" style="3" hidden="1" customWidth="1"/>
    <col min="12553" max="12553" width="2.7109375" style="3" customWidth="1"/>
    <col min="12554" max="12554" width="27.140625" style="3" customWidth="1"/>
    <col min="12555" max="12555" width="8.28515625" style="3" customWidth="1"/>
    <col min="12556" max="12556" width="4" style="3" customWidth="1"/>
    <col min="12557" max="12557" width="13" style="3" customWidth="1"/>
    <col min="12558" max="12568" width="9.140625" style="3"/>
    <col min="12569" max="12570" width="0" style="3" hidden="1" customWidth="1"/>
    <col min="12571" max="12800" width="9.140625" style="3"/>
    <col min="12801" max="12801" width="1.85546875" style="3" customWidth="1"/>
    <col min="12802" max="12802" width="19.28515625" style="3" customWidth="1"/>
    <col min="12803" max="12803" width="23.140625" style="3" customWidth="1"/>
    <col min="12804" max="12804" width="20.28515625" style="3" customWidth="1"/>
    <col min="12805" max="12805" width="20.140625" style="3" customWidth="1"/>
    <col min="12806" max="12808" width="0" style="3" hidden="1" customWidth="1"/>
    <col min="12809" max="12809" width="2.7109375" style="3" customWidth="1"/>
    <col min="12810" max="12810" width="27.140625" style="3" customWidth="1"/>
    <col min="12811" max="12811" width="8.28515625" style="3" customWidth="1"/>
    <col min="12812" max="12812" width="4" style="3" customWidth="1"/>
    <col min="12813" max="12813" width="13" style="3" customWidth="1"/>
    <col min="12814" max="12824" width="9.140625" style="3"/>
    <col min="12825" max="12826" width="0" style="3" hidden="1" customWidth="1"/>
    <col min="12827" max="13056" width="9.140625" style="3"/>
    <col min="13057" max="13057" width="1.85546875" style="3" customWidth="1"/>
    <col min="13058" max="13058" width="19.28515625" style="3" customWidth="1"/>
    <col min="13059" max="13059" width="23.140625" style="3" customWidth="1"/>
    <col min="13060" max="13060" width="20.28515625" style="3" customWidth="1"/>
    <col min="13061" max="13061" width="20.140625" style="3" customWidth="1"/>
    <col min="13062" max="13064" width="0" style="3" hidden="1" customWidth="1"/>
    <col min="13065" max="13065" width="2.7109375" style="3" customWidth="1"/>
    <col min="13066" max="13066" width="27.140625" style="3" customWidth="1"/>
    <col min="13067" max="13067" width="8.28515625" style="3" customWidth="1"/>
    <col min="13068" max="13068" width="4" style="3" customWidth="1"/>
    <col min="13069" max="13069" width="13" style="3" customWidth="1"/>
    <col min="13070" max="13080" width="9.140625" style="3"/>
    <col min="13081" max="13082" width="0" style="3" hidden="1" customWidth="1"/>
    <col min="13083" max="13312" width="9.140625" style="3"/>
    <col min="13313" max="13313" width="1.85546875" style="3" customWidth="1"/>
    <col min="13314" max="13314" width="19.28515625" style="3" customWidth="1"/>
    <col min="13315" max="13315" width="23.140625" style="3" customWidth="1"/>
    <col min="13316" max="13316" width="20.28515625" style="3" customWidth="1"/>
    <col min="13317" max="13317" width="20.140625" style="3" customWidth="1"/>
    <col min="13318" max="13320" width="0" style="3" hidden="1" customWidth="1"/>
    <col min="13321" max="13321" width="2.7109375" style="3" customWidth="1"/>
    <col min="13322" max="13322" width="27.140625" style="3" customWidth="1"/>
    <col min="13323" max="13323" width="8.28515625" style="3" customWidth="1"/>
    <col min="13324" max="13324" width="4" style="3" customWidth="1"/>
    <col min="13325" max="13325" width="13" style="3" customWidth="1"/>
    <col min="13326" max="13336" width="9.140625" style="3"/>
    <col min="13337" max="13338" width="0" style="3" hidden="1" customWidth="1"/>
    <col min="13339" max="13568" width="9.140625" style="3"/>
    <col min="13569" max="13569" width="1.85546875" style="3" customWidth="1"/>
    <col min="13570" max="13570" width="19.28515625" style="3" customWidth="1"/>
    <col min="13571" max="13571" width="23.140625" style="3" customWidth="1"/>
    <col min="13572" max="13572" width="20.28515625" style="3" customWidth="1"/>
    <col min="13573" max="13573" width="20.140625" style="3" customWidth="1"/>
    <col min="13574" max="13576" width="0" style="3" hidden="1" customWidth="1"/>
    <col min="13577" max="13577" width="2.7109375" style="3" customWidth="1"/>
    <col min="13578" max="13578" width="27.140625" style="3" customWidth="1"/>
    <col min="13579" max="13579" width="8.28515625" style="3" customWidth="1"/>
    <col min="13580" max="13580" width="4" style="3" customWidth="1"/>
    <col min="13581" max="13581" width="13" style="3" customWidth="1"/>
    <col min="13582" max="13592" width="9.140625" style="3"/>
    <col min="13593" max="13594" width="0" style="3" hidden="1" customWidth="1"/>
    <col min="13595" max="13824" width="9.140625" style="3"/>
    <col min="13825" max="13825" width="1.85546875" style="3" customWidth="1"/>
    <col min="13826" max="13826" width="19.28515625" style="3" customWidth="1"/>
    <col min="13827" max="13827" width="23.140625" style="3" customWidth="1"/>
    <col min="13828" max="13828" width="20.28515625" style="3" customWidth="1"/>
    <col min="13829" max="13829" width="20.140625" style="3" customWidth="1"/>
    <col min="13830" max="13832" width="0" style="3" hidden="1" customWidth="1"/>
    <col min="13833" max="13833" width="2.7109375" style="3" customWidth="1"/>
    <col min="13834" max="13834" width="27.140625" style="3" customWidth="1"/>
    <col min="13835" max="13835" width="8.28515625" style="3" customWidth="1"/>
    <col min="13836" max="13836" width="4" style="3" customWidth="1"/>
    <col min="13837" max="13837" width="13" style="3" customWidth="1"/>
    <col min="13838" max="13848" width="9.140625" style="3"/>
    <col min="13849" max="13850" width="0" style="3" hidden="1" customWidth="1"/>
    <col min="13851" max="14080" width="9.140625" style="3"/>
    <col min="14081" max="14081" width="1.85546875" style="3" customWidth="1"/>
    <col min="14082" max="14082" width="19.28515625" style="3" customWidth="1"/>
    <col min="14083" max="14083" width="23.140625" style="3" customWidth="1"/>
    <col min="14084" max="14084" width="20.28515625" style="3" customWidth="1"/>
    <col min="14085" max="14085" width="20.140625" style="3" customWidth="1"/>
    <col min="14086" max="14088" width="0" style="3" hidden="1" customWidth="1"/>
    <col min="14089" max="14089" width="2.7109375" style="3" customWidth="1"/>
    <col min="14090" max="14090" width="27.140625" style="3" customWidth="1"/>
    <col min="14091" max="14091" width="8.28515625" style="3" customWidth="1"/>
    <col min="14092" max="14092" width="4" style="3" customWidth="1"/>
    <col min="14093" max="14093" width="13" style="3" customWidth="1"/>
    <col min="14094" max="14104" width="9.140625" style="3"/>
    <col min="14105" max="14106" width="0" style="3" hidden="1" customWidth="1"/>
    <col min="14107" max="14336" width="9.140625" style="3"/>
    <col min="14337" max="14337" width="1.85546875" style="3" customWidth="1"/>
    <col min="14338" max="14338" width="19.28515625" style="3" customWidth="1"/>
    <col min="14339" max="14339" width="23.140625" style="3" customWidth="1"/>
    <col min="14340" max="14340" width="20.28515625" style="3" customWidth="1"/>
    <col min="14341" max="14341" width="20.140625" style="3" customWidth="1"/>
    <col min="14342" max="14344" width="0" style="3" hidden="1" customWidth="1"/>
    <col min="14345" max="14345" width="2.7109375" style="3" customWidth="1"/>
    <col min="14346" max="14346" width="27.140625" style="3" customWidth="1"/>
    <col min="14347" max="14347" width="8.28515625" style="3" customWidth="1"/>
    <col min="14348" max="14348" width="4" style="3" customWidth="1"/>
    <col min="14349" max="14349" width="13" style="3" customWidth="1"/>
    <col min="14350" max="14360" width="9.140625" style="3"/>
    <col min="14361" max="14362" width="0" style="3" hidden="1" customWidth="1"/>
    <col min="14363" max="14592" width="9.140625" style="3"/>
    <col min="14593" max="14593" width="1.85546875" style="3" customWidth="1"/>
    <col min="14594" max="14594" width="19.28515625" style="3" customWidth="1"/>
    <col min="14595" max="14595" width="23.140625" style="3" customWidth="1"/>
    <col min="14596" max="14596" width="20.28515625" style="3" customWidth="1"/>
    <col min="14597" max="14597" width="20.140625" style="3" customWidth="1"/>
    <col min="14598" max="14600" width="0" style="3" hidden="1" customWidth="1"/>
    <col min="14601" max="14601" width="2.7109375" style="3" customWidth="1"/>
    <col min="14602" max="14602" width="27.140625" style="3" customWidth="1"/>
    <col min="14603" max="14603" width="8.28515625" style="3" customWidth="1"/>
    <col min="14604" max="14604" width="4" style="3" customWidth="1"/>
    <col min="14605" max="14605" width="13" style="3" customWidth="1"/>
    <col min="14606" max="14616" width="9.140625" style="3"/>
    <col min="14617" max="14618" width="0" style="3" hidden="1" customWidth="1"/>
    <col min="14619" max="14848" width="9.140625" style="3"/>
    <col min="14849" max="14849" width="1.85546875" style="3" customWidth="1"/>
    <col min="14850" max="14850" width="19.28515625" style="3" customWidth="1"/>
    <col min="14851" max="14851" width="23.140625" style="3" customWidth="1"/>
    <col min="14852" max="14852" width="20.28515625" style="3" customWidth="1"/>
    <col min="14853" max="14853" width="20.140625" style="3" customWidth="1"/>
    <col min="14854" max="14856" width="0" style="3" hidden="1" customWidth="1"/>
    <col min="14857" max="14857" width="2.7109375" style="3" customWidth="1"/>
    <col min="14858" max="14858" width="27.140625" style="3" customWidth="1"/>
    <col min="14859" max="14859" width="8.28515625" style="3" customWidth="1"/>
    <col min="14860" max="14860" width="4" style="3" customWidth="1"/>
    <col min="14861" max="14861" width="13" style="3" customWidth="1"/>
    <col min="14862" max="14872" width="9.140625" style="3"/>
    <col min="14873" max="14874" width="0" style="3" hidden="1" customWidth="1"/>
    <col min="14875" max="15104" width="9.140625" style="3"/>
    <col min="15105" max="15105" width="1.85546875" style="3" customWidth="1"/>
    <col min="15106" max="15106" width="19.28515625" style="3" customWidth="1"/>
    <col min="15107" max="15107" width="23.140625" style="3" customWidth="1"/>
    <col min="15108" max="15108" width="20.28515625" style="3" customWidth="1"/>
    <col min="15109" max="15109" width="20.140625" style="3" customWidth="1"/>
    <col min="15110" max="15112" width="0" style="3" hidden="1" customWidth="1"/>
    <col min="15113" max="15113" width="2.7109375" style="3" customWidth="1"/>
    <col min="15114" max="15114" width="27.140625" style="3" customWidth="1"/>
    <col min="15115" max="15115" width="8.28515625" style="3" customWidth="1"/>
    <col min="15116" max="15116" width="4" style="3" customWidth="1"/>
    <col min="15117" max="15117" width="13" style="3" customWidth="1"/>
    <col min="15118" max="15128" width="9.140625" style="3"/>
    <col min="15129" max="15130" width="0" style="3" hidden="1" customWidth="1"/>
    <col min="15131" max="15360" width="9.140625" style="3"/>
    <col min="15361" max="15361" width="1.85546875" style="3" customWidth="1"/>
    <col min="15362" max="15362" width="19.28515625" style="3" customWidth="1"/>
    <col min="15363" max="15363" width="23.140625" style="3" customWidth="1"/>
    <col min="15364" max="15364" width="20.28515625" style="3" customWidth="1"/>
    <col min="15365" max="15365" width="20.140625" style="3" customWidth="1"/>
    <col min="15366" max="15368" width="0" style="3" hidden="1" customWidth="1"/>
    <col min="15369" max="15369" width="2.7109375" style="3" customWidth="1"/>
    <col min="15370" max="15370" width="27.140625" style="3" customWidth="1"/>
    <col min="15371" max="15371" width="8.28515625" style="3" customWidth="1"/>
    <col min="15372" max="15372" width="4" style="3" customWidth="1"/>
    <col min="15373" max="15373" width="13" style="3" customWidth="1"/>
    <col min="15374" max="15384" width="9.140625" style="3"/>
    <col min="15385" max="15386" width="0" style="3" hidden="1" customWidth="1"/>
    <col min="15387" max="15616" width="9.140625" style="3"/>
    <col min="15617" max="15617" width="1.85546875" style="3" customWidth="1"/>
    <col min="15618" max="15618" width="19.28515625" style="3" customWidth="1"/>
    <col min="15619" max="15619" width="23.140625" style="3" customWidth="1"/>
    <col min="15620" max="15620" width="20.28515625" style="3" customWidth="1"/>
    <col min="15621" max="15621" width="20.140625" style="3" customWidth="1"/>
    <col min="15622" max="15624" width="0" style="3" hidden="1" customWidth="1"/>
    <col min="15625" max="15625" width="2.7109375" style="3" customWidth="1"/>
    <col min="15626" max="15626" width="27.140625" style="3" customWidth="1"/>
    <col min="15627" max="15627" width="8.28515625" style="3" customWidth="1"/>
    <col min="15628" max="15628" width="4" style="3" customWidth="1"/>
    <col min="15629" max="15629" width="13" style="3" customWidth="1"/>
    <col min="15630" max="15640" width="9.140625" style="3"/>
    <col min="15641" max="15642" width="0" style="3" hidden="1" customWidth="1"/>
    <col min="15643" max="15872" width="9.140625" style="3"/>
    <col min="15873" max="15873" width="1.85546875" style="3" customWidth="1"/>
    <col min="15874" max="15874" width="19.28515625" style="3" customWidth="1"/>
    <col min="15875" max="15875" width="23.140625" style="3" customWidth="1"/>
    <col min="15876" max="15876" width="20.28515625" style="3" customWidth="1"/>
    <col min="15877" max="15877" width="20.140625" style="3" customWidth="1"/>
    <col min="15878" max="15880" width="0" style="3" hidden="1" customWidth="1"/>
    <col min="15881" max="15881" width="2.7109375" style="3" customWidth="1"/>
    <col min="15882" max="15882" width="27.140625" style="3" customWidth="1"/>
    <col min="15883" max="15883" width="8.28515625" style="3" customWidth="1"/>
    <col min="15884" max="15884" width="4" style="3" customWidth="1"/>
    <col min="15885" max="15885" width="13" style="3" customWidth="1"/>
    <col min="15886" max="15896" width="9.140625" style="3"/>
    <col min="15897" max="15898" width="0" style="3" hidden="1" customWidth="1"/>
    <col min="15899" max="16128" width="9.140625" style="3"/>
    <col min="16129" max="16129" width="1.85546875" style="3" customWidth="1"/>
    <col min="16130" max="16130" width="19.28515625" style="3" customWidth="1"/>
    <col min="16131" max="16131" width="23.140625" style="3" customWidth="1"/>
    <col min="16132" max="16132" width="20.28515625" style="3" customWidth="1"/>
    <col min="16133" max="16133" width="20.140625" style="3" customWidth="1"/>
    <col min="16134" max="16136" width="0" style="3" hidden="1" customWidth="1"/>
    <col min="16137" max="16137" width="2.7109375" style="3" customWidth="1"/>
    <col min="16138" max="16138" width="27.140625" style="3" customWidth="1"/>
    <col min="16139" max="16139" width="8.28515625" style="3" customWidth="1"/>
    <col min="16140" max="16140" width="4" style="3" customWidth="1"/>
    <col min="16141" max="16141" width="13" style="3" customWidth="1"/>
    <col min="16142" max="16152" width="9.140625" style="3"/>
    <col min="16153" max="16154" width="0" style="3" hidden="1" customWidth="1"/>
    <col min="16155" max="16384" width="9.140625" style="3"/>
  </cols>
  <sheetData>
    <row r="1" spans="2:26" ht="12.75" customHeight="1" thickBot="1" x14ac:dyDescent="0.25">
      <c r="B1" s="453" t="s">
        <v>205</v>
      </c>
      <c r="C1" s="453"/>
      <c r="D1" s="453"/>
      <c r="E1" s="453"/>
      <c r="Y1" s="37" t="s">
        <v>0</v>
      </c>
      <c r="Z1" s="37" t="s">
        <v>206</v>
      </c>
    </row>
    <row r="2" spans="2:26" ht="31.5" customHeight="1" thickBot="1" x14ac:dyDescent="0.25">
      <c r="B2" s="454" t="s">
        <v>207</v>
      </c>
      <c r="C2" s="455"/>
      <c r="D2" s="455"/>
      <c r="E2" s="456"/>
      <c r="Y2" s="37" t="s">
        <v>2</v>
      </c>
      <c r="Z2" s="37" t="s">
        <v>208</v>
      </c>
    </row>
    <row r="3" spans="2:26" ht="39.75" customHeight="1" x14ac:dyDescent="0.2">
      <c r="B3" s="457" t="s">
        <v>45</v>
      </c>
      <c r="C3" s="458"/>
      <c r="D3" s="458"/>
      <c r="E3" s="459"/>
      <c r="Y3" s="37" t="s">
        <v>5</v>
      </c>
      <c r="Z3" s="37"/>
    </row>
    <row r="4" spans="2:26" ht="40.5" customHeight="1" thickBot="1" x14ac:dyDescent="0.3">
      <c r="B4" s="460" t="s">
        <v>325</v>
      </c>
      <c r="C4" s="461"/>
      <c r="D4" s="461"/>
      <c r="E4" s="462"/>
      <c r="F4" s="172" t="s">
        <v>287</v>
      </c>
      <c r="Y4" s="37" t="s">
        <v>8</v>
      </c>
      <c r="Z4" s="37" t="s">
        <v>210</v>
      </c>
    </row>
    <row r="5" spans="2:26" ht="84" customHeight="1" thickBot="1" x14ac:dyDescent="0.4">
      <c r="B5" s="173" t="s">
        <v>211</v>
      </c>
      <c r="C5" s="174"/>
      <c r="D5" s="175"/>
      <c r="E5" s="176"/>
      <c r="H5" s="177">
        <v>2</v>
      </c>
      <c r="Y5" s="3">
        <v>2</v>
      </c>
    </row>
    <row r="6" spans="2:26" ht="22.5" customHeight="1" x14ac:dyDescent="0.2">
      <c r="B6" s="463" t="s">
        <v>212</v>
      </c>
      <c r="C6" s="464"/>
      <c r="D6" s="178">
        <v>90.9</v>
      </c>
      <c r="E6" s="179" t="s">
        <v>213</v>
      </c>
      <c r="J6" s="180" t="s">
        <v>214</v>
      </c>
    </row>
    <row r="7" spans="2:26" ht="22.5" customHeight="1" thickBot="1" x14ac:dyDescent="0.25">
      <c r="B7" s="465"/>
      <c r="C7" s="466"/>
      <c r="D7" s="181" t="s">
        <v>335</v>
      </c>
      <c r="E7" s="179" t="s">
        <v>215</v>
      </c>
      <c r="F7" s="182"/>
      <c r="G7" s="183"/>
      <c r="H7" s="184" t="s">
        <v>216</v>
      </c>
      <c r="J7" s="185"/>
      <c r="L7" s="186">
        <f>G40</f>
        <v>3</v>
      </c>
    </row>
    <row r="8" spans="2:26" x14ac:dyDescent="0.2">
      <c r="B8" s="187" t="s">
        <v>217</v>
      </c>
      <c r="C8" s="188" t="s">
        <v>218</v>
      </c>
      <c r="D8" s="189" t="str">
        <f>IF($H$5=1,"Dev from Nominal","Measured Values")</f>
        <v>Measured Values</v>
      </c>
      <c r="E8" s="190" t="str">
        <f>IF($H$5=1,"Measured Values","Dev. From Nominal")</f>
        <v>Dev. From Nominal</v>
      </c>
      <c r="F8" s="191" t="s">
        <v>219</v>
      </c>
      <c r="G8" s="191" t="s">
        <v>220</v>
      </c>
      <c r="H8" s="42" t="s">
        <v>221</v>
      </c>
      <c r="J8" s="192"/>
    </row>
    <row r="9" spans="2:26" ht="15" x14ac:dyDescent="0.25">
      <c r="B9" s="193" t="s">
        <v>222</v>
      </c>
      <c r="C9" s="284" t="s">
        <v>337</v>
      </c>
      <c r="D9" s="288">
        <v>90.9</v>
      </c>
      <c r="E9" s="195">
        <f t="shared" ref="E9:E38" ca="1" si="0">IF($H$5=1,G9,F9)</f>
        <v>0</v>
      </c>
      <c r="F9" s="196">
        <f ca="1">IF(INDIRECT("D9")="","",(INDIRECT("D9")-$D$6))</f>
        <v>0</v>
      </c>
      <c r="G9" s="196">
        <f ca="1">IF(INDIRECT("D9")="","",(INDIRECT("D9")+$D$6))</f>
        <v>181.8</v>
      </c>
      <c r="H9" s="196">
        <f ca="1">IF(INDIRECT("D9")="","",(INDIRECT("D9")-$F$42))</f>
        <v>-0.96666666666666856</v>
      </c>
      <c r="J9" s="197"/>
      <c r="L9" s="452" t="s">
        <v>223</v>
      </c>
      <c r="M9" s="452"/>
    </row>
    <row r="10" spans="2:26" ht="15" x14ac:dyDescent="0.25">
      <c r="B10" s="193" t="s">
        <v>224</v>
      </c>
      <c r="C10" s="194" t="s">
        <v>338</v>
      </c>
      <c r="D10" s="288">
        <v>90.9</v>
      </c>
      <c r="E10" s="195">
        <f t="shared" ca="1" si="0"/>
        <v>0</v>
      </c>
      <c r="F10" s="196">
        <f ca="1">IF(INDIRECT("D10")="","",(INDIRECT("D10")-$D$6))</f>
        <v>0</v>
      </c>
      <c r="G10" s="196">
        <f ca="1">IF(INDIRECT("D10")="","",(INDIRECT("D10")+$D$6))</f>
        <v>181.8</v>
      </c>
      <c r="H10" s="196">
        <f ca="1">IF(INDIRECT("D10")="","",(INDIRECT("D10")-$F$42))</f>
        <v>-0.96666666666666856</v>
      </c>
      <c r="J10" s="197"/>
      <c r="L10" s="429" t="s">
        <v>225</v>
      </c>
      <c r="M10" s="429"/>
    </row>
    <row r="11" spans="2:26" ht="15" x14ac:dyDescent="0.25">
      <c r="B11" s="193" t="s">
        <v>226</v>
      </c>
      <c r="C11" s="284" t="s">
        <v>339</v>
      </c>
      <c r="D11" s="288">
        <v>90.8</v>
      </c>
      <c r="E11" s="195">
        <f t="shared" ca="1" si="0"/>
        <v>-0.10000000000000853</v>
      </c>
      <c r="F11" s="196">
        <f ca="1">IF(INDIRECT("D11")="","",(INDIRECT("D11")-$D$6))</f>
        <v>-0.10000000000000853</v>
      </c>
      <c r="G11" s="196">
        <f ca="1">IF(INDIRECT("D11")="","",(INDIRECT("D11")+$D$6))</f>
        <v>181.7</v>
      </c>
      <c r="H11" s="196">
        <f ca="1">IF(INDIRECT("D11")="","",(INDIRECT("D11")-$F$42))</f>
        <v>-1.0666666666666771</v>
      </c>
      <c r="J11" s="197"/>
      <c r="L11" s="429"/>
      <c r="M11" s="429"/>
    </row>
    <row r="12" spans="2:26" ht="15" customHeight="1" thickBot="1" x14ac:dyDescent="0.3">
      <c r="B12" s="193" t="s">
        <v>227</v>
      </c>
      <c r="C12" s="194"/>
      <c r="D12" s="288"/>
      <c r="E12" s="195" t="str">
        <f t="shared" ca="1" si="0"/>
        <v/>
      </c>
      <c r="F12" s="196" t="str">
        <f ca="1">IF(INDIRECT("D12")="","",(INDIRECT("D12")-$D$6))</f>
        <v/>
      </c>
      <c r="G12" s="196" t="str">
        <f ca="1">IF(INDIRECT("D12")="","",(INDIRECT("D12")+$D$6))</f>
        <v/>
      </c>
      <c r="H12" s="196" t="str">
        <f ca="1">IF(INDIRECT("D12")="","",(INDIRECT("D12")-$F$42))</f>
        <v/>
      </c>
      <c r="J12" s="198"/>
    </row>
    <row r="13" spans="2:26" ht="15" customHeight="1" thickBot="1" x14ac:dyDescent="0.3">
      <c r="B13" s="193" t="s">
        <v>228</v>
      </c>
      <c r="C13" s="194"/>
      <c r="D13" s="288"/>
      <c r="E13" s="195" t="str">
        <f t="shared" ca="1" si="0"/>
        <v/>
      </c>
      <c r="F13" s="196" t="str">
        <f ca="1">IF(INDIRECT("D13")="","",(INDIRECT("D13")-$D$6))</f>
        <v/>
      </c>
      <c r="G13" s="196" t="str">
        <f ca="1">IF(INDIRECT("D13")="","",(INDIRECT("D13")+$D$6))</f>
        <v/>
      </c>
      <c r="H13" s="196" t="str">
        <f ca="1">IF(INDIRECT("D13")="","",(INDIRECT("D13")-$F$42))</f>
        <v/>
      </c>
      <c r="I13" s="36"/>
      <c r="J13" s="199" t="s">
        <v>229</v>
      </c>
      <c r="M13" s="93"/>
    </row>
    <row r="14" spans="2:26" ht="15" customHeight="1" x14ac:dyDescent="0.25">
      <c r="B14" s="193" t="s">
        <v>230</v>
      </c>
      <c r="C14" s="194"/>
      <c r="D14" s="288"/>
      <c r="E14" s="195" t="str">
        <f t="shared" ca="1" si="0"/>
        <v/>
      </c>
      <c r="F14" s="196" t="str">
        <f ca="1">IF(INDIRECT("D14")="","",(INDIRECT("D14")-$D$6))</f>
        <v/>
      </c>
      <c r="G14" s="196" t="str">
        <f ca="1">IF(INDIRECT("D14")="","",(INDIRECT("D14")+$D$6))</f>
        <v/>
      </c>
      <c r="H14" s="196" t="str">
        <f ca="1">IF(INDIRECT("D14")="","",(INDIRECT("D14")-$F$42))</f>
        <v/>
      </c>
      <c r="I14" s="36"/>
      <c r="J14" s="430" t="s">
        <v>231</v>
      </c>
      <c r="K14" s="431"/>
      <c r="L14" s="431"/>
      <c r="M14" s="432"/>
    </row>
    <row r="15" spans="2:26" ht="15" customHeight="1" x14ac:dyDescent="0.25">
      <c r="B15" s="193" t="s">
        <v>232</v>
      </c>
      <c r="C15" s="194"/>
      <c r="D15" s="288"/>
      <c r="E15" s="195" t="str">
        <f t="shared" ca="1" si="0"/>
        <v/>
      </c>
      <c r="F15" s="196" t="str">
        <f ca="1">IF(INDIRECT("D15")="","",(INDIRECT("D15")-$D$6))</f>
        <v/>
      </c>
      <c r="G15" s="196" t="str">
        <f ca="1">IF(INDIRECT("D15")="","",(INDIRECT("D15")+$D$6))</f>
        <v/>
      </c>
      <c r="H15" s="196" t="str">
        <f ca="1">IF(INDIRECT("D15")="","",(INDIRECT("D15")-$F$42))</f>
        <v/>
      </c>
      <c r="I15" s="36"/>
      <c r="J15" s="433"/>
      <c r="K15" s="434"/>
      <c r="L15" s="434"/>
      <c r="M15" s="435"/>
    </row>
    <row r="16" spans="2:26" ht="15" customHeight="1" x14ac:dyDescent="0.25">
      <c r="B16" s="193" t="s">
        <v>233</v>
      </c>
      <c r="C16" s="194"/>
      <c r="D16" s="288"/>
      <c r="E16" s="195" t="str">
        <f t="shared" ca="1" si="0"/>
        <v/>
      </c>
      <c r="F16" s="196" t="str">
        <f ca="1">IF(INDIRECT("D16")="","",(INDIRECT("D16")-$D$6))</f>
        <v/>
      </c>
      <c r="G16" s="196" t="str">
        <f ca="1">IF(INDIRECT("D16")="","",(INDIRECT("D16")+$D$6))</f>
        <v/>
      </c>
      <c r="H16" s="196" t="str">
        <f ca="1">IF(INDIRECT("D16")="","",(INDIRECT("D16")-$F$42))</f>
        <v/>
      </c>
      <c r="I16" s="36"/>
      <c r="J16" s="433"/>
      <c r="K16" s="434"/>
      <c r="L16" s="434"/>
      <c r="M16" s="435"/>
    </row>
    <row r="17" spans="2:13" ht="15" customHeight="1" x14ac:dyDescent="0.25">
      <c r="B17" s="193" t="s">
        <v>234</v>
      </c>
      <c r="C17" s="194"/>
      <c r="D17" s="288"/>
      <c r="E17" s="195" t="str">
        <f t="shared" ca="1" si="0"/>
        <v/>
      </c>
      <c r="F17" s="196" t="str">
        <f ca="1">IF(INDIRECT("D17")="","",(INDIRECT("D17")-$D$6))</f>
        <v/>
      </c>
      <c r="G17" s="196" t="str">
        <f ca="1">IF(INDIRECT("D17")="","",(INDIRECT("D17")+$D$6))</f>
        <v/>
      </c>
      <c r="H17" s="196" t="str">
        <f ca="1">IF(INDIRECT("D17")="","",(INDIRECT("D17")-$F$42))</f>
        <v/>
      </c>
      <c r="I17" s="36"/>
      <c r="J17" s="433" t="s">
        <v>235</v>
      </c>
      <c r="K17" s="434"/>
      <c r="L17" s="434"/>
      <c r="M17" s="435"/>
    </row>
    <row r="18" spans="2:13" ht="15" x14ac:dyDescent="0.25">
      <c r="B18" s="193" t="s">
        <v>236</v>
      </c>
      <c r="C18" s="194"/>
      <c r="D18" s="288"/>
      <c r="E18" s="195" t="str">
        <f t="shared" ca="1" si="0"/>
        <v/>
      </c>
      <c r="F18" s="196" t="str">
        <f ca="1">IF(INDIRECT("D18")="","",(INDIRECT("D18")-$D$6))</f>
        <v/>
      </c>
      <c r="G18" s="196" t="str">
        <f ca="1">IF(INDIRECT("D18")="","",(INDIRECT("D18")+$D$6))</f>
        <v/>
      </c>
      <c r="H18" s="196" t="str">
        <f ca="1">IF(INDIRECT("D18")="","",(INDIRECT("D18")-$F$42))</f>
        <v/>
      </c>
      <c r="I18" s="36"/>
      <c r="J18" s="433"/>
      <c r="K18" s="434"/>
      <c r="L18" s="434"/>
      <c r="M18" s="435"/>
    </row>
    <row r="19" spans="2:13" ht="15" x14ac:dyDescent="0.25">
      <c r="B19" s="193" t="s">
        <v>237</v>
      </c>
      <c r="C19" s="194"/>
      <c r="D19" s="288"/>
      <c r="E19" s="195" t="str">
        <f t="shared" ca="1" si="0"/>
        <v/>
      </c>
      <c r="F19" s="196" t="str">
        <f ca="1">IF(INDIRECT("D19")="","",(INDIRECT("D19")-$D$6))</f>
        <v/>
      </c>
      <c r="G19" s="196" t="str">
        <f ca="1">IF(INDIRECT("D19")="","",(INDIRECT("D19")+$D$6))</f>
        <v/>
      </c>
      <c r="H19" s="196" t="str">
        <f ca="1">IF(INDIRECT("D19")="","",(INDIRECT("D19")-$F$42))</f>
        <v/>
      </c>
      <c r="I19" s="36"/>
      <c r="J19" s="433"/>
      <c r="K19" s="434"/>
      <c r="L19" s="434"/>
      <c r="M19" s="435"/>
    </row>
    <row r="20" spans="2:13" ht="15" x14ac:dyDescent="0.25">
      <c r="B20" s="193" t="s">
        <v>238</v>
      </c>
      <c r="C20" s="194"/>
      <c r="D20" s="288"/>
      <c r="E20" s="195" t="str">
        <f t="shared" ca="1" si="0"/>
        <v/>
      </c>
      <c r="F20" s="196" t="str">
        <f ca="1">IF(INDIRECT("D20")="","",(INDIRECT("D20")-$D$6))</f>
        <v/>
      </c>
      <c r="G20" s="196" t="str">
        <f ca="1">IF(INDIRECT("D20")="","",(INDIRECT("D20")+$D$6))</f>
        <v/>
      </c>
      <c r="H20" s="196" t="str">
        <f ca="1">IF(INDIRECT("D20")="","",(INDIRECT("D20")-$F$42))</f>
        <v/>
      </c>
      <c r="I20" s="36"/>
      <c r="J20" s="433"/>
      <c r="K20" s="434"/>
      <c r="L20" s="434"/>
      <c r="M20" s="435"/>
    </row>
    <row r="21" spans="2:13" ht="15" x14ac:dyDescent="0.25">
      <c r="B21" s="193" t="s">
        <v>239</v>
      </c>
      <c r="C21" s="194"/>
      <c r="D21" s="288"/>
      <c r="E21" s="195" t="str">
        <f t="shared" ca="1" si="0"/>
        <v/>
      </c>
      <c r="F21" s="196" t="str">
        <f ca="1">IF(INDIRECT("D21")="","",(INDIRECT("D21")-$D$6))</f>
        <v/>
      </c>
      <c r="G21" s="196" t="str">
        <f ca="1">IF(INDIRECT("D21")="","",(INDIRECT("D21")+$D$6))</f>
        <v/>
      </c>
      <c r="H21" s="196" t="str">
        <f ca="1">IF(INDIRECT("D21")="","",(INDIRECT("D21")-$F$42))</f>
        <v/>
      </c>
      <c r="I21" s="36"/>
      <c r="J21" s="433"/>
      <c r="K21" s="434"/>
      <c r="L21" s="434"/>
      <c r="M21" s="435"/>
    </row>
    <row r="22" spans="2:13" ht="15" x14ac:dyDescent="0.25">
      <c r="B22" s="193" t="s">
        <v>240</v>
      </c>
      <c r="C22" s="194"/>
      <c r="D22" s="288"/>
      <c r="E22" s="195" t="str">
        <f t="shared" ca="1" si="0"/>
        <v/>
      </c>
      <c r="F22" s="196" t="str">
        <f ca="1">IF(INDIRECT("D22")="","",(INDIRECT("D22")-$D$6))</f>
        <v/>
      </c>
      <c r="G22" s="196" t="str">
        <f ca="1">IF(INDIRECT("D22")="","",(INDIRECT("D22")+$D$6))</f>
        <v/>
      </c>
      <c r="H22" s="196" t="str">
        <f ca="1">IF(INDIRECT("D22")="","",(INDIRECT("D22")-$F$42))</f>
        <v/>
      </c>
      <c r="I22" s="36"/>
      <c r="J22" s="433"/>
      <c r="K22" s="434"/>
      <c r="L22" s="434"/>
      <c r="M22" s="435"/>
    </row>
    <row r="23" spans="2:13" ht="15" x14ac:dyDescent="0.25">
      <c r="B23" s="193" t="s">
        <v>241</v>
      </c>
      <c r="C23" s="194"/>
      <c r="D23" s="288"/>
      <c r="E23" s="195" t="str">
        <f t="shared" ca="1" si="0"/>
        <v/>
      </c>
      <c r="F23" s="196" t="str">
        <f ca="1">IF(INDIRECT("D23")="","",(INDIRECT("D23")-$D$6))</f>
        <v/>
      </c>
      <c r="G23" s="196" t="str">
        <f ca="1">IF(INDIRECT("D23")="","",(INDIRECT("D23")+$D$6))</f>
        <v/>
      </c>
      <c r="H23" s="196" t="str">
        <f ca="1">IF(INDIRECT("D23")="","",(INDIRECT("D23")-$F$42))</f>
        <v/>
      </c>
      <c r="I23" s="36"/>
      <c r="J23" s="433" t="s">
        <v>242</v>
      </c>
      <c r="K23" s="434"/>
      <c r="L23" s="434"/>
      <c r="M23" s="435"/>
    </row>
    <row r="24" spans="2:13" ht="15" x14ac:dyDescent="0.25">
      <c r="B24" s="193" t="s">
        <v>243</v>
      </c>
      <c r="C24" s="194"/>
      <c r="D24" s="288"/>
      <c r="E24" s="195" t="str">
        <f t="shared" ca="1" si="0"/>
        <v/>
      </c>
      <c r="F24" s="196" t="str">
        <f ca="1">IF(INDIRECT("D24")="","",(INDIRECT("D24")-$D$6))</f>
        <v/>
      </c>
      <c r="G24" s="196" t="str">
        <f ca="1">IF(INDIRECT("D24")="","",(INDIRECT("D24")+$D$6))</f>
        <v/>
      </c>
      <c r="H24" s="196" t="str">
        <f ca="1">IF(INDIRECT("D24")="","",(INDIRECT("D24")-$F$42))</f>
        <v/>
      </c>
      <c r="I24" s="36"/>
      <c r="J24" s="433"/>
      <c r="K24" s="434"/>
      <c r="L24" s="434"/>
      <c r="M24" s="435"/>
    </row>
    <row r="25" spans="2:13" ht="15" customHeight="1" x14ac:dyDescent="0.25">
      <c r="B25" s="193" t="s">
        <v>244</v>
      </c>
      <c r="C25" s="194"/>
      <c r="D25" s="288"/>
      <c r="E25" s="195" t="str">
        <f t="shared" ca="1" si="0"/>
        <v/>
      </c>
      <c r="F25" s="196" t="str">
        <f ca="1">IF(INDIRECT("D25")="","",(INDIRECT("D25")-$D$6))</f>
        <v/>
      </c>
      <c r="G25" s="196" t="str">
        <f ca="1">IF(INDIRECT("D25")="","",(INDIRECT("D25")+$D$6))</f>
        <v/>
      </c>
      <c r="H25" s="196" t="str">
        <f ca="1">IF(INDIRECT("D25")="","",(INDIRECT("D25")-$F$42))</f>
        <v/>
      </c>
      <c r="I25" s="36"/>
      <c r="J25" s="433"/>
      <c r="K25" s="434"/>
      <c r="L25" s="434"/>
      <c r="M25" s="435"/>
    </row>
    <row r="26" spans="2:13" ht="15" customHeight="1" x14ac:dyDescent="0.25">
      <c r="B26" s="193" t="s">
        <v>245</v>
      </c>
      <c r="C26" s="194"/>
      <c r="D26" s="288"/>
      <c r="E26" s="195" t="str">
        <f t="shared" ca="1" si="0"/>
        <v/>
      </c>
      <c r="F26" s="196" t="str">
        <f ca="1">IF(INDIRECT("D26")="","",(INDIRECT("D26")-$D$6))</f>
        <v/>
      </c>
      <c r="G26" s="196" t="str">
        <f ca="1">IF(INDIRECT("D26")="","",(INDIRECT("D26")+$D$6))</f>
        <v/>
      </c>
      <c r="H26" s="196" t="str">
        <f ca="1">IF(INDIRECT("D26")="","",(INDIRECT("D26")-$F$42))</f>
        <v/>
      </c>
      <c r="I26" s="36"/>
      <c r="J26" s="433"/>
      <c r="K26" s="434"/>
      <c r="L26" s="434"/>
      <c r="M26" s="435"/>
    </row>
    <row r="27" spans="2:13" ht="15" x14ac:dyDescent="0.25">
      <c r="B27" s="193" t="s">
        <v>246</v>
      </c>
      <c r="C27" s="194"/>
      <c r="D27" s="288"/>
      <c r="E27" s="195" t="str">
        <f t="shared" ca="1" si="0"/>
        <v/>
      </c>
      <c r="F27" s="196" t="str">
        <f ca="1">IF(INDIRECT("D27")="","",(INDIRECT("D27")-$D$6))</f>
        <v/>
      </c>
      <c r="G27" s="196" t="str">
        <f ca="1">IF(INDIRECT("D27")="","",(INDIRECT("D27")+$D$6))</f>
        <v/>
      </c>
      <c r="H27" s="196" t="str">
        <f ca="1">IF(INDIRECT("D27")="","",(INDIRECT("D27")-$F$42))</f>
        <v/>
      </c>
      <c r="I27" s="36"/>
      <c r="J27" s="433"/>
      <c r="K27" s="434"/>
      <c r="L27" s="434"/>
      <c r="M27" s="435"/>
    </row>
    <row r="28" spans="2:13" ht="15" x14ac:dyDescent="0.25">
      <c r="B28" s="193" t="s">
        <v>247</v>
      </c>
      <c r="C28" s="194"/>
      <c r="D28" s="288"/>
      <c r="E28" s="195" t="str">
        <f t="shared" ca="1" si="0"/>
        <v/>
      </c>
      <c r="F28" s="196" t="str">
        <f ca="1">IF(INDIRECT("D28")="","",(INDIRECT("D28")-$D$6))</f>
        <v/>
      </c>
      <c r="G28" s="196" t="str">
        <f ca="1">IF(INDIRECT("D28")="","",(INDIRECT("D28")+$D$6))</f>
        <v/>
      </c>
      <c r="H28" s="196" t="str">
        <f ca="1">IF(INDIRECT("D28")="","",(INDIRECT("D28")-$F$42))</f>
        <v/>
      </c>
      <c r="I28" s="36"/>
      <c r="J28" s="436" t="s">
        <v>248</v>
      </c>
      <c r="K28" s="437"/>
      <c r="L28" s="437"/>
      <c r="M28" s="438"/>
    </row>
    <row r="29" spans="2:13" ht="15" x14ac:dyDescent="0.25">
      <c r="B29" s="193" t="s">
        <v>249</v>
      </c>
      <c r="C29" s="194"/>
      <c r="D29" s="288"/>
      <c r="E29" s="195" t="str">
        <f t="shared" ca="1" si="0"/>
        <v/>
      </c>
      <c r="F29" s="196" t="str">
        <f ca="1">IF(INDIRECT("D29")="","",(INDIRECT("D29")-$D$6))</f>
        <v/>
      </c>
      <c r="G29" s="196" t="str">
        <f ca="1">IF(INDIRECT("D29")="","",(INDIRECT("D29")+$D$6))</f>
        <v/>
      </c>
      <c r="H29" s="196" t="str">
        <f ca="1">IF(INDIRECT("D29")="","",(INDIRECT("D29")-$F$42))</f>
        <v/>
      </c>
      <c r="I29" s="36"/>
      <c r="J29" s="436"/>
      <c r="K29" s="437"/>
      <c r="L29" s="437"/>
      <c r="M29" s="438"/>
    </row>
    <row r="30" spans="2:13" ht="15" customHeight="1" thickBot="1" x14ac:dyDescent="0.3">
      <c r="B30" s="193" t="s">
        <v>250</v>
      </c>
      <c r="C30" s="194"/>
      <c r="D30" s="288"/>
      <c r="E30" s="195" t="str">
        <f t="shared" ca="1" si="0"/>
        <v/>
      </c>
      <c r="F30" s="196" t="str">
        <f ca="1">IF(INDIRECT("D30")="","",(INDIRECT("D30")-$D$6))</f>
        <v/>
      </c>
      <c r="G30" s="196" t="str">
        <f ca="1">IF(INDIRECT("D30")="","",(INDIRECT("D30")+$D$6))</f>
        <v/>
      </c>
      <c r="H30" s="196" t="str">
        <f ca="1">IF(INDIRECT("D30")="","",(INDIRECT("D30")-$F$42))</f>
        <v/>
      </c>
      <c r="I30" s="36"/>
      <c r="J30" s="439"/>
      <c r="K30" s="440"/>
      <c r="L30" s="440"/>
      <c r="M30" s="441"/>
    </row>
    <row r="31" spans="2:13" ht="15" customHeight="1" thickBot="1" x14ac:dyDescent="0.3">
      <c r="B31" s="193" t="s">
        <v>251</v>
      </c>
      <c r="C31" s="194"/>
      <c r="D31" s="288"/>
      <c r="E31" s="195" t="str">
        <f t="shared" ca="1" si="0"/>
        <v/>
      </c>
      <c r="F31" s="196" t="str">
        <f ca="1">IF(INDIRECT("D31")="","",(INDIRECT("D31")-$D$6))</f>
        <v/>
      </c>
      <c r="G31" s="196" t="str">
        <f ca="1">IF(INDIRECT("D31")="","",(INDIRECT("D31")+$D$6))</f>
        <v/>
      </c>
      <c r="H31" s="196" t="str">
        <f ca="1">IF(INDIRECT("D31")="","",(INDIRECT("D31")-$F$42))</f>
        <v/>
      </c>
      <c r="I31" s="36"/>
    </row>
    <row r="32" spans="2:13" ht="15" customHeight="1" thickBot="1" x14ac:dyDescent="0.3">
      <c r="B32" s="193" t="s">
        <v>252</v>
      </c>
      <c r="C32" s="194"/>
      <c r="D32" s="288"/>
      <c r="E32" s="195" t="str">
        <f t="shared" ca="1" si="0"/>
        <v/>
      </c>
      <c r="F32" s="196" t="str">
        <f ca="1">IF(INDIRECT("D32")="","",(INDIRECT("D32")-$D$6))</f>
        <v/>
      </c>
      <c r="G32" s="196" t="str">
        <f ca="1">IF(INDIRECT("D32")="","",(INDIRECT("D32")+$D$6))</f>
        <v/>
      </c>
      <c r="H32" s="196" t="str">
        <f ca="1">IF(INDIRECT("D32")="","",(INDIRECT("D32")-$F$42))</f>
        <v/>
      </c>
      <c r="I32" s="36"/>
      <c r="J32" s="200" t="s">
        <v>253</v>
      </c>
      <c r="K32" s="200" t="s">
        <v>254</v>
      </c>
    </row>
    <row r="33" spans="2:13" ht="15" x14ac:dyDescent="0.25">
      <c r="B33" s="193" t="s">
        <v>255</v>
      </c>
      <c r="C33" s="194"/>
      <c r="D33" s="288"/>
      <c r="E33" s="195" t="str">
        <f t="shared" ca="1" si="0"/>
        <v/>
      </c>
      <c r="F33" s="196" t="str">
        <f ca="1">IF(INDIRECT("D33")="","",(INDIRECT("D33")-$D$6))</f>
        <v/>
      </c>
      <c r="G33" s="196" t="str">
        <f ca="1">IF(INDIRECT("D33")="","",(INDIRECT("D33")+$D$6))</f>
        <v/>
      </c>
      <c r="H33" s="196" t="str">
        <f ca="1">IF(INDIRECT("D33")="","",(INDIRECT("D33")-$F$42))</f>
        <v/>
      </c>
      <c r="I33" s="36"/>
      <c r="J33" s="201" t="s">
        <v>256</v>
      </c>
      <c r="K33" s="202" t="str">
        <f>"± "&amp;ROUND(VLOOKUP(E40+1,StdDevQ,2,FALSE)*100,1)&amp;"%"</f>
        <v>± 46%</v>
      </c>
    </row>
    <row r="34" spans="2:13" ht="15" customHeight="1" thickBot="1" x14ac:dyDescent="0.3">
      <c r="B34" s="193" t="s">
        <v>257</v>
      </c>
      <c r="C34" s="194"/>
      <c r="D34" s="288"/>
      <c r="E34" s="195" t="str">
        <f t="shared" ca="1" si="0"/>
        <v/>
      </c>
      <c r="F34" s="196" t="str">
        <f ca="1">IF(INDIRECT("D34")="","",(INDIRECT("D34")-$D$6))</f>
        <v/>
      </c>
      <c r="G34" s="196" t="str">
        <f ca="1">IF(INDIRECT("D34")="","",(INDIRECT("D34")+$D$6))</f>
        <v/>
      </c>
      <c r="H34" s="196" t="str">
        <f ca="1">IF(INDIRECT("D34")="","",(INDIRECT("D34")-$F$42))</f>
        <v/>
      </c>
      <c r="I34" s="36"/>
      <c r="J34" s="203" t="s">
        <v>258</v>
      </c>
      <c r="K34" s="204">
        <f>VLOOKUP(E40+1,StdDevQ,3,FALSE)</f>
        <v>-0.11601253813309619</v>
      </c>
    </row>
    <row r="35" spans="2:13" ht="15" x14ac:dyDescent="0.25">
      <c r="B35" s="193" t="s">
        <v>259</v>
      </c>
      <c r="C35" s="194"/>
      <c r="D35" s="288"/>
      <c r="E35" s="195" t="str">
        <f t="shared" ca="1" si="0"/>
        <v/>
      </c>
      <c r="F35" s="196" t="str">
        <f ca="1">IF(INDIRECT("D35")="","",(INDIRECT("D35")-$D$6))</f>
        <v/>
      </c>
      <c r="G35" s="196" t="str">
        <f ca="1">IF(INDIRECT("D35")="","",(INDIRECT("D35")+$D$6))</f>
        <v/>
      </c>
      <c r="H35" s="196" t="str">
        <f ca="1">IF(INDIRECT("D35")="","",(INDIRECT("D35")-$F$42))</f>
        <v/>
      </c>
      <c r="I35" s="36"/>
      <c r="J35" s="442" t="s">
        <v>260</v>
      </c>
      <c r="K35" s="443"/>
    </row>
    <row r="36" spans="2:13" ht="15" x14ac:dyDescent="0.25">
      <c r="B36" s="193" t="s">
        <v>261</v>
      </c>
      <c r="C36" s="194"/>
      <c r="D36" s="288"/>
      <c r="E36" s="195" t="str">
        <f t="shared" ca="1" si="0"/>
        <v/>
      </c>
      <c r="F36" s="196" t="str">
        <f ca="1">IF(INDIRECT("D36")="","",(INDIRECT("D36")-$D$6))</f>
        <v/>
      </c>
      <c r="G36" s="196" t="str">
        <f ca="1">IF(INDIRECT("D36")="","",(INDIRECT("D36")+$D$6))</f>
        <v/>
      </c>
      <c r="H36" s="196" t="str">
        <f ca="1">IF(INDIRECT("D36")="","",(INDIRECT("D36")-$F$42))</f>
        <v/>
      </c>
      <c r="I36" s="36"/>
      <c r="J36" s="444" t="s">
        <v>262</v>
      </c>
      <c r="K36" s="445"/>
    </row>
    <row r="37" spans="2:13" ht="15" x14ac:dyDescent="0.25">
      <c r="B37" s="193" t="s">
        <v>263</v>
      </c>
      <c r="C37" s="194"/>
      <c r="D37" s="288"/>
      <c r="E37" s="195" t="str">
        <f t="shared" ca="1" si="0"/>
        <v/>
      </c>
      <c r="F37" s="196" t="str">
        <f ca="1">IF(INDIRECT("D37")="","",(INDIRECT("D37")-$D$6))</f>
        <v/>
      </c>
      <c r="G37" s="196" t="str">
        <f ca="1">IF(INDIRECT("D37")="","",(INDIRECT("D37")+$D$6))</f>
        <v/>
      </c>
      <c r="H37" s="196" t="str">
        <f ca="1">IF(INDIRECT("D37")="","",(INDIRECT("D37")-$F$42))</f>
        <v/>
      </c>
      <c r="I37" s="36"/>
      <c r="J37" s="446" t="s">
        <v>264</v>
      </c>
      <c r="K37" s="447"/>
    </row>
    <row r="38" spans="2:13" ht="15" customHeight="1" thickBot="1" x14ac:dyDescent="0.3">
      <c r="B38" s="205" t="s">
        <v>265</v>
      </c>
      <c r="C38" s="194"/>
      <c r="D38" s="288"/>
      <c r="E38" s="206" t="str">
        <f t="shared" ca="1" si="0"/>
        <v/>
      </c>
      <c r="F38" s="196" t="str">
        <f ca="1">IF(INDIRECT("D38")="","",(INDIRECT("D38")-$D$6))</f>
        <v/>
      </c>
      <c r="G38" s="196" t="str">
        <f ca="1">IF(INDIRECT("D38")="","",(INDIRECT("D38")+$D$6))</f>
        <v/>
      </c>
      <c r="H38" s="196" t="str">
        <f ca="1">IF(INDIRECT("D38")="","",(INDIRECT("D38")-$F$42))</f>
        <v/>
      </c>
      <c r="I38" s="36"/>
      <c r="J38" s="448" t="s">
        <v>266</v>
      </c>
      <c r="K38" s="449"/>
    </row>
    <row r="39" spans="2:13" ht="18.75" thickBot="1" x14ac:dyDescent="0.3">
      <c r="B39" s="207" t="s">
        <v>267</v>
      </c>
      <c r="C39" s="450" t="s">
        <v>268</v>
      </c>
      <c r="D39" s="451"/>
      <c r="E39" s="208">
        <f ca="1">IF(C43=0,"0.00E+00",STDEV(H9:H38))</f>
        <v>5.7735026918967501E-2</v>
      </c>
      <c r="F39" s="209"/>
      <c r="H39" s="3"/>
    </row>
    <row r="40" spans="2:13" ht="16.5" thickBot="1" x14ac:dyDescent="0.3">
      <c r="B40" s="426" t="s">
        <v>269</v>
      </c>
      <c r="C40" s="427"/>
      <c r="D40" s="428"/>
      <c r="E40" s="210">
        <f>IF(D10="","0",29 - (COUNTBLANK(D9:D38)))</f>
        <v>2</v>
      </c>
      <c r="F40" s="96" t="s">
        <v>270</v>
      </c>
      <c r="G40" s="211">
        <v>3</v>
      </c>
      <c r="H40" s="3"/>
    </row>
    <row r="41" spans="2:13" ht="16.5" thickBot="1" x14ac:dyDescent="0.3">
      <c r="B41" s="409" t="s">
        <v>271</v>
      </c>
      <c r="C41" s="410"/>
      <c r="D41" s="410"/>
      <c r="E41" s="212">
        <v>3</v>
      </c>
    </row>
    <row r="42" spans="2:13" ht="18.75" thickBot="1" x14ac:dyDescent="0.3">
      <c r="B42" s="411" t="s">
        <v>272</v>
      </c>
      <c r="C42" s="412"/>
      <c r="D42" s="413"/>
      <c r="E42" s="213">
        <f ca="1">E39/SQRT(E41)</f>
        <v>3.3333333333336178E-2</v>
      </c>
      <c r="F42" s="3">
        <f>E43+1</f>
        <v>91.866666666666674</v>
      </c>
      <c r="G42" s="191" t="s">
        <v>273</v>
      </c>
      <c r="H42" s="36">
        <f>AVERAGE(D9:D38)</f>
        <v>90.866666666666674</v>
      </c>
    </row>
    <row r="43" spans="2:13" ht="18.75" thickBot="1" x14ac:dyDescent="0.3">
      <c r="B43" s="214" t="s">
        <v>274</v>
      </c>
      <c r="C43" s="215">
        <f>(MAX(D9:D38))-(MIN(D9:D38))</f>
        <v>0.10000000000000853</v>
      </c>
      <c r="D43" s="216" t="s">
        <v>275</v>
      </c>
      <c r="E43" s="217">
        <f>IF(D9&gt;0,IF($H$5=1,H43,H42),"0")</f>
        <v>90.866666666666674</v>
      </c>
      <c r="G43" s="191" t="s">
        <v>276</v>
      </c>
      <c r="H43" s="36">
        <f ca="1">AVERAGE(E9:E38)</f>
        <v>-3.3333333333336178E-2</v>
      </c>
    </row>
    <row r="44" spans="2:13" ht="54" customHeight="1" thickBot="1" x14ac:dyDescent="0.25">
      <c r="B44" s="414" t="s">
        <v>277</v>
      </c>
      <c r="C44" s="415"/>
      <c r="D44" s="416"/>
      <c r="E44" s="218"/>
    </row>
    <row r="45" spans="2:13" s="93" customFormat="1" ht="13.5" thickBot="1" x14ac:dyDescent="0.25">
      <c r="B45" s="219" t="s">
        <v>4</v>
      </c>
      <c r="C45" s="220"/>
      <c r="D45" s="220"/>
      <c r="E45" s="209"/>
      <c r="H45" s="209"/>
      <c r="M45" s="3"/>
    </row>
    <row r="46" spans="2:13" ht="13.5" thickBot="1" x14ac:dyDescent="0.25">
      <c r="C46" s="417" t="s">
        <v>278</v>
      </c>
      <c r="D46" s="418"/>
      <c r="E46" s="419"/>
      <c r="J46" s="93"/>
    </row>
    <row r="47" spans="2:13" x14ac:dyDescent="0.2">
      <c r="C47" s="221" t="s">
        <v>279</v>
      </c>
      <c r="D47" s="222">
        <v>0.5</v>
      </c>
      <c r="E47" s="223"/>
    </row>
    <row r="48" spans="2:13" x14ac:dyDescent="0.2">
      <c r="C48" s="224" t="s">
        <v>280</v>
      </c>
      <c r="D48" s="225">
        <f>IF(E40="0","",TINV((1-D47),E40))</f>
        <v>0.81649658092772592</v>
      </c>
      <c r="E48" s="226"/>
    </row>
    <row r="49" spans="3:8" x14ac:dyDescent="0.2">
      <c r="C49" s="224" t="s">
        <v>281</v>
      </c>
      <c r="D49" s="227">
        <f ca="1">IF(D48="","",E39*D48)</f>
        <v>4.7140452079107185E-2</v>
      </c>
      <c r="E49" s="228" t="s">
        <v>282</v>
      </c>
    </row>
    <row r="50" spans="3:8" ht="13.5" thickBot="1" x14ac:dyDescent="0.25">
      <c r="C50" s="229" t="s">
        <v>281</v>
      </c>
      <c r="D50" s="230">
        <f ca="1">IF(D48="","",E42*D48)</f>
        <v>2.7216552697593186E-2</v>
      </c>
      <c r="E50" s="231" t="s">
        <v>283</v>
      </c>
    </row>
    <row r="51" spans="3:8" ht="72.75" customHeight="1" x14ac:dyDescent="0.2">
      <c r="C51" s="420" t="s">
        <v>284</v>
      </c>
      <c r="D51" s="421"/>
      <c r="E51" s="422"/>
    </row>
    <row r="52" spans="3:8" ht="66" customHeight="1" thickBot="1" x14ac:dyDescent="0.25">
      <c r="C52" s="423" t="s">
        <v>285</v>
      </c>
      <c r="D52" s="424"/>
      <c r="E52" s="425"/>
      <c r="H52" s="3"/>
    </row>
    <row r="53" spans="3:8" x14ac:dyDescent="0.2">
      <c r="C53" s="3"/>
      <c r="D53" s="3"/>
      <c r="E53" s="3"/>
      <c r="G53" s="51" t="s">
        <v>286</v>
      </c>
      <c r="H53" s="3"/>
    </row>
    <row r="54" spans="3:8" x14ac:dyDescent="0.2">
      <c r="C54" s="3"/>
      <c r="D54" s="3"/>
      <c r="E54" s="3"/>
      <c r="G54" s="51" t="s">
        <v>287</v>
      </c>
      <c r="H54" s="3"/>
    </row>
    <row r="55" spans="3:8" x14ac:dyDescent="0.2">
      <c r="C55" s="3"/>
      <c r="D55" s="3"/>
      <c r="E55" s="3"/>
      <c r="G55" s="51" t="s">
        <v>288</v>
      </c>
      <c r="H55" s="3"/>
    </row>
    <row r="56" spans="3:8" x14ac:dyDescent="0.2">
      <c r="C56" s="3"/>
      <c r="D56" s="3"/>
      <c r="E56" s="3"/>
      <c r="G56" s="51" t="s">
        <v>289</v>
      </c>
      <c r="H56" s="3"/>
    </row>
    <row r="57" spans="3:8" x14ac:dyDescent="0.2">
      <c r="C57" s="3"/>
      <c r="D57" s="3"/>
      <c r="E57" s="3"/>
      <c r="G57" s="51" t="s">
        <v>290</v>
      </c>
      <c r="H57" s="3"/>
    </row>
    <row r="58" spans="3:8" x14ac:dyDescent="0.2">
      <c r="C58" s="3"/>
      <c r="D58" s="3"/>
      <c r="E58" s="3"/>
      <c r="G58" s="51" t="s">
        <v>209</v>
      </c>
      <c r="H58" s="3"/>
    </row>
    <row r="59" spans="3:8" x14ac:dyDescent="0.2">
      <c r="C59" s="3"/>
      <c r="D59" s="3"/>
      <c r="E59" s="3"/>
      <c r="G59" s="51" t="s">
        <v>291</v>
      </c>
      <c r="H59" s="3"/>
    </row>
    <row r="60" spans="3:8" ht="13.5" thickBot="1" x14ac:dyDescent="0.25">
      <c r="C60" s="3"/>
      <c r="D60" s="3"/>
      <c r="E60" s="3"/>
      <c r="G60" s="51" t="s">
        <v>292</v>
      </c>
      <c r="H60" s="3"/>
    </row>
    <row r="61" spans="3:8" ht="18.75" thickBot="1" x14ac:dyDescent="0.3">
      <c r="C61" s="403" t="s">
        <v>293</v>
      </c>
      <c r="D61" s="404"/>
      <c r="E61" s="405"/>
      <c r="G61" s="51" t="s">
        <v>294</v>
      </c>
      <c r="H61" s="3"/>
    </row>
    <row r="62" spans="3:8" ht="15.75" thickBot="1" x14ac:dyDescent="0.3">
      <c r="C62" s="232"/>
      <c r="D62" s="77"/>
      <c r="E62" s="233"/>
      <c r="F62" s="406" t="s">
        <v>295</v>
      </c>
      <c r="G62" s="407"/>
      <c r="H62" s="408"/>
    </row>
    <row r="63" spans="3:8" ht="15" thickBot="1" x14ac:dyDescent="0.25">
      <c r="C63" s="234">
        <f>MIN(D9:D38)</f>
        <v>90.8</v>
      </c>
      <c r="D63" s="235" t="s">
        <v>296</v>
      </c>
      <c r="E63" s="233"/>
      <c r="F63" s="236" t="s">
        <v>297</v>
      </c>
      <c r="G63" s="237" t="s">
        <v>298</v>
      </c>
      <c r="H63" s="238" t="s">
        <v>299</v>
      </c>
    </row>
    <row r="64" spans="3:8" x14ac:dyDescent="0.2">
      <c r="C64" s="234">
        <f>MAX(D9:D38)</f>
        <v>90.9</v>
      </c>
      <c r="D64" s="235" t="s">
        <v>300</v>
      </c>
      <c r="E64" s="233"/>
      <c r="F64" s="239">
        <v>0</v>
      </c>
      <c r="G64" s="240" t="s">
        <v>301</v>
      </c>
      <c r="H64" s="241" t="s">
        <v>301</v>
      </c>
    </row>
    <row r="65" spans="3:8" x14ac:dyDescent="0.2">
      <c r="C65" s="242">
        <f>COUNT(D9:D38)</f>
        <v>3</v>
      </c>
      <c r="D65" s="235" t="s">
        <v>302</v>
      </c>
      <c r="E65" s="233"/>
      <c r="F65" s="243">
        <v>2</v>
      </c>
      <c r="G65" s="244">
        <v>0.59699220876937653</v>
      </c>
      <c r="H65" s="245">
        <v>-0.19869933138940013</v>
      </c>
    </row>
    <row r="66" spans="3:8" x14ac:dyDescent="0.2">
      <c r="C66" s="246" t="s">
        <v>303</v>
      </c>
      <c r="D66" s="247" t="s">
        <v>304</v>
      </c>
      <c r="E66" s="248" t="s">
        <v>305</v>
      </c>
      <c r="F66" s="243">
        <v>3</v>
      </c>
      <c r="G66" s="244">
        <v>0.45978540702462811</v>
      </c>
      <c r="H66" s="245">
        <v>-0.11601253813309619</v>
      </c>
    </row>
    <row r="67" spans="3:8" x14ac:dyDescent="0.2">
      <c r="C67" s="249">
        <f>$C$63+0.49999999999*(($C$64-$C$63)/6)</f>
        <v>90.808333333333167</v>
      </c>
      <c r="D67" s="250">
        <f t="array" ref="D67:D73">FREQUENCY($D$9:$D$38,C67:C73)</f>
        <v>1</v>
      </c>
      <c r="E67" s="233">
        <f>(D67/$C$65)/($C$68-$C$67)</f>
        <v>20.000000000001137</v>
      </c>
      <c r="F67" s="243">
        <v>4</v>
      </c>
      <c r="G67" s="244">
        <v>0.38772715862001483</v>
      </c>
      <c r="H67" s="245">
        <v>-7.876997584041788E-2</v>
      </c>
    </row>
    <row r="68" spans="3:8" x14ac:dyDescent="0.2">
      <c r="C68" s="252">
        <f>C67+(($C$64-$C$63)/6)</f>
        <v>90.824999999999832</v>
      </c>
      <c r="D68" s="250">
        <v>0</v>
      </c>
      <c r="E68" s="233">
        <f t="shared" ref="E68:E73" si="1">(D68/$C$65)/($C$68-$C$67)</f>
        <v>0</v>
      </c>
      <c r="F68" s="243">
        <v>5</v>
      </c>
      <c r="G68" s="244">
        <v>0.33737761967079494</v>
      </c>
      <c r="H68" s="245">
        <v>-5.868348485962218E-2</v>
      </c>
    </row>
    <row r="69" spans="3:8" x14ac:dyDescent="0.2">
      <c r="C69" s="252">
        <f>C68+(($C$64-$C$63)/6)</f>
        <v>90.841666666666498</v>
      </c>
      <c r="D69" s="250">
        <v>0</v>
      </c>
      <c r="E69" s="233">
        <f t="shared" si="1"/>
        <v>0</v>
      </c>
      <c r="F69" s="243">
        <v>6</v>
      </c>
      <c r="G69" s="244">
        <v>0.30750043436078844</v>
      </c>
      <c r="H69" s="245">
        <v>-4.9504169401620494E-2</v>
      </c>
    </row>
    <row r="70" spans="3:8" x14ac:dyDescent="0.2">
      <c r="C70" s="252">
        <f>C69+(($C$64-$C$63)/6)</f>
        <v>90.858333333333164</v>
      </c>
      <c r="D70" s="250">
        <v>0</v>
      </c>
      <c r="E70" s="233">
        <f t="shared" si="1"/>
        <v>0</v>
      </c>
      <c r="F70" s="243">
        <v>7</v>
      </c>
      <c r="G70" s="244">
        <v>0.27921137268126639</v>
      </c>
      <c r="H70" s="245">
        <v>-4.1834282242930662E-2</v>
      </c>
    </row>
    <row r="71" spans="3:8" x14ac:dyDescent="0.2">
      <c r="C71" s="252">
        <f>C70+(($C$64-$C$63)/6)</f>
        <v>90.874999999999829</v>
      </c>
      <c r="D71" s="250">
        <v>0</v>
      </c>
      <c r="E71" s="233">
        <f t="shared" si="1"/>
        <v>0</v>
      </c>
      <c r="F71" s="243">
        <v>8</v>
      </c>
      <c r="G71" s="244">
        <v>0.26471006662904445</v>
      </c>
      <c r="H71" s="245">
        <v>-3.70165420594279E-2</v>
      </c>
    </row>
    <row r="72" spans="3:8" x14ac:dyDescent="0.2">
      <c r="C72" s="252">
        <f>C71+(($C$64-$C$63)/6)</f>
        <v>90.891666666666495</v>
      </c>
      <c r="D72" s="250">
        <v>0</v>
      </c>
      <c r="E72" s="233">
        <f t="shared" si="1"/>
        <v>0</v>
      </c>
      <c r="F72" s="243">
        <v>9</v>
      </c>
      <c r="G72" s="244">
        <v>0.24290858636104587</v>
      </c>
      <c r="H72" s="245">
        <v>-3.265494463423365E-2</v>
      </c>
    </row>
    <row r="73" spans="3:8" x14ac:dyDescent="0.2">
      <c r="C73" s="252">
        <f>$C$64</f>
        <v>90.9</v>
      </c>
      <c r="D73" s="251">
        <v>2</v>
      </c>
      <c r="E73" s="233">
        <f t="shared" si="1"/>
        <v>40.000000000002274</v>
      </c>
      <c r="F73" s="243">
        <v>10</v>
      </c>
      <c r="G73" s="244">
        <v>0.23073940402253743</v>
      </c>
      <c r="H73" s="245">
        <v>-3.0068002788026502E-2</v>
      </c>
    </row>
    <row r="74" spans="3:8" x14ac:dyDescent="0.2">
      <c r="C74" s="232"/>
      <c r="D74" s="77"/>
      <c r="E74" s="233"/>
      <c r="F74" s="243">
        <v>11</v>
      </c>
      <c r="G74" s="244">
        <v>0.21965632598031737</v>
      </c>
      <c r="H74" s="245">
        <v>-2.6122336378897468E-2</v>
      </c>
    </row>
    <row r="75" spans="3:8" x14ac:dyDescent="0.2">
      <c r="C75" s="246" t="s">
        <v>303</v>
      </c>
      <c r="D75" s="247" t="s">
        <v>304</v>
      </c>
      <c r="E75" s="248" t="s">
        <v>305</v>
      </c>
      <c r="F75" s="243">
        <v>12</v>
      </c>
      <c r="G75" s="244">
        <v>0.21088965126708842</v>
      </c>
      <c r="H75" s="245">
        <v>-2.4598201756062033E-2</v>
      </c>
    </row>
    <row r="76" spans="3:8" x14ac:dyDescent="0.2">
      <c r="C76" s="249">
        <f>$C$63+0.49999999999*(($C$64-$C$63)/5)</f>
        <v>90.809999999999803</v>
      </c>
      <c r="D76" s="250">
        <f t="array" ref="D76:D81">FREQUENCY($D$9:$D$38,C76:C81)</f>
        <v>1</v>
      </c>
      <c r="E76" s="233">
        <f t="shared" ref="E76:E81" si="2">(D76/$C$65)/($C$77-$C$76)</f>
        <v>16.666666666669983</v>
      </c>
      <c r="F76" s="243">
        <v>13</v>
      </c>
      <c r="G76" s="244">
        <v>0.20398468648167306</v>
      </c>
      <c r="H76" s="245">
        <v>-2.3043872634030741E-2</v>
      </c>
    </row>
    <row r="77" spans="3:8" x14ac:dyDescent="0.2">
      <c r="C77" s="252">
        <f>C76+(($C$64-$C$63)/5)</f>
        <v>90.829999999999799</v>
      </c>
      <c r="D77" s="250">
        <v>0</v>
      </c>
      <c r="E77" s="233">
        <f t="shared" si="2"/>
        <v>0</v>
      </c>
      <c r="F77" s="243">
        <v>14</v>
      </c>
      <c r="G77" s="244">
        <v>0.19478601966723821</v>
      </c>
      <c r="H77" s="245">
        <v>-2.1300771068978396E-2</v>
      </c>
    </row>
    <row r="78" spans="3:8" x14ac:dyDescent="0.2">
      <c r="C78" s="252">
        <f>C77+(($C$64-$C$63)/5)</f>
        <v>90.849999999999795</v>
      </c>
      <c r="D78" s="250">
        <v>0</v>
      </c>
      <c r="E78" s="233">
        <f t="shared" si="2"/>
        <v>0</v>
      </c>
      <c r="F78" s="243">
        <v>15</v>
      </c>
      <c r="G78" s="244">
        <v>0.18959501476083473</v>
      </c>
      <c r="H78" s="245">
        <v>-1.9367217201593671E-2</v>
      </c>
    </row>
    <row r="79" spans="3:8" x14ac:dyDescent="0.2">
      <c r="C79" s="252">
        <f>C78+(($C$64-$C$63)/5)</f>
        <v>90.869999999999791</v>
      </c>
      <c r="D79" s="250">
        <v>0</v>
      </c>
      <c r="E79" s="233">
        <f t="shared" si="2"/>
        <v>0</v>
      </c>
      <c r="F79" s="243">
        <v>16</v>
      </c>
      <c r="G79" s="244">
        <v>0.18292029537251225</v>
      </c>
      <c r="H79" s="245">
        <v>-1.82272626450617E-2</v>
      </c>
    </row>
    <row r="80" spans="3:8" x14ac:dyDescent="0.2">
      <c r="C80" s="252">
        <f>C79+(($C$64-$C$63)/5)</f>
        <v>90.889999999999787</v>
      </c>
      <c r="D80" s="250">
        <v>0</v>
      </c>
      <c r="E80" s="233">
        <f t="shared" si="2"/>
        <v>0</v>
      </c>
      <c r="F80" s="243">
        <v>17</v>
      </c>
      <c r="G80" s="244">
        <v>0.17350768196215502</v>
      </c>
      <c r="H80" s="245">
        <v>-1.7585519680769667E-2</v>
      </c>
    </row>
    <row r="81" spans="3:8" x14ac:dyDescent="0.2">
      <c r="C81" s="252">
        <f>$C$64</f>
        <v>90.9</v>
      </c>
      <c r="D81" s="250">
        <v>2</v>
      </c>
      <c r="E81" s="233">
        <f t="shared" si="2"/>
        <v>33.333333333339965</v>
      </c>
      <c r="F81" s="243">
        <v>18</v>
      </c>
      <c r="G81" s="244">
        <v>0.17022715267719338</v>
      </c>
      <c r="H81" s="245">
        <v>-1.595116978315075E-2</v>
      </c>
    </row>
    <row r="82" spans="3:8" x14ac:dyDescent="0.2">
      <c r="C82" s="232"/>
      <c r="D82" s="77"/>
      <c r="E82" s="233"/>
      <c r="F82" s="243">
        <v>19</v>
      </c>
      <c r="G82" s="244">
        <v>0.16577822276459958</v>
      </c>
      <c r="H82" s="245">
        <v>-1.6236414102922536E-2</v>
      </c>
    </row>
    <row r="83" spans="3:8" x14ac:dyDescent="0.2">
      <c r="C83" s="246" t="s">
        <v>303</v>
      </c>
      <c r="D83" s="247" t="s">
        <v>304</v>
      </c>
      <c r="E83" s="248" t="s">
        <v>305</v>
      </c>
      <c r="F83" s="243">
        <v>20</v>
      </c>
      <c r="G83" s="244">
        <v>0.16417621005006985</v>
      </c>
      <c r="H83" s="245">
        <v>-1.5810824382638231E-2</v>
      </c>
    </row>
    <row r="84" spans="3:8" x14ac:dyDescent="0.2">
      <c r="C84" s="249">
        <f>$C$63+0.49999999999*(($C$64-$C$63)/4)</f>
        <v>90.812499999999744</v>
      </c>
      <c r="D84" s="250">
        <f t="array" ref="D84:D88">FREQUENCY($D$9:$D$38,C84:C88)</f>
        <v>1</v>
      </c>
      <c r="E84" s="233">
        <f>(D84/$C$65)/($C$85-$C$84)</f>
        <v>13.333333333330302</v>
      </c>
      <c r="F84" s="243">
        <v>21</v>
      </c>
      <c r="G84" s="244">
        <v>0.1585595842391346</v>
      </c>
      <c r="H84" s="245">
        <v>-1.4181559906194015E-2</v>
      </c>
    </row>
    <row r="85" spans="3:8" x14ac:dyDescent="0.2">
      <c r="C85" s="252">
        <f>C84+(($C$64-$C$63)/4)</f>
        <v>90.83749999999975</v>
      </c>
      <c r="D85" s="250">
        <v>0</v>
      </c>
      <c r="E85" s="233">
        <f>(D85/$C$65)/($C$85-$C$84)</f>
        <v>0</v>
      </c>
      <c r="F85" s="243">
        <v>22</v>
      </c>
      <c r="G85" s="244">
        <v>0.15285677668453135</v>
      </c>
      <c r="H85" s="245">
        <v>-1.3640181665252066E-2</v>
      </c>
    </row>
    <row r="86" spans="3:8" x14ac:dyDescent="0.2">
      <c r="C86" s="252">
        <f>C85+(($C$64-$C$63)/4)</f>
        <v>90.862499999999756</v>
      </c>
      <c r="D86" s="250">
        <v>0</v>
      </c>
      <c r="E86" s="233">
        <f>(D86/$C$65)/($C$85-$C$84)</f>
        <v>0</v>
      </c>
      <c r="F86" s="243">
        <v>23</v>
      </c>
      <c r="G86" s="244">
        <v>0.15194930002804155</v>
      </c>
      <c r="H86" s="245">
        <v>-1.3054249286461296E-2</v>
      </c>
    </row>
    <row r="87" spans="3:8" x14ac:dyDescent="0.2">
      <c r="C87" s="252">
        <f>C86+(($C$64-$C$63)/4)</f>
        <v>90.887499999999761</v>
      </c>
      <c r="D87" s="250">
        <v>0</v>
      </c>
      <c r="E87" s="233">
        <f>(D87/$C$65)/($C$85-$C$84)</f>
        <v>0</v>
      </c>
      <c r="F87" s="243">
        <v>24</v>
      </c>
      <c r="G87" s="244">
        <v>0.14758670046106351</v>
      </c>
      <c r="H87" s="245">
        <v>-1.3236193358293499E-2</v>
      </c>
    </row>
    <row r="88" spans="3:8" x14ac:dyDescent="0.2">
      <c r="C88" s="252">
        <f>$C$64</f>
        <v>90.9</v>
      </c>
      <c r="D88" s="250">
        <v>2</v>
      </c>
      <c r="E88" s="233">
        <f>(D88/$C$65)/($C$85-$C$84)</f>
        <v>26.666666666660603</v>
      </c>
      <c r="F88" s="243">
        <v>25</v>
      </c>
      <c r="G88" s="244">
        <v>0.1427819174819806</v>
      </c>
      <c r="H88" s="245">
        <v>-1.3177885395874181E-2</v>
      </c>
    </row>
    <row r="89" spans="3:8" x14ac:dyDescent="0.2">
      <c r="C89" s="232"/>
      <c r="D89" s="77"/>
      <c r="E89" s="233"/>
      <c r="F89" s="243">
        <v>26</v>
      </c>
      <c r="G89" s="244">
        <v>0.14043507715945744</v>
      </c>
      <c r="H89" s="245">
        <v>-1.2178529315040505E-2</v>
      </c>
    </row>
    <row r="90" spans="3:8" x14ac:dyDescent="0.2">
      <c r="C90" s="246" t="s">
        <v>303</v>
      </c>
      <c r="D90" s="247" t="s">
        <v>304</v>
      </c>
      <c r="E90" s="248" t="s">
        <v>305</v>
      </c>
      <c r="F90" s="243">
        <v>27</v>
      </c>
      <c r="G90" s="244">
        <v>0.13732104025962333</v>
      </c>
      <c r="H90" s="245">
        <v>-1.1858789062150051E-2</v>
      </c>
    </row>
    <row r="91" spans="3:8" x14ac:dyDescent="0.2">
      <c r="C91" s="249">
        <f>$C$63+0.49999999999*(($C$64-$C$63)/3)</f>
        <v>90.816666666666336</v>
      </c>
      <c r="D91" s="250">
        <f t="array" ref="D91:D94">FREQUENCY($D$9:$D$38,C91:C94)</f>
        <v>1</v>
      </c>
      <c r="E91" s="233">
        <f>(D91/$C$65)/($C$92-$C$91)</f>
        <v>10.000000000000568</v>
      </c>
      <c r="F91" s="243">
        <v>28</v>
      </c>
      <c r="G91" s="244">
        <v>0.13888135354132908</v>
      </c>
      <c r="H91" s="245">
        <v>-1.1335800315109484E-2</v>
      </c>
    </row>
    <row r="92" spans="3:8" x14ac:dyDescent="0.2">
      <c r="C92" s="252">
        <f>C91+(($C$64-$C$63)/3)</f>
        <v>90.849999999999667</v>
      </c>
      <c r="D92" s="250">
        <v>0</v>
      </c>
      <c r="E92" s="233">
        <f>(D92/$C$65)/($C$92-$C$91)</f>
        <v>0</v>
      </c>
      <c r="F92" s="243">
        <v>29</v>
      </c>
      <c r="G92" s="244">
        <v>0.13300784731543722</v>
      </c>
      <c r="H92" s="245">
        <v>-1.0853574671046078E-2</v>
      </c>
    </row>
    <row r="93" spans="3:8" ht="13.5" thickBot="1" x14ac:dyDescent="0.25">
      <c r="C93" s="252">
        <f>C92+(($C$64-$C$63)/3)</f>
        <v>90.883333333332999</v>
      </c>
      <c r="D93" s="250">
        <v>0</v>
      </c>
      <c r="E93" s="233">
        <f>(D93/$C$65)/($C$92-$C$91)</f>
        <v>0</v>
      </c>
      <c r="F93" s="253">
        <v>30</v>
      </c>
      <c r="G93" s="254">
        <v>0.13317668409126868</v>
      </c>
      <c r="H93" s="255">
        <v>-1.1118245151907818E-2</v>
      </c>
    </row>
    <row r="94" spans="3:8" x14ac:dyDescent="0.2">
      <c r="C94" s="252">
        <f>$C$64</f>
        <v>90.9</v>
      </c>
      <c r="D94" s="250">
        <v>2</v>
      </c>
      <c r="E94" s="233">
        <f>(D94/$C$65)/($C$92-$C$91)</f>
        <v>20.000000000001137</v>
      </c>
      <c r="H94" s="3"/>
    </row>
    <row r="95" spans="3:8" x14ac:dyDescent="0.2">
      <c r="C95" s="232"/>
      <c r="D95" s="77"/>
      <c r="E95" s="233"/>
      <c r="H95" s="3"/>
    </row>
    <row r="96" spans="3:8" x14ac:dyDescent="0.2">
      <c r="C96" s="246" t="s">
        <v>303</v>
      </c>
      <c r="D96" s="247" t="s">
        <v>304</v>
      </c>
      <c r="E96" s="248" t="s">
        <v>305</v>
      </c>
      <c r="H96" s="3"/>
    </row>
    <row r="97" spans="3:8" x14ac:dyDescent="0.2">
      <c r="C97" s="249">
        <f>$C$63+0.49999999999*(($C$64-$C$63)/2)</f>
        <v>90.824999999999505</v>
      </c>
      <c r="D97" s="250">
        <f t="array" ref="D97:D99">FREQUENCY($D$9:$D$38,C97:C99)</f>
        <v>1</v>
      </c>
      <c r="E97" s="233">
        <f>(D97/$C$65)/($C$98-$C$97)</f>
        <v>6.6666666666651508</v>
      </c>
      <c r="H97" s="3"/>
    </row>
    <row r="98" spans="3:8" x14ac:dyDescent="0.2">
      <c r="C98" s="252">
        <f>C97+(($C$64-$C$63)/2)</f>
        <v>90.874999999999517</v>
      </c>
      <c r="D98" s="250">
        <v>0</v>
      </c>
      <c r="E98" s="233">
        <f>(D98/$C$65)/($C$98-$C$97)</f>
        <v>0</v>
      </c>
      <c r="H98" s="3"/>
    </row>
    <row r="99" spans="3:8" x14ac:dyDescent="0.2">
      <c r="C99" s="252">
        <f>$C$64</f>
        <v>90.9</v>
      </c>
      <c r="D99" s="250">
        <v>2</v>
      </c>
      <c r="E99" s="233">
        <f>(D99/$C$65)/($C$98-$C$97)</f>
        <v>13.333333333330302</v>
      </c>
      <c r="H99" s="3"/>
    </row>
    <row r="100" spans="3:8" x14ac:dyDescent="0.2">
      <c r="C100" s="232"/>
      <c r="D100" s="77"/>
      <c r="E100" s="233"/>
      <c r="H100" s="3"/>
    </row>
    <row r="101" spans="3:8" x14ac:dyDescent="0.2">
      <c r="C101" s="246" t="s">
        <v>303</v>
      </c>
      <c r="D101" s="247" t="s">
        <v>304</v>
      </c>
      <c r="E101" s="248" t="s">
        <v>305</v>
      </c>
      <c r="H101" s="3"/>
    </row>
    <row r="102" spans="3:8" x14ac:dyDescent="0.2">
      <c r="C102" s="249">
        <f>$C$63+0.49999999999*(($C$64-$C$63))</f>
        <v>90.849999999999</v>
      </c>
      <c r="D102" s="250">
        <f t="array" ref="D102:D103">FREQUENCY($D$9:$D$38,C102:C104)</f>
        <v>1</v>
      </c>
      <c r="E102" s="233">
        <f>(D102/$C$65)/($C$103-$C$102)</f>
        <v>6.6666666665325156</v>
      </c>
      <c r="H102" s="3"/>
    </row>
    <row r="103" spans="3:8" x14ac:dyDescent="0.2">
      <c r="C103" s="252">
        <f>$C$64</f>
        <v>90.9</v>
      </c>
      <c r="D103" s="250">
        <v>2</v>
      </c>
      <c r="E103" s="233">
        <f>(D103/$C$65)/($C$103-$C$102)</f>
        <v>13.333333333065031</v>
      </c>
      <c r="H103" s="3"/>
    </row>
    <row r="104" spans="3:8" x14ac:dyDescent="0.2">
      <c r="C104" s="232"/>
      <c r="D104" s="77"/>
      <c r="E104" s="233"/>
      <c r="H104" s="3"/>
    </row>
    <row r="105" spans="3:8" x14ac:dyDescent="0.2">
      <c r="C105" s="256" t="s">
        <v>303</v>
      </c>
      <c r="D105" s="257" t="s">
        <v>304</v>
      </c>
      <c r="E105" s="258" t="s">
        <v>305</v>
      </c>
      <c r="H105" s="3"/>
    </row>
    <row r="106" spans="3:8" x14ac:dyDescent="0.2">
      <c r="C106" s="259">
        <f>IF($G$40=7,C67,IF($G$40=6,C76,IF($G$40=5,C84,IF($G$40=4,C91,IF($G$40=3,C97,IF($G$40=2,C102))))))</f>
        <v>90.824999999999505</v>
      </c>
      <c r="D106" s="260">
        <f>IF($G$40=7,D67,IF($G$40=6,D76,IF($G$40=5,D84,IF($G$40=4,D91,IF($G$40=3,D97,IF($G$40=2,D102,""))))))</f>
        <v>1</v>
      </c>
      <c r="E106" s="261">
        <f>IF($G$40=7,E67,IF($G$40=6,E76,IF($G$40=5,E84,IF($G$40=4,E91,IF($G$40=3,E97,IF($G$40=2,E102))))))</f>
        <v>6.6666666666651508</v>
      </c>
      <c r="H106" s="3"/>
    </row>
    <row r="107" spans="3:8" x14ac:dyDescent="0.2">
      <c r="C107" s="259">
        <f>IF($G$40=7,C68,IF($G$40=6,C77,IF($G$40=5,C85,IF($G$40=4,C92,IF($G$40=3,C98,IF($G$40=2,C103))))))</f>
        <v>90.874999999999517</v>
      </c>
      <c r="D107" s="260">
        <f>IF($G$40=7,D68,IF($G$40=6,D77,IF($G$40=5,D85,IF($G$40=4,D92,IF($G$40=3,D98,IF($G$40=2,D103,""))))))</f>
        <v>0</v>
      </c>
      <c r="E107" s="261">
        <f>IF($G$40=7,E68,IF($G$40=6,E77,IF($G$40=5,E85,IF($G$40=4,E92,IF($G$40=3,E98,IF($G$40=2,E103))))))</f>
        <v>0</v>
      </c>
      <c r="H107" s="3"/>
    </row>
    <row r="108" spans="3:8" x14ac:dyDescent="0.2">
      <c r="C108" s="259">
        <f>IF($G$40=7,C69,IF($G$40=6,C78,IF($G$40=5,C86,IF($G$40=4,C93,IF($G$40=3,C99,IF($G$40=2,""))))))</f>
        <v>90.9</v>
      </c>
      <c r="D108" s="260">
        <f>IF($G$40=7,D69,IF($G$40=6,D78,IF($G$40=5,D86,IF($G$40=4,D93,IF($G$40=3,D99,IF($G$40=2,""))))))</f>
        <v>2</v>
      </c>
      <c r="E108" s="261">
        <f>IF($G$40=7,E69,IF($G$40=6,E78,IF($G$40=5,E86,IF($G$40=4,E93,IF($G$40=3,E99,IF($G$40=2,""))))))</f>
        <v>13.333333333330302</v>
      </c>
      <c r="H108" s="3"/>
    </row>
    <row r="109" spans="3:8" x14ac:dyDescent="0.2">
      <c r="C109" s="259" t="str">
        <f>IF($G$40=7,C70,IF($G$40=6,C79,IF($G$40=5,C87,IF($G$40=4,C94,IF($G$40=3,"",IF($G$40=2,""))))))</f>
        <v/>
      </c>
      <c r="D109" s="260" t="str">
        <f>IF($G$40=7,D70,IF($G$40=6,D79,IF($G$40=5,D87,IF($G$40=4,D94,IF($G$40=3,"",IF($G$40=2,""))))))</f>
        <v/>
      </c>
      <c r="E109" s="261" t="str">
        <f>IF($G$40=7,E70,IF($G$40=6,E79,IF($G$40=5,E87,IF($G$40=4,E94,IF($G$40=3,"",IF($G$40=2,""))))))</f>
        <v/>
      </c>
      <c r="H109" s="3"/>
    </row>
    <row r="110" spans="3:8" x14ac:dyDescent="0.2">
      <c r="C110" s="259" t="str">
        <f>IF($G$40=7,C71,IF($G$40=6,C80,IF($G$40=5,C88,IF($G$40=4,"",IF($G$40=3,"",IF($G$40=2,""))))))</f>
        <v/>
      </c>
      <c r="D110" s="260" t="str">
        <f>IF($G$40=7,D71,IF($G$40=6,D80,IF($G$40=5,D88,IF($G$40=4,"",IF($G$40=3,"",IF($G$40=2,""))))))</f>
        <v/>
      </c>
      <c r="E110" s="261" t="str">
        <f>IF($G$40=7,E71,IF($G$40=6,E80,IF($G$40=5,E88,IF($G$40=4,"",IF($G$40=3,"",IF($G$40=2,""))))))</f>
        <v/>
      </c>
      <c r="H110" s="3"/>
    </row>
    <row r="111" spans="3:8" x14ac:dyDescent="0.2">
      <c r="C111" s="259" t="str">
        <f>IF($G$40=7,C72,IF($G$40=6,C81,IF($G$40=5,"",IF($G$40=4,"",IF($G$40=3,"",IF($G$40=2,""))))))</f>
        <v/>
      </c>
      <c r="D111" s="260" t="str">
        <f>IF($G$40=7,D72,IF($G$40=6,D81,IF($G$40=5,"",IF($G$40=4,"",IF($G$40=3,"",IF($G$40=2,""))))))</f>
        <v/>
      </c>
      <c r="E111" s="261" t="str">
        <f>IF($G$40=7,E72,IF($G$40=6,E81,IF($G$40=5,"",IF($G$40=4,"",IF($G$40=3,"",IF($G$40=2,""))))))</f>
        <v/>
      </c>
      <c r="H111" s="3"/>
    </row>
    <row r="112" spans="3:8" ht="13.5" thickBot="1" x14ac:dyDescent="0.25">
      <c r="C112" s="262" t="str">
        <f>IF($G$40=7,C73,IF($G$40=6,"",IF($G$40=5,"",IF($G$40=4,"",IF($G$40=3,"",IF($G$40=2,""))))))</f>
        <v/>
      </c>
      <c r="D112" s="263" t="str">
        <f>IF($G$40=7,D73,IF($G$40=6,"",IF($G$40=5,"",IF($G$40=4,"",IF($G$40=3,"",IF($G$40=2,""))))))</f>
        <v/>
      </c>
      <c r="E112" s="264" t="str">
        <f>IF($G$40=7,E73,IF($G$40=6,"",IF($G$40=5,"",IF($G$40=4,"",IF($G$40=3,"",IF($G$40=2,""))))))</f>
        <v/>
      </c>
      <c r="H112" s="3"/>
    </row>
    <row r="113" spans="3:8" x14ac:dyDescent="0.2">
      <c r="C113" s="265"/>
      <c r="D113" s="265"/>
      <c r="E113" s="265"/>
      <c r="H113" s="3"/>
    </row>
    <row r="114" spans="3:8" x14ac:dyDescent="0.2">
      <c r="C114" s="265"/>
      <c r="D114" s="265"/>
      <c r="E114" s="265"/>
      <c r="H114" s="3"/>
    </row>
    <row r="115" spans="3:8" x14ac:dyDescent="0.2">
      <c r="C115" s="3"/>
      <c r="D115" s="3"/>
      <c r="E115" s="3"/>
      <c r="H115" s="3"/>
    </row>
    <row r="116" spans="3:8" x14ac:dyDescent="0.2">
      <c r="C116" s="3"/>
      <c r="D116" s="3"/>
      <c r="E116" s="3"/>
      <c r="H116" s="3"/>
    </row>
    <row r="117" spans="3:8" x14ac:dyDescent="0.2">
      <c r="C117" s="3"/>
      <c r="D117" s="3"/>
      <c r="E117" s="3"/>
      <c r="H117" s="3"/>
    </row>
    <row r="118" spans="3:8" x14ac:dyDescent="0.2">
      <c r="C118" s="3"/>
      <c r="D118" s="3"/>
      <c r="E118" s="3"/>
      <c r="H118" s="3"/>
    </row>
    <row r="119" spans="3:8" x14ac:dyDescent="0.2">
      <c r="C119" s="3"/>
      <c r="D119" s="3"/>
      <c r="E119" s="3"/>
      <c r="H119" s="3"/>
    </row>
    <row r="120" spans="3:8" x14ac:dyDescent="0.2">
      <c r="C120" s="3"/>
      <c r="D120" s="3"/>
      <c r="E120" s="3"/>
      <c r="H120" s="3"/>
    </row>
    <row r="121" spans="3:8" x14ac:dyDescent="0.2">
      <c r="C121" s="3"/>
      <c r="D121" s="3"/>
      <c r="E121" s="3"/>
      <c r="H121" s="3"/>
    </row>
    <row r="122" spans="3:8" x14ac:dyDescent="0.2">
      <c r="C122" s="3"/>
      <c r="D122" s="3"/>
      <c r="E122" s="3"/>
      <c r="H122" s="3"/>
    </row>
    <row r="123" spans="3:8" x14ac:dyDescent="0.2">
      <c r="C123" s="3"/>
      <c r="D123" s="3"/>
      <c r="E123" s="3"/>
      <c r="H123" s="3"/>
    </row>
    <row r="124" spans="3:8" x14ac:dyDescent="0.2">
      <c r="C124" s="3"/>
      <c r="D124" s="3"/>
      <c r="E124" s="3"/>
      <c r="H124" s="3"/>
    </row>
    <row r="125" spans="3:8" x14ac:dyDescent="0.2">
      <c r="C125" s="3"/>
      <c r="D125" s="3"/>
      <c r="E125" s="3"/>
      <c r="H125" s="3"/>
    </row>
    <row r="126" spans="3:8" x14ac:dyDescent="0.2">
      <c r="C126" s="3"/>
      <c r="D126" s="3"/>
      <c r="E126" s="3"/>
      <c r="H126" s="3"/>
    </row>
    <row r="127" spans="3:8" x14ac:dyDescent="0.2">
      <c r="C127" s="3"/>
      <c r="D127" s="3"/>
      <c r="E127" s="3"/>
      <c r="H127" s="3"/>
    </row>
    <row r="128" spans="3:8" x14ac:dyDescent="0.2">
      <c r="C128" s="3"/>
      <c r="D128" s="3"/>
      <c r="E128" s="3"/>
      <c r="H128" s="3"/>
    </row>
    <row r="129" spans="3:8" x14ac:dyDescent="0.2">
      <c r="C129" s="3"/>
      <c r="D129" s="3"/>
      <c r="E129" s="3"/>
      <c r="H129" s="3"/>
    </row>
    <row r="130" spans="3:8" x14ac:dyDescent="0.2">
      <c r="C130" s="3"/>
      <c r="D130" s="3"/>
      <c r="E130" s="3"/>
      <c r="H130" s="3"/>
    </row>
    <row r="131" spans="3:8" x14ac:dyDescent="0.2">
      <c r="C131" s="3"/>
      <c r="D131" s="3"/>
      <c r="E131" s="3"/>
      <c r="H131" s="3"/>
    </row>
    <row r="132" spans="3:8" x14ac:dyDescent="0.2">
      <c r="C132" s="3"/>
      <c r="D132" s="3"/>
      <c r="E132" s="3"/>
      <c r="H132" s="3"/>
    </row>
    <row r="133" spans="3:8" x14ac:dyDescent="0.2">
      <c r="C133" s="3"/>
      <c r="D133" s="3"/>
      <c r="E133" s="3"/>
      <c r="H133" s="3"/>
    </row>
    <row r="134" spans="3:8" x14ac:dyDescent="0.2">
      <c r="C134" s="3"/>
      <c r="D134" s="3"/>
      <c r="E134" s="3"/>
      <c r="H134" s="3"/>
    </row>
    <row r="135" spans="3:8" x14ac:dyDescent="0.2">
      <c r="C135" s="3"/>
      <c r="D135" s="3"/>
      <c r="E135" s="3"/>
      <c r="H135" s="3"/>
    </row>
    <row r="136" spans="3:8" x14ac:dyDescent="0.2">
      <c r="C136" s="3"/>
      <c r="D136" s="3"/>
      <c r="E136" s="3"/>
      <c r="H136" s="3"/>
    </row>
    <row r="137" spans="3:8" x14ac:dyDescent="0.2">
      <c r="C137" s="3"/>
      <c r="D137" s="3"/>
      <c r="E137" s="3"/>
      <c r="H137" s="3"/>
    </row>
    <row r="138" spans="3:8" x14ac:dyDescent="0.2">
      <c r="C138" s="3"/>
      <c r="D138" s="3"/>
      <c r="E138" s="3"/>
      <c r="H138" s="3"/>
    </row>
    <row r="139" spans="3:8" x14ac:dyDescent="0.2">
      <c r="C139" s="3"/>
      <c r="D139" s="3"/>
      <c r="E139" s="3"/>
      <c r="H139" s="3"/>
    </row>
    <row r="140" spans="3:8" x14ac:dyDescent="0.2">
      <c r="C140" s="3"/>
      <c r="D140" s="3"/>
      <c r="E140" s="3"/>
      <c r="H140" s="3"/>
    </row>
    <row r="141" spans="3:8" x14ac:dyDescent="0.2">
      <c r="C141" s="3"/>
      <c r="D141" s="3"/>
      <c r="E141" s="3"/>
      <c r="H141" s="3"/>
    </row>
    <row r="142" spans="3:8" x14ac:dyDescent="0.2">
      <c r="C142" s="3"/>
      <c r="D142" s="3"/>
      <c r="E142" s="3"/>
      <c r="H142" s="3"/>
    </row>
    <row r="143" spans="3:8" x14ac:dyDescent="0.2">
      <c r="C143" s="3"/>
      <c r="D143" s="3"/>
      <c r="E143" s="3"/>
      <c r="H143" s="3"/>
    </row>
    <row r="144" spans="3:8" x14ac:dyDescent="0.2">
      <c r="C144" s="3"/>
      <c r="D144" s="3"/>
      <c r="E144" s="3"/>
      <c r="H144" s="3"/>
    </row>
    <row r="145" spans="3:8" x14ac:dyDescent="0.2">
      <c r="C145" s="3"/>
      <c r="D145" s="3"/>
      <c r="E145" s="3"/>
      <c r="H145" s="3"/>
    </row>
    <row r="146" spans="3:8" x14ac:dyDescent="0.2">
      <c r="C146" s="3"/>
      <c r="D146" s="3"/>
      <c r="E146" s="3"/>
      <c r="H146" s="3"/>
    </row>
    <row r="147" spans="3:8" x14ac:dyDescent="0.2">
      <c r="C147" s="3"/>
      <c r="D147" s="3"/>
      <c r="E147" s="3"/>
      <c r="H147" s="3"/>
    </row>
    <row r="148" spans="3:8" x14ac:dyDescent="0.2">
      <c r="C148" s="3"/>
      <c r="D148" s="3"/>
      <c r="E148" s="3"/>
      <c r="H148" s="3"/>
    </row>
    <row r="149" spans="3:8" x14ac:dyDescent="0.2">
      <c r="C149" s="3"/>
      <c r="D149" s="3"/>
      <c r="E149" s="3"/>
      <c r="H149" s="3"/>
    </row>
    <row r="150" spans="3:8" x14ac:dyDescent="0.2">
      <c r="C150" s="3"/>
      <c r="D150" s="3"/>
      <c r="E150" s="3"/>
      <c r="H150" s="3"/>
    </row>
    <row r="151" spans="3:8" x14ac:dyDescent="0.2">
      <c r="C151" s="3"/>
      <c r="D151" s="3"/>
      <c r="E151" s="3"/>
      <c r="H151" s="3"/>
    </row>
    <row r="152" spans="3:8" x14ac:dyDescent="0.2">
      <c r="C152" s="3"/>
      <c r="D152" s="3"/>
      <c r="E152" s="3"/>
      <c r="H152" s="3"/>
    </row>
    <row r="153" spans="3:8" x14ac:dyDescent="0.2">
      <c r="C153" s="3"/>
      <c r="D153" s="3"/>
      <c r="E153" s="3"/>
      <c r="H153" s="3"/>
    </row>
    <row r="154" spans="3:8" x14ac:dyDescent="0.2">
      <c r="C154" s="3"/>
      <c r="D154" s="3"/>
      <c r="E154" s="3"/>
      <c r="H154" s="3"/>
    </row>
    <row r="155" spans="3:8" x14ac:dyDescent="0.2">
      <c r="C155" s="3"/>
      <c r="D155" s="3"/>
      <c r="E155" s="3"/>
      <c r="H155" s="3"/>
    </row>
    <row r="156" spans="3:8" x14ac:dyDescent="0.2">
      <c r="C156" s="3"/>
      <c r="D156" s="3"/>
      <c r="E156" s="3"/>
      <c r="H156" s="3"/>
    </row>
    <row r="157" spans="3:8" x14ac:dyDescent="0.2">
      <c r="C157" s="3"/>
      <c r="D157" s="3"/>
      <c r="E157" s="3"/>
      <c r="H157" s="3"/>
    </row>
    <row r="158" spans="3:8" x14ac:dyDescent="0.2">
      <c r="C158" s="3"/>
      <c r="D158" s="3"/>
      <c r="E158" s="3"/>
      <c r="H158" s="3"/>
    </row>
    <row r="159" spans="3:8" x14ac:dyDescent="0.2">
      <c r="C159" s="3"/>
      <c r="D159" s="3"/>
      <c r="E159" s="3"/>
      <c r="H159" s="3"/>
    </row>
    <row r="160" spans="3:8" x14ac:dyDescent="0.2">
      <c r="C160" s="3"/>
      <c r="D160" s="3"/>
      <c r="E160" s="3"/>
      <c r="H160" s="3"/>
    </row>
    <row r="161" spans="3:8" x14ac:dyDescent="0.2">
      <c r="C161" s="3"/>
      <c r="D161" s="3"/>
      <c r="E161" s="3"/>
      <c r="H161" s="3"/>
    </row>
    <row r="162" spans="3:8" x14ac:dyDescent="0.2">
      <c r="C162" s="3"/>
      <c r="D162" s="3"/>
      <c r="E162" s="3"/>
      <c r="H162" s="3"/>
    </row>
    <row r="163" spans="3:8" x14ac:dyDescent="0.2">
      <c r="C163" s="3"/>
      <c r="D163" s="3"/>
      <c r="E163" s="3"/>
      <c r="H163" s="3"/>
    </row>
    <row r="164" spans="3:8" x14ac:dyDescent="0.2">
      <c r="C164" s="3"/>
      <c r="D164" s="3"/>
      <c r="E164" s="3"/>
      <c r="H164" s="3"/>
    </row>
    <row r="165" spans="3:8" x14ac:dyDescent="0.2">
      <c r="C165" s="3"/>
      <c r="D165" s="3"/>
      <c r="E165" s="3"/>
      <c r="H165" s="3"/>
    </row>
    <row r="166" spans="3:8" x14ac:dyDescent="0.2">
      <c r="C166" s="3"/>
      <c r="D166" s="3"/>
      <c r="E166" s="3"/>
      <c r="H166" s="3"/>
    </row>
    <row r="167" spans="3:8" x14ac:dyDescent="0.2">
      <c r="C167" s="3"/>
      <c r="D167" s="3"/>
      <c r="E167" s="3"/>
      <c r="H167" s="3"/>
    </row>
    <row r="168" spans="3:8" x14ac:dyDescent="0.2">
      <c r="C168" s="3"/>
      <c r="D168" s="3"/>
      <c r="E168" s="3"/>
      <c r="H168" s="3"/>
    </row>
    <row r="169" spans="3:8" x14ac:dyDescent="0.2">
      <c r="C169" s="3"/>
      <c r="D169" s="3"/>
      <c r="E169" s="3"/>
      <c r="H169" s="3"/>
    </row>
    <row r="170" spans="3:8" x14ac:dyDescent="0.2">
      <c r="C170" s="3"/>
      <c r="D170" s="3"/>
      <c r="E170" s="3"/>
      <c r="H170" s="3"/>
    </row>
    <row r="171" spans="3:8" x14ac:dyDescent="0.2">
      <c r="C171" s="3"/>
      <c r="D171" s="3"/>
      <c r="E171" s="3"/>
      <c r="H171" s="3"/>
    </row>
    <row r="172" spans="3:8" x14ac:dyDescent="0.2">
      <c r="C172" s="3"/>
      <c r="D172" s="3"/>
      <c r="E172" s="3"/>
      <c r="H172" s="3"/>
    </row>
    <row r="173" spans="3:8" x14ac:dyDescent="0.2">
      <c r="C173" s="3"/>
      <c r="D173" s="3"/>
      <c r="E173" s="3"/>
      <c r="H173" s="3"/>
    </row>
    <row r="174" spans="3:8" x14ac:dyDescent="0.2">
      <c r="C174" s="3"/>
      <c r="D174" s="3"/>
      <c r="E174" s="3"/>
      <c r="H174" s="3"/>
    </row>
    <row r="175" spans="3:8" x14ac:dyDescent="0.2">
      <c r="C175" s="3"/>
      <c r="D175" s="3"/>
      <c r="E175" s="3"/>
      <c r="H175" s="3"/>
    </row>
    <row r="176" spans="3:8" x14ac:dyDescent="0.2">
      <c r="C176" s="3"/>
      <c r="D176" s="3"/>
      <c r="E176" s="3"/>
      <c r="H176" s="3"/>
    </row>
    <row r="177" spans="3:8" x14ac:dyDescent="0.2">
      <c r="C177" s="3"/>
      <c r="D177" s="3"/>
      <c r="E177" s="3"/>
      <c r="H177" s="3"/>
    </row>
    <row r="178" spans="3:8" x14ac:dyDescent="0.2">
      <c r="C178" s="3"/>
      <c r="D178" s="3"/>
      <c r="E178" s="3"/>
      <c r="H178" s="3"/>
    </row>
    <row r="179" spans="3:8" x14ac:dyDescent="0.2">
      <c r="C179" s="3"/>
      <c r="D179" s="3"/>
      <c r="E179" s="3"/>
      <c r="H179" s="3"/>
    </row>
    <row r="180" spans="3:8" x14ac:dyDescent="0.2">
      <c r="C180" s="3"/>
      <c r="D180" s="3"/>
      <c r="E180" s="3"/>
      <c r="H180" s="3"/>
    </row>
    <row r="181" spans="3:8" x14ac:dyDescent="0.2">
      <c r="C181" s="3"/>
      <c r="D181" s="3"/>
      <c r="E181" s="3"/>
      <c r="H181" s="3"/>
    </row>
    <row r="182" spans="3:8" x14ac:dyDescent="0.2">
      <c r="C182" s="3"/>
      <c r="D182" s="3"/>
      <c r="E182" s="3"/>
      <c r="H182" s="3"/>
    </row>
    <row r="183" spans="3:8" x14ac:dyDescent="0.2">
      <c r="C183" s="3"/>
      <c r="D183" s="3"/>
      <c r="E183" s="3"/>
      <c r="H183" s="3"/>
    </row>
    <row r="184" spans="3:8" x14ac:dyDescent="0.2">
      <c r="C184" s="3"/>
      <c r="D184" s="3"/>
      <c r="E184" s="3"/>
      <c r="H184" s="3"/>
    </row>
    <row r="185" spans="3:8" x14ac:dyDescent="0.2">
      <c r="C185" s="3"/>
      <c r="D185" s="3"/>
      <c r="E185" s="3"/>
      <c r="H185" s="3"/>
    </row>
    <row r="186" spans="3:8" x14ac:dyDescent="0.2">
      <c r="C186" s="3"/>
      <c r="D186" s="3"/>
      <c r="E186" s="3"/>
      <c r="H186" s="3"/>
    </row>
    <row r="187" spans="3:8" x14ac:dyDescent="0.2">
      <c r="C187" s="3"/>
      <c r="D187" s="3"/>
      <c r="E187" s="3"/>
      <c r="H187" s="3"/>
    </row>
    <row r="188" spans="3:8" x14ac:dyDescent="0.2">
      <c r="C188" s="3"/>
      <c r="D188" s="3"/>
      <c r="E188" s="3"/>
      <c r="H188" s="3"/>
    </row>
    <row r="189" spans="3:8" x14ac:dyDescent="0.2">
      <c r="C189" s="3"/>
      <c r="D189" s="3"/>
      <c r="E189" s="3"/>
      <c r="H189" s="3"/>
    </row>
    <row r="190" spans="3:8" x14ac:dyDescent="0.2">
      <c r="C190" s="3"/>
      <c r="D190" s="3"/>
      <c r="E190" s="3"/>
      <c r="H190" s="3"/>
    </row>
    <row r="191" spans="3:8" x14ac:dyDescent="0.2">
      <c r="C191" s="3"/>
      <c r="D191" s="3"/>
      <c r="E191" s="3"/>
      <c r="H191" s="3"/>
    </row>
    <row r="192" spans="3:8" x14ac:dyDescent="0.2">
      <c r="C192" s="3"/>
      <c r="D192" s="3"/>
      <c r="E192" s="3"/>
      <c r="H192" s="3"/>
    </row>
    <row r="193" spans="3:8" x14ac:dyDescent="0.2">
      <c r="C193" s="3"/>
      <c r="D193" s="3"/>
      <c r="E193" s="3"/>
      <c r="H193" s="3"/>
    </row>
    <row r="194" spans="3:8" x14ac:dyDescent="0.2">
      <c r="C194" s="3"/>
      <c r="D194" s="3"/>
      <c r="E194" s="3"/>
      <c r="H194" s="3"/>
    </row>
    <row r="195" spans="3:8" x14ac:dyDescent="0.2">
      <c r="C195" s="3"/>
      <c r="D195" s="3"/>
      <c r="E195" s="3"/>
      <c r="H195" s="3"/>
    </row>
    <row r="196" spans="3:8" x14ac:dyDescent="0.2">
      <c r="C196" s="3"/>
      <c r="D196" s="3"/>
      <c r="E196" s="3"/>
      <c r="H196" s="3"/>
    </row>
    <row r="197" spans="3:8" x14ac:dyDescent="0.2">
      <c r="C197" s="3"/>
      <c r="D197" s="3"/>
      <c r="E197" s="3"/>
      <c r="H197" s="3"/>
    </row>
    <row r="198" spans="3:8" x14ac:dyDescent="0.2">
      <c r="C198" s="3"/>
      <c r="D198" s="3"/>
      <c r="E198" s="3"/>
      <c r="H198" s="3"/>
    </row>
    <row r="199" spans="3:8" x14ac:dyDescent="0.2">
      <c r="C199" s="3"/>
      <c r="D199" s="3"/>
      <c r="E199" s="3"/>
      <c r="H199" s="3"/>
    </row>
    <row r="200" spans="3:8" x14ac:dyDescent="0.2">
      <c r="C200" s="3"/>
      <c r="D200" s="3"/>
      <c r="E200" s="3"/>
      <c r="H200" s="3"/>
    </row>
    <row r="201" spans="3:8" x14ac:dyDescent="0.2">
      <c r="C201" s="3"/>
      <c r="D201" s="3"/>
      <c r="E201" s="3"/>
      <c r="H201" s="3"/>
    </row>
    <row r="202" spans="3:8" x14ac:dyDescent="0.2">
      <c r="C202" s="3"/>
      <c r="D202" s="3"/>
      <c r="E202" s="3"/>
      <c r="H202" s="3"/>
    </row>
    <row r="203" spans="3:8" x14ac:dyDescent="0.2">
      <c r="C203" s="3"/>
      <c r="D203" s="3"/>
      <c r="E203" s="3"/>
      <c r="H203" s="3"/>
    </row>
    <row r="204" spans="3:8" x14ac:dyDescent="0.2">
      <c r="C204" s="3"/>
      <c r="D204" s="3"/>
      <c r="E204" s="3"/>
      <c r="H204" s="3"/>
    </row>
    <row r="205" spans="3:8" x14ac:dyDescent="0.2">
      <c r="C205" s="3"/>
      <c r="D205" s="3"/>
      <c r="E205" s="3"/>
      <c r="H205" s="3"/>
    </row>
    <row r="206" spans="3:8" x14ac:dyDescent="0.2">
      <c r="C206" s="3"/>
      <c r="D206" s="3"/>
      <c r="E206" s="3"/>
      <c r="H206" s="3"/>
    </row>
    <row r="207" spans="3:8" x14ac:dyDescent="0.2">
      <c r="C207" s="3"/>
      <c r="D207" s="3"/>
      <c r="E207" s="3"/>
      <c r="H207" s="3"/>
    </row>
    <row r="208" spans="3:8" x14ac:dyDescent="0.2">
      <c r="C208" s="3"/>
      <c r="D208" s="3"/>
      <c r="E208" s="3"/>
      <c r="H208" s="3"/>
    </row>
    <row r="209" spans="3:8" x14ac:dyDescent="0.2">
      <c r="C209" s="3"/>
      <c r="D209" s="3"/>
      <c r="E209" s="3"/>
      <c r="H209" s="3"/>
    </row>
    <row r="210" spans="3:8" x14ac:dyDescent="0.2">
      <c r="C210" s="3"/>
      <c r="D210" s="3"/>
      <c r="E210" s="3"/>
      <c r="H210" s="3"/>
    </row>
    <row r="211" spans="3:8" x14ac:dyDescent="0.2">
      <c r="C211" s="3"/>
      <c r="D211" s="3"/>
      <c r="E211" s="3"/>
      <c r="H211" s="3"/>
    </row>
    <row r="212" spans="3:8" x14ac:dyDescent="0.2">
      <c r="C212" s="3"/>
      <c r="D212" s="3"/>
      <c r="E212" s="3"/>
      <c r="H212" s="3"/>
    </row>
    <row r="213" spans="3:8" x14ac:dyDescent="0.2">
      <c r="C213" s="3"/>
      <c r="D213" s="3"/>
      <c r="E213" s="3"/>
      <c r="H213" s="3"/>
    </row>
    <row r="214" spans="3:8" x14ac:dyDescent="0.2">
      <c r="C214" s="3"/>
      <c r="D214" s="3"/>
      <c r="E214" s="3"/>
      <c r="H214" s="3"/>
    </row>
    <row r="215" spans="3:8" x14ac:dyDescent="0.2">
      <c r="C215" s="3"/>
      <c r="D215" s="3"/>
      <c r="E215" s="3"/>
      <c r="H215" s="3"/>
    </row>
    <row r="216" spans="3:8" x14ac:dyDescent="0.2">
      <c r="C216" s="3"/>
      <c r="D216" s="3"/>
      <c r="E216" s="3"/>
      <c r="H216" s="3"/>
    </row>
    <row r="217" spans="3:8" x14ac:dyDescent="0.2">
      <c r="C217" s="3"/>
      <c r="D217" s="3"/>
      <c r="E217" s="3"/>
      <c r="H217" s="3"/>
    </row>
    <row r="218" spans="3:8" x14ac:dyDescent="0.2">
      <c r="C218" s="3"/>
      <c r="D218" s="3"/>
      <c r="E218" s="3"/>
      <c r="H218" s="3"/>
    </row>
    <row r="219" spans="3:8" x14ac:dyDescent="0.2">
      <c r="C219" s="3"/>
      <c r="D219" s="3"/>
      <c r="E219" s="3"/>
      <c r="H219" s="3"/>
    </row>
    <row r="220" spans="3:8" x14ac:dyDescent="0.2">
      <c r="C220" s="3"/>
      <c r="D220" s="3"/>
      <c r="E220" s="3"/>
      <c r="H220" s="3"/>
    </row>
    <row r="221" spans="3:8" x14ac:dyDescent="0.2">
      <c r="C221" s="3"/>
      <c r="D221" s="3"/>
      <c r="E221" s="3"/>
      <c r="H221" s="3"/>
    </row>
    <row r="222" spans="3:8" x14ac:dyDescent="0.2">
      <c r="C222" s="3"/>
      <c r="D222" s="3"/>
      <c r="E222" s="3"/>
      <c r="H222" s="3"/>
    </row>
    <row r="223" spans="3:8" x14ac:dyDescent="0.2">
      <c r="C223" s="3"/>
      <c r="D223" s="3"/>
      <c r="E223" s="3"/>
      <c r="H223" s="3"/>
    </row>
    <row r="224" spans="3:8" x14ac:dyDescent="0.2">
      <c r="C224" s="3"/>
      <c r="D224" s="3"/>
      <c r="E224" s="3"/>
      <c r="H224" s="3"/>
    </row>
    <row r="225" spans="3:8" x14ac:dyDescent="0.2">
      <c r="C225" s="3"/>
      <c r="D225" s="3"/>
      <c r="E225" s="3"/>
      <c r="H225" s="3"/>
    </row>
    <row r="226" spans="3:8" x14ac:dyDescent="0.2">
      <c r="C226" s="3"/>
      <c r="D226" s="3"/>
      <c r="E226" s="3"/>
      <c r="H226" s="3"/>
    </row>
    <row r="227" spans="3:8" x14ac:dyDescent="0.2">
      <c r="C227" s="3"/>
      <c r="D227" s="3"/>
      <c r="E227" s="3"/>
      <c r="H227" s="3"/>
    </row>
    <row r="228" spans="3:8" x14ac:dyDescent="0.2">
      <c r="C228" s="3"/>
      <c r="D228" s="3"/>
      <c r="E228" s="3"/>
      <c r="H228" s="3"/>
    </row>
    <row r="229" spans="3:8" x14ac:dyDescent="0.2">
      <c r="C229" s="3"/>
      <c r="D229" s="3"/>
      <c r="E229" s="3"/>
      <c r="H229" s="3"/>
    </row>
    <row r="230" spans="3:8" x14ac:dyDescent="0.2">
      <c r="C230" s="3"/>
      <c r="D230" s="3"/>
      <c r="E230" s="3"/>
      <c r="H230" s="3"/>
    </row>
    <row r="231" spans="3:8" x14ac:dyDescent="0.2">
      <c r="C231" s="3"/>
      <c r="D231" s="3"/>
      <c r="E231" s="3"/>
      <c r="H231" s="3"/>
    </row>
    <row r="232" spans="3:8" x14ac:dyDescent="0.2">
      <c r="C232" s="3"/>
      <c r="D232" s="3"/>
      <c r="E232" s="3"/>
      <c r="H232" s="3"/>
    </row>
    <row r="233" spans="3:8" x14ac:dyDescent="0.2">
      <c r="C233" s="3"/>
      <c r="D233" s="3"/>
      <c r="E233" s="3"/>
      <c r="H233" s="3"/>
    </row>
    <row r="234" spans="3:8" x14ac:dyDescent="0.2">
      <c r="C234" s="3"/>
      <c r="D234" s="3"/>
      <c r="E234" s="3"/>
      <c r="H234" s="3"/>
    </row>
    <row r="235" spans="3:8" x14ac:dyDescent="0.2">
      <c r="C235" s="3"/>
      <c r="D235" s="3"/>
      <c r="E235" s="3"/>
      <c r="H235" s="3"/>
    </row>
    <row r="236" spans="3:8" x14ac:dyDescent="0.2">
      <c r="C236" s="3"/>
      <c r="D236" s="3"/>
      <c r="E236" s="3"/>
      <c r="H236" s="3"/>
    </row>
    <row r="237" spans="3:8" x14ac:dyDescent="0.2">
      <c r="C237" s="3"/>
      <c r="D237" s="3"/>
      <c r="E237" s="3"/>
      <c r="H237" s="3"/>
    </row>
    <row r="238" spans="3:8" x14ac:dyDescent="0.2">
      <c r="C238" s="3"/>
      <c r="D238" s="3"/>
      <c r="E238" s="3"/>
      <c r="H238" s="3"/>
    </row>
    <row r="239" spans="3:8" x14ac:dyDescent="0.2">
      <c r="C239" s="3"/>
      <c r="D239" s="3"/>
      <c r="E239" s="3"/>
      <c r="H239" s="3"/>
    </row>
    <row r="240" spans="3:8" x14ac:dyDescent="0.2">
      <c r="C240" s="3"/>
      <c r="D240" s="3"/>
      <c r="E240" s="3"/>
      <c r="H240" s="3"/>
    </row>
    <row r="241" spans="3:8" x14ac:dyDescent="0.2">
      <c r="C241" s="3"/>
      <c r="D241" s="3"/>
      <c r="E241" s="3"/>
      <c r="H241" s="3"/>
    </row>
    <row r="242" spans="3:8" x14ac:dyDescent="0.2">
      <c r="C242" s="3"/>
      <c r="D242" s="3"/>
      <c r="E242" s="3"/>
      <c r="H242" s="3"/>
    </row>
    <row r="243" spans="3:8" x14ac:dyDescent="0.2">
      <c r="C243" s="3"/>
      <c r="D243" s="3"/>
      <c r="E243" s="3"/>
      <c r="H243" s="3"/>
    </row>
    <row r="244" spans="3:8" x14ac:dyDescent="0.2">
      <c r="C244" s="3"/>
      <c r="D244" s="3"/>
      <c r="E244" s="3"/>
      <c r="H244" s="3"/>
    </row>
    <row r="245" spans="3:8" x14ac:dyDescent="0.2">
      <c r="C245" s="3"/>
      <c r="D245" s="3"/>
      <c r="E245" s="3"/>
      <c r="H245" s="3"/>
    </row>
    <row r="246" spans="3:8" x14ac:dyDescent="0.2">
      <c r="C246" s="3"/>
      <c r="D246" s="3"/>
      <c r="E246" s="3"/>
      <c r="H246" s="3"/>
    </row>
    <row r="247" spans="3:8" x14ac:dyDescent="0.2">
      <c r="C247" s="3"/>
      <c r="D247" s="3"/>
      <c r="E247" s="3"/>
      <c r="H247" s="3"/>
    </row>
    <row r="248" spans="3:8" x14ac:dyDescent="0.2">
      <c r="C248" s="3"/>
      <c r="D248" s="3"/>
      <c r="E248" s="3"/>
      <c r="H248" s="3"/>
    </row>
    <row r="249" spans="3:8" x14ac:dyDescent="0.2">
      <c r="C249" s="3"/>
      <c r="D249" s="3"/>
      <c r="E249" s="3"/>
      <c r="H249" s="3"/>
    </row>
    <row r="250" spans="3:8" x14ac:dyDescent="0.2">
      <c r="C250" s="3"/>
      <c r="D250" s="3"/>
      <c r="E250" s="3"/>
      <c r="H250" s="3"/>
    </row>
    <row r="251" spans="3:8" x14ac:dyDescent="0.2">
      <c r="C251" s="3"/>
      <c r="D251" s="3"/>
      <c r="E251" s="3"/>
      <c r="H251" s="3"/>
    </row>
    <row r="252" spans="3:8" x14ac:dyDescent="0.2">
      <c r="C252" s="3"/>
      <c r="D252" s="3"/>
      <c r="E252" s="3"/>
      <c r="H252" s="3"/>
    </row>
    <row r="253" spans="3:8" x14ac:dyDescent="0.2">
      <c r="C253" s="3"/>
      <c r="D253" s="3"/>
      <c r="E253" s="3"/>
      <c r="H253" s="3"/>
    </row>
    <row r="254" spans="3:8" x14ac:dyDescent="0.2">
      <c r="C254" s="3"/>
      <c r="D254" s="3"/>
      <c r="E254" s="3"/>
      <c r="H254" s="3"/>
    </row>
    <row r="255" spans="3:8" x14ac:dyDescent="0.2">
      <c r="C255" s="3"/>
      <c r="D255" s="3"/>
      <c r="E255" s="3"/>
      <c r="H255" s="3"/>
    </row>
    <row r="256" spans="3:8" x14ac:dyDescent="0.2">
      <c r="C256" s="3"/>
      <c r="D256" s="3"/>
      <c r="E256" s="3"/>
      <c r="H256" s="3"/>
    </row>
    <row r="257" spans="3:8" x14ac:dyDescent="0.2">
      <c r="C257" s="3"/>
      <c r="D257" s="3"/>
      <c r="E257" s="3"/>
      <c r="H257" s="3"/>
    </row>
    <row r="258" spans="3:8" x14ac:dyDescent="0.2">
      <c r="C258" s="3"/>
      <c r="D258" s="3"/>
      <c r="E258" s="3"/>
      <c r="H258" s="3"/>
    </row>
    <row r="259" spans="3:8" x14ac:dyDescent="0.2">
      <c r="C259" s="3"/>
      <c r="D259" s="3"/>
      <c r="E259" s="3"/>
      <c r="H259" s="3"/>
    </row>
    <row r="260" spans="3:8" x14ac:dyDescent="0.2">
      <c r="C260" s="3"/>
      <c r="D260" s="3"/>
      <c r="E260" s="3"/>
      <c r="H260" s="3"/>
    </row>
    <row r="261" spans="3:8" x14ac:dyDescent="0.2">
      <c r="C261" s="3"/>
      <c r="D261" s="3"/>
      <c r="E261" s="3"/>
      <c r="H261" s="3"/>
    </row>
    <row r="262" spans="3:8" x14ac:dyDescent="0.2">
      <c r="C262" s="3"/>
      <c r="D262" s="3"/>
      <c r="E262" s="3"/>
      <c r="H262" s="3"/>
    </row>
    <row r="263" spans="3:8" x14ac:dyDescent="0.2">
      <c r="C263" s="3"/>
      <c r="D263" s="3"/>
      <c r="E263" s="3"/>
      <c r="H263" s="3"/>
    </row>
    <row r="264" spans="3:8" x14ac:dyDescent="0.2">
      <c r="C264" s="3"/>
      <c r="D264" s="3"/>
      <c r="E264" s="3"/>
      <c r="H264" s="3"/>
    </row>
    <row r="265" spans="3:8" x14ac:dyDescent="0.2">
      <c r="C265" s="3"/>
      <c r="D265" s="3"/>
      <c r="E265" s="3"/>
      <c r="H265" s="3"/>
    </row>
    <row r="266" spans="3:8" x14ac:dyDescent="0.2">
      <c r="C266" s="3"/>
      <c r="D266" s="3"/>
      <c r="E266" s="3"/>
      <c r="H266" s="3"/>
    </row>
    <row r="267" spans="3:8" x14ac:dyDescent="0.2">
      <c r="C267" s="3"/>
      <c r="D267" s="3"/>
      <c r="E267" s="3"/>
      <c r="H267" s="3"/>
    </row>
    <row r="268" spans="3:8" x14ac:dyDescent="0.2">
      <c r="C268" s="3"/>
      <c r="D268" s="3"/>
      <c r="E268" s="3"/>
      <c r="H268" s="3"/>
    </row>
    <row r="269" spans="3:8" x14ac:dyDescent="0.2">
      <c r="C269" s="3"/>
      <c r="D269" s="3"/>
      <c r="E269" s="3"/>
      <c r="H269" s="3"/>
    </row>
    <row r="270" spans="3:8" x14ac:dyDescent="0.2">
      <c r="C270" s="3"/>
      <c r="D270" s="3"/>
      <c r="E270" s="3"/>
      <c r="H270" s="3"/>
    </row>
    <row r="271" spans="3:8" x14ac:dyDescent="0.2">
      <c r="C271" s="3"/>
      <c r="D271" s="3"/>
      <c r="E271" s="3"/>
      <c r="H271" s="3"/>
    </row>
    <row r="272" spans="3:8" x14ac:dyDescent="0.2">
      <c r="C272" s="3"/>
      <c r="D272" s="3"/>
      <c r="E272" s="3"/>
      <c r="H272" s="3"/>
    </row>
    <row r="273" spans="3:8" x14ac:dyDescent="0.2">
      <c r="C273" s="3"/>
      <c r="D273" s="3"/>
      <c r="E273" s="3"/>
      <c r="H273" s="3"/>
    </row>
    <row r="274" spans="3:8" x14ac:dyDescent="0.2">
      <c r="C274" s="3"/>
      <c r="D274" s="3"/>
      <c r="E274" s="3"/>
      <c r="H274" s="3"/>
    </row>
    <row r="275" spans="3:8" x14ac:dyDescent="0.2">
      <c r="C275" s="3"/>
      <c r="D275" s="3"/>
      <c r="E275" s="3"/>
      <c r="H275" s="3"/>
    </row>
    <row r="276" spans="3:8" x14ac:dyDescent="0.2">
      <c r="C276" s="3"/>
      <c r="D276" s="3"/>
      <c r="E276" s="3"/>
      <c r="H276" s="3"/>
    </row>
    <row r="277" spans="3:8" x14ac:dyDescent="0.2">
      <c r="C277" s="3"/>
      <c r="D277" s="3"/>
      <c r="E277" s="3"/>
      <c r="H277" s="3"/>
    </row>
    <row r="278" spans="3:8" x14ac:dyDescent="0.2">
      <c r="C278" s="3"/>
      <c r="D278" s="3"/>
      <c r="E278" s="3"/>
      <c r="H278" s="3"/>
    </row>
    <row r="279" spans="3:8" x14ac:dyDescent="0.2">
      <c r="C279" s="3"/>
      <c r="D279" s="3"/>
      <c r="E279" s="3"/>
      <c r="H279" s="3"/>
    </row>
    <row r="280" spans="3:8" x14ac:dyDescent="0.2">
      <c r="C280" s="3"/>
      <c r="D280" s="3"/>
      <c r="E280" s="3"/>
      <c r="H280" s="3"/>
    </row>
    <row r="281" spans="3:8" x14ac:dyDescent="0.2">
      <c r="C281" s="3"/>
      <c r="D281" s="3"/>
      <c r="E281" s="3"/>
      <c r="H281" s="3"/>
    </row>
    <row r="282" spans="3:8" x14ac:dyDescent="0.2">
      <c r="C282" s="3"/>
      <c r="D282" s="3"/>
      <c r="E282" s="3"/>
      <c r="H282" s="3"/>
    </row>
    <row r="283" spans="3:8" x14ac:dyDescent="0.2">
      <c r="C283" s="3"/>
      <c r="D283" s="3"/>
      <c r="E283" s="3"/>
      <c r="H283" s="3"/>
    </row>
    <row r="284" spans="3:8" x14ac:dyDescent="0.2">
      <c r="C284" s="3"/>
      <c r="D284" s="3"/>
      <c r="E284" s="3"/>
      <c r="H284" s="3"/>
    </row>
    <row r="285" spans="3:8" x14ac:dyDescent="0.2">
      <c r="C285" s="3"/>
      <c r="D285" s="3"/>
      <c r="E285" s="3"/>
      <c r="H285" s="3"/>
    </row>
    <row r="286" spans="3:8" x14ac:dyDescent="0.2">
      <c r="C286" s="3"/>
      <c r="D286" s="3"/>
      <c r="E286" s="3"/>
      <c r="H286" s="3"/>
    </row>
    <row r="287" spans="3:8" x14ac:dyDescent="0.2">
      <c r="C287" s="3"/>
      <c r="D287" s="3"/>
      <c r="E287" s="3"/>
      <c r="H287" s="3"/>
    </row>
    <row r="288" spans="3:8" x14ac:dyDescent="0.2">
      <c r="C288" s="3"/>
      <c r="D288" s="3"/>
      <c r="E288" s="3"/>
      <c r="H288" s="3"/>
    </row>
    <row r="289" spans="3:8" x14ac:dyDescent="0.2">
      <c r="C289" s="3"/>
      <c r="D289" s="3"/>
      <c r="E289" s="3"/>
      <c r="H289" s="3"/>
    </row>
    <row r="290" spans="3:8" x14ac:dyDescent="0.2">
      <c r="C290" s="3"/>
      <c r="D290" s="3"/>
      <c r="E290" s="3"/>
      <c r="H290" s="3"/>
    </row>
    <row r="291" spans="3:8" x14ac:dyDescent="0.2">
      <c r="C291" s="3"/>
      <c r="D291" s="3"/>
      <c r="E291" s="3"/>
      <c r="H291" s="3"/>
    </row>
    <row r="292" spans="3:8" x14ac:dyDescent="0.2">
      <c r="C292" s="3"/>
      <c r="D292" s="3"/>
      <c r="E292" s="3"/>
      <c r="H292" s="3"/>
    </row>
    <row r="293" spans="3:8" x14ac:dyDescent="0.2">
      <c r="C293" s="3"/>
      <c r="D293" s="3"/>
      <c r="E293" s="3"/>
      <c r="H293" s="3"/>
    </row>
    <row r="294" spans="3:8" x14ac:dyDescent="0.2">
      <c r="C294" s="3"/>
      <c r="D294" s="3"/>
      <c r="E294" s="3"/>
      <c r="H294" s="3"/>
    </row>
    <row r="295" spans="3:8" x14ac:dyDescent="0.2">
      <c r="C295" s="3"/>
      <c r="D295" s="3"/>
      <c r="E295" s="3"/>
      <c r="H295" s="3"/>
    </row>
    <row r="296" spans="3:8" x14ac:dyDescent="0.2">
      <c r="C296" s="3"/>
      <c r="D296" s="3"/>
      <c r="E296" s="3"/>
      <c r="H296" s="3"/>
    </row>
    <row r="297" spans="3:8" x14ac:dyDescent="0.2">
      <c r="C297" s="3"/>
      <c r="D297" s="3"/>
      <c r="E297" s="3"/>
      <c r="H297" s="3"/>
    </row>
    <row r="298" spans="3:8" x14ac:dyDescent="0.2">
      <c r="C298" s="3"/>
      <c r="D298" s="3"/>
      <c r="E298" s="3"/>
      <c r="H298" s="3"/>
    </row>
    <row r="299" spans="3:8" x14ac:dyDescent="0.2">
      <c r="C299" s="3"/>
      <c r="D299" s="3"/>
      <c r="E299" s="3"/>
      <c r="H299" s="3"/>
    </row>
    <row r="300" spans="3:8" x14ac:dyDescent="0.2">
      <c r="C300" s="3"/>
      <c r="D300" s="3"/>
      <c r="E300" s="3"/>
      <c r="H300" s="3"/>
    </row>
    <row r="301" spans="3:8" x14ac:dyDescent="0.2">
      <c r="C301" s="3"/>
      <c r="D301" s="3"/>
      <c r="E301" s="3"/>
      <c r="H301" s="3"/>
    </row>
    <row r="302" spans="3:8" x14ac:dyDescent="0.2">
      <c r="C302" s="3"/>
      <c r="D302" s="3"/>
      <c r="E302" s="3"/>
      <c r="H302" s="3"/>
    </row>
    <row r="303" spans="3:8" x14ac:dyDescent="0.2">
      <c r="C303" s="3"/>
      <c r="D303" s="3"/>
      <c r="E303" s="3"/>
      <c r="H303" s="3"/>
    </row>
    <row r="304" spans="3:8" x14ac:dyDescent="0.2">
      <c r="C304" s="3"/>
      <c r="D304" s="3"/>
      <c r="E304" s="3"/>
      <c r="H304" s="3"/>
    </row>
    <row r="305" spans="3:8" x14ac:dyDescent="0.2">
      <c r="C305" s="3"/>
      <c r="D305" s="3"/>
      <c r="E305" s="3"/>
      <c r="H305" s="3"/>
    </row>
    <row r="306" spans="3:8" x14ac:dyDescent="0.2">
      <c r="C306" s="3"/>
      <c r="D306" s="3"/>
      <c r="E306" s="3"/>
      <c r="H306" s="3"/>
    </row>
    <row r="307" spans="3:8" x14ac:dyDescent="0.2">
      <c r="C307" s="3"/>
      <c r="D307" s="3"/>
      <c r="E307" s="3"/>
      <c r="H307" s="3"/>
    </row>
    <row r="308" spans="3:8" x14ac:dyDescent="0.2">
      <c r="C308" s="3"/>
      <c r="D308" s="3"/>
      <c r="E308" s="3"/>
      <c r="H308" s="3"/>
    </row>
    <row r="309" spans="3:8" x14ac:dyDescent="0.2">
      <c r="C309" s="3"/>
      <c r="D309" s="3"/>
      <c r="E309" s="3"/>
      <c r="H309" s="3"/>
    </row>
    <row r="310" spans="3:8" x14ac:dyDescent="0.2">
      <c r="C310" s="3"/>
      <c r="D310" s="3"/>
      <c r="E310" s="3"/>
      <c r="H310" s="3"/>
    </row>
    <row r="311" spans="3:8" x14ac:dyDescent="0.2">
      <c r="C311" s="3"/>
      <c r="D311" s="3"/>
      <c r="E311" s="3"/>
      <c r="H311" s="3"/>
    </row>
    <row r="312" spans="3:8" x14ac:dyDescent="0.2">
      <c r="C312" s="3"/>
      <c r="D312" s="3"/>
      <c r="E312" s="3"/>
      <c r="H312" s="3"/>
    </row>
    <row r="313" spans="3:8" x14ac:dyDescent="0.2">
      <c r="C313" s="3"/>
      <c r="D313" s="3"/>
      <c r="E313" s="3"/>
      <c r="H313" s="3"/>
    </row>
    <row r="314" spans="3:8" x14ac:dyDescent="0.2">
      <c r="C314" s="3"/>
      <c r="D314" s="3"/>
      <c r="E314" s="3"/>
      <c r="H314" s="3"/>
    </row>
    <row r="315" spans="3:8" x14ac:dyDescent="0.2">
      <c r="C315" s="3"/>
      <c r="D315" s="3"/>
      <c r="E315" s="3"/>
      <c r="H315" s="3"/>
    </row>
    <row r="316" spans="3:8" x14ac:dyDescent="0.2">
      <c r="C316" s="3"/>
      <c r="D316" s="3"/>
      <c r="E316" s="3"/>
      <c r="H316" s="3"/>
    </row>
    <row r="317" spans="3:8" x14ac:dyDescent="0.2">
      <c r="C317" s="3"/>
      <c r="D317" s="3"/>
      <c r="E317" s="3"/>
      <c r="H317" s="3"/>
    </row>
    <row r="318" spans="3:8" x14ac:dyDescent="0.2">
      <c r="C318" s="3"/>
      <c r="D318" s="3"/>
      <c r="E318" s="3"/>
      <c r="H318" s="3"/>
    </row>
    <row r="319" spans="3:8" x14ac:dyDescent="0.2">
      <c r="C319" s="3"/>
      <c r="D319" s="3"/>
      <c r="E319" s="3"/>
      <c r="H319" s="3"/>
    </row>
    <row r="320" spans="3:8" x14ac:dyDescent="0.2">
      <c r="C320" s="3"/>
      <c r="D320" s="3"/>
      <c r="E320" s="3"/>
      <c r="H320" s="3"/>
    </row>
    <row r="321" spans="3:8" x14ac:dyDescent="0.2">
      <c r="C321" s="3"/>
      <c r="D321" s="3"/>
      <c r="E321" s="3"/>
      <c r="H321" s="3"/>
    </row>
    <row r="322" spans="3:8" x14ac:dyDescent="0.2">
      <c r="C322" s="3"/>
      <c r="D322" s="3"/>
      <c r="E322" s="3"/>
      <c r="H322" s="3"/>
    </row>
    <row r="323" spans="3:8" x14ac:dyDescent="0.2">
      <c r="C323" s="3"/>
      <c r="D323" s="3"/>
      <c r="E323" s="3"/>
      <c r="H323" s="3"/>
    </row>
    <row r="324" spans="3:8" x14ac:dyDescent="0.2">
      <c r="C324" s="3"/>
      <c r="D324" s="3"/>
      <c r="E324" s="3"/>
      <c r="H324" s="3"/>
    </row>
    <row r="325" spans="3:8" x14ac:dyDescent="0.2">
      <c r="C325" s="3"/>
      <c r="D325" s="3"/>
      <c r="E325" s="3"/>
      <c r="H325" s="3"/>
    </row>
    <row r="326" spans="3:8" x14ac:dyDescent="0.2">
      <c r="C326" s="3"/>
      <c r="D326" s="3"/>
      <c r="E326" s="3"/>
      <c r="H326" s="3"/>
    </row>
    <row r="327" spans="3:8" x14ac:dyDescent="0.2">
      <c r="C327" s="3"/>
      <c r="D327" s="3"/>
      <c r="E327" s="3"/>
      <c r="H327" s="3"/>
    </row>
    <row r="328" spans="3:8" x14ac:dyDescent="0.2">
      <c r="C328" s="3"/>
      <c r="D328" s="3"/>
      <c r="E328" s="3"/>
      <c r="H328" s="3"/>
    </row>
    <row r="329" spans="3:8" x14ac:dyDescent="0.2">
      <c r="C329" s="3"/>
      <c r="D329" s="3"/>
      <c r="E329" s="3"/>
      <c r="H329" s="3"/>
    </row>
    <row r="330" spans="3:8" x14ac:dyDescent="0.2">
      <c r="C330" s="3"/>
      <c r="D330" s="3"/>
      <c r="E330" s="3"/>
      <c r="H330" s="3"/>
    </row>
    <row r="331" spans="3:8" x14ac:dyDescent="0.2">
      <c r="C331" s="3"/>
      <c r="D331" s="3"/>
      <c r="E331" s="3"/>
      <c r="H331" s="3"/>
    </row>
    <row r="332" spans="3:8" x14ac:dyDescent="0.2">
      <c r="C332" s="3"/>
      <c r="D332" s="3"/>
      <c r="E332" s="3"/>
      <c r="H332" s="3"/>
    </row>
    <row r="333" spans="3:8" x14ac:dyDescent="0.2">
      <c r="C333" s="3"/>
      <c r="D333" s="3"/>
      <c r="E333" s="3"/>
      <c r="H333" s="3"/>
    </row>
    <row r="334" spans="3:8" x14ac:dyDescent="0.2">
      <c r="C334" s="3"/>
      <c r="D334" s="3"/>
      <c r="E334" s="3"/>
      <c r="H334" s="3"/>
    </row>
    <row r="335" spans="3:8" x14ac:dyDescent="0.2">
      <c r="C335" s="3"/>
      <c r="D335" s="3"/>
      <c r="E335" s="3"/>
      <c r="H335" s="3"/>
    </row>
    <row r="336" spans="3:8" x14ac:dyDescent="0.2">
      <c r="C336" s="3"/>
      <c r="D336" s="3"/>
      <c r="E336" s="3"/>
      <c r="H336" s="3"/>
    </row>
    <row r="337" spans="3:8" x14ac:dyDescent="0.2">
      <c r="C337" s="3"/>
      <c r="D337" s="3"/>
      <c r="E337" s="3"/>
      <c r="H337" s="3"/>
    </row>
    <row r="338" spans="3:8" x14ac:dyDescent="0.2">
      <c r="C338" s="3"/>
      <c r="D338" s="3"/>
      <c r="E338" s="3"/>
      <c r="H338" s="3"/>
    </row>
    <row r="339" spans="3:8" x14ac:dyDescent="0.2">
      <c r="C339" s="3"/>
      <c r="D339" s="3"/>
      <c r="E339" s="3"/>
      <c r="H339" s="3"/>
    </row>
    <row r="340" spans="3:8" x14ac:dyDescent="0.2">
      <c r="C340" s="3"/>
      <c r="D340" s="3"/>
      <c r="E340" s="3"/>
      <c r="H340" s="3"/>
    </row>
    <row r="341" spans="3:8" x14ac:dyDescent="0.2">
      <c r="C341" s="3"/>
      <c r="D341" s="3"/>
      <c r="E341" s="3"/>
      <c r="H341" s="3"/>
    </row>
    <row r="342" spans="3:8" x14ac:dyDescent="0.2">
      <c r="C342" s="3"/>
      <c r="D342" s="3"/>
      <c r="E342" s="3"/>
      <c r="H342" s="3"/>
    </row>
    <row r="343" spans="3:8" x14ac:dyDescent="0.2">
      <c r="C343" s="3"/>
      <c r="D343" s="3"/>
      <c r="E343" s="3"/>
      <c r="H343" s="3"/>
    </row>
    <row r="344" spans="3:8" x14ac:dyDescent="0.2">
      <c r="C344" s="3"/>
      <c r="D344" s="3"/>
      <c r="E344" s="3"/>
      <c r="H344" s="3"/>
    </row>
    <row r="345" spans="3:8" x14ac:dyDescent="0.2">
      <c r="C345" s="3"/>
      <c r="D345" s="3"/>
      <c r="E345" s="3"/>
      <c r="H345" s="3"/>
    </row>
    <row r="346" spans="3:8" x14ac:dyDescent="0.2">
      <c r="C346" s="3"/>
      <c r="D346" s="3"/>
      <c r="E346" s="3"/>
      <c r="H346" s="3"/>
    </row>
    <row r="347" spans="3:8" x14ac:dyDescent="0.2">
      <c r="C347" s="3"/>
      <c r="D347" s="3"/>
      <c r="E347" s="3"/>
      <c r="H347" s="3"/>
    </row>
    <row r="348" spans="3:8" x14ac:dyDescent="0.2">
      <c r="C348" s="3"/>
      <c r="D348" s="3"/>
      <c r="E348" s="3"/>
      <c r="H348" s="3"/>
    </row>
    <row r="349" spans="3:8" x14ac:dyDescent="0.2">
      <c r="C349" s="3"/>
      <c r="D349" s="3"/>
      <c r="E349" s="3"/>
      <c r="H349" s="3"/>
    </row>
    <row r="350" spans="3:8" x14ac:dyDescent="0.2">
      <c r="C350" s="3"/>
      <c r="D350" s="3"/>
      <c r="E350" s="3"/>
      <c r="H350" s="3"/>
    </row>
    <row r="351" spans="3:8" x14ac:dyDescent="0.2">
      <c r="C351" s="3"/>
      <c r="D351" s="3"/>
      <c r="E351" s="3"/>
      <c r="H351" s="3"/>
    </row>
    <row r="352" spans="3:8" x14ac:dyDescent="0.2">
      <c r="C352" s="3"/>
      <c r="D352" s="3"/>
      <c r="E352" s="3"/>
      <c r="H352" s="3"/>
    </row>
    <row r="353" spans="3:8" x14ac:dyDescent="0.2">
      <c r="C353" s="3"/>
      <c r="D353" s="3"/>
      <c r="E353" s="3"/>
      <c r="H353" s="3"/>
    </row>
    <row r="354" spans="3:8" x14ac:dyDescent="0.2">
      <c r="C354" s="3"/>
      <c r="D354" s="3"/>
      <c r="E354" s="3"/>
      <c r="H354" s="3"/>
    </row>
    <row r="355" spans="3:8" x14ac:dyDescent="0.2">
      <c r="C355" s="3"/>
      <c r="D355" s="3"/>
      <c r="E355" s="3"/>
      <c r="H355" s="3"/>
    </row>
    <row r="356" spans="3:8" x14ac:dyDescent="0.2">
      <c r="C356" s="3"/>
      <c r="D356" s="3"/>
      <c r="E356" s="3"/>
      <c r="H356" s="3"/>
    </row>
    <row r="357" spans="3:8" x14ac:dyDescent="0.2">
      <c r="C357" s="3"/>
      <c r="D357" s="3"/>
      <c r="E357" s="3"/>
      <c r="H357" s="3"/>
    </row>
    <row r="358" spans="3:8" x14ac:dyDescent="0.2">
      <c r="C358" s="3"/>
      <c r="D358" s="3"/>
      <c r="E358" s="3"/>
      <c r="H358" s="3"/>
    </row>
    <row r="359" spans="3:8" x14ac:dyDescent="0.2">
      <c r="C359" s="3"/>
      <c r="D359" s="3"/>
      <c r="E359" s="3"/>
      <c r="H359" s="3"/>
    </row>
    <row r="360" spans="3:8" x14ac:dyDescent="0.2">
      <c r="C360" s="3"/>
      <c r="D360" s="3"/>
      <c r="E360" s="3"/>
      <c r="H360" s="3"/>
    </row>
    <row r="361" spans="3:8" x14ac:dyDescent="0.2">
      <c r="C361" s="3"/>
      <c r="D361" s="3"/>
      <c r="E361" s="3"/>
      <c r="H361" s="3"/>
    </row>
    <row r="362" spans="3:8" x14ac:dyDescent="0.2">
      <c r="C362" s="3"/>
      <c r="D362" s="3"/>
      <c r="E362" s="3"/>
      <c r="H362" s="3"/>
    </row>
    <row r="363" spans="3:8" x14ac:dyDescent="0.2">
      <c r="C363" s="3"/>
      <c r="D363" s="3"/>
      <c r="E363" s="3"/>
      <c r="H363" s="3"/>
    </row>
    <row r="364" spans="3:8" x14ac:dyDescent="0.2">
      <c r="C364" s="3"/>
      <c r="D364" s="3"/>
      <c r="E364" s="3"/>
      <c r="H364" s="3"/>
    </row>
    <row r="365" spans="3:8" x14ac:dyDescent="0.2">
      <c r="C365" s="3"/>
      <c r="D365" s="3"/>
      <c r="E365" s="3"/>
      <c r="H365" s="3"/>
    </row>
    <row r="366" spans="3:8" x14ac:dyDescent="0.2">
      <c r="C366" s="3"/>
      <c r="D366" s="3"/>
      <c r="E366" s="3"/>
      <c r="H366" s="3"/>
    </row>
    <row r="367" spans="3:8" x14ac:dyDescent="0.2">
      <c r="C367" s="3"/>
      <c r="D367" s="3"/>
      <c r="E367" s="3"/>
      <c r="H367" s="3"/>
    </row>
    <row r="368" spans="3:8" x14ac:dyDescent="0.2">
      <c r="C368" s="3"/>
      <c r="D368" s="3"/>
      <c r="E368" s="3"/>
      <c r="H368" s="3"/>
    </row>
    <row r="369" spans="3:8" x14ac:dyDescent="0.2">
      <c r="C369" s="3"/>
      <c r="D369" s="3"/>
      <c r="E369" s="3"/>
      <c r="H369" s="3"/>
    </row>
    <row r="370" spans="3:8" x14ac:dyDescent="0.2">
      <c r="C370" s="3"/>
      <c r="D370" s="3"/>
      <c r="E370" s="3"/>
      <c r="H370" s="3"/>
    </row>
    <row r="371" spans="3:8" x14ac:dyDescent="0.2">
      <c r="C371" s="3"/>
      <c r="D371" s="3"/>
      <c r="E371" s="3"/>
      <c r="H371" s="3"/>
    </row>
    <row r="372" spans="3:8" x14ac:dyDescent="0.2">
      <c r="C372" s="3"/>
      <c r="D372" s="3"/>
      <c r="E372" s="3"/>
      <c r="H372" s="3"/>
    </row>
    <row r="373" spans="3:8" x14ac:dyDescent="0.2">
      <c r="C373" s="3"/>
      <c r="D373" s="3"/>
      <c r="E373" s="3"/>
      <c r="H373" s="3"/>
    </row>
    <row r="374" spans="3:8" x14ac:dyDescent="0.2">
      <c r="C374" s="3"/>
      <c r="D374" s="3"/>
      <c r="E374" s="3"/>
      <c r="H374" s="3"/>
    </row>
    <row r="375" spans="3:8" x14ac:dyDescent="0.2">
      <c r="C375" s="3"/>
      <c r="D375" s="3"/>
      <c r="E375" s="3"/>
      <c r="H375" s="3"/>
    </row>
    <row r="376" spans="3:8" x14ac:dyDescent="0.2">
      <c r="C376" s="3"/>
      <c r="D376" s="3"/>
      <c r="E376" s="3"/>
      <c r="H376" s="3"/>
    </row>
    <row r="377" spans="3:8" x14ac:dyDescent="0.2">
      <c r="C377" s="3"/>
      <c r="D377" s="3"/>
      <c r="E377" s="3"/>
      <c r="H377" s="3"/>
    </row>
    <row r="378" spans="3:8" x14ac:dyDescent="0.2">
      <c r="C378" s="3"/>
      <c r="D378" s="3"/>
      <c r="E378" s="3"/>
      <c r="H378" s="3"/>
    </row>
    <row r="379" spans="3:8" x14ac:dyDescent="0.2">
      <c r="C379" s="3"/>
      <c r="D379" s="3"/>
      <c r="E379" s="3"/>
      <c r="H379" s="3"/>
    </row>
    <row r="380" spans="3:8" x14ac:dyDescent="0.2">
      <c r="C380" s="3"/>
      <c r="D380" s="3"/>
      <c r="E380" s="3"/>
      <c r="H380" s="3"/>
    </row>
    <row r="381" spans="3:8" x14ac:dyDescent="0.2">
      <c r="C381" s="3"/>
      <c r="D381" s="3"/>
      <c r="E381" s="3"/>
      <c r="H381" s="3"/>
    </row>
    <row r="382" spans="3:8" x14ac:dyDescent="0.2">
      <c r="C382" s="3"/>
      <c r="D382" s="3"/>
      <c r="E382" s="3"/>
      <c r="H382" s="3"/>
    </row>
    <row r="383" spans="3:8" x14ac:dyDescent="0.2">
      <c r="C383" s="3"/>
      <c r="D383" s="3"/>
      <c r="E383" s="3"/>
      <c r="H383" s="3"/>
    </row>
    <row r="384" spans="3:8" x14ac:dyDescent="0.2">
      <c r="C384" s="3"/>
      <c r="D384" s="3"/>
      <c r="E384" s="3"/>
      <c r="H384" s="3"/>
    </row>
    <row r="385" spans="3:8" x14ac:dyDescent="0.2">
      <c r="C385" s="3"/>
      <c r="D385" s="3"/>
      <c r="E385" s="3"/>
      <c r="H385" s="3"/>
    </row>
    <row r="386" spans="3:8" x14ac:dyDescent="0.2">
      <c r="C386" s="3"/>
      <c r="D386" s="3"/>
      <c r="E386" s="3"/>
      <c r="H386" s="3"/>
    </row>
    <row r="387" spans="3:8" x14ac:dyDescent="0.2">
      <c r="C387" s="3"/>
      <c r="D387" s="3"/>
      <c r="E387" s="3"/>
      <c r="H387" s="3"/>
    </row>
    <row r="388" spans="3:8" x14ac:dyDescent="0.2">
      <c r="C388" s="3"/>
      <c r="D388" s="3"/>
      <c r="E388" s="3"/>
      <c r="H388" s="3"/>
    </row>
    <row r="389" spans="3:8" x14ac:dyDescent="0.2">
      <c r="C389" s="3"/>
      <c r="D389" s="3"/>
      <c r="E389" s="3"/>
      <c r="H389" s="3"/>
    </row>
    <row r="390" spans="3:8" x14ac:dyDescent="0.2">
      <c r="C390" s="3"/>
      <c r="D390" s="3"/>
      <c r="E390" s="3"/>
      <c r="H390" s="3"/>
    </row>
    <row r="391" spans="3:8" x14ac:dyDescent="0.2">
      <c r="C391" s="3"/>
      <c r="D391" s="3"/>
      <c r="E391" s="3"/>
      <c r="H391" s="3"/>
    </row>
    <row r="392" spans="3:8" x14ac:dyDescent="0.2">
      <c r="C392" s="3"/>
      <c r="D392" s="3"/>
      <c r="E392" s="3"/>
      <c r="H392" s="3"/>
    </row>
    <row r="393" spans="3:8" x14ac:dyDescent="0.2">
      <c r="C393" s="3"/>
      <c r="D393" s="3"/>
      <c r="E393" s="3"/>
      <c r="H393" s="3"/>
    </row>
    <row r="394" spans="3:8" x14ac:dyDescent="0.2">
      <c r="C394" s="3"/>
      <c r="D394" s="3"/>
      <c r="E394" s="3"/>
      <c r="H394" s="3"/>
    </row>
    <row r="395" spans="3:8" x14ac:dyDescent="0.2">
      <c r="C395" s="3"/>
      <c r="D395" s="3"/>
      <c r="E395" s="3"/>
      <c r="H395" s="3"/>
    </row>
    <row r="396" spans="3:8" x14ac:dyDescent="0.2">
      <c r="C396" s="3"/>
      <c r="D396" s="3"/>
      <c r="E396" s="3"/>
      <c r="H396" s="3"/>
    </row>
    <row r="397" spans="3:8" x14ac:dyDescent="0.2">
      <c r="C397" s="3"/>
      <c r="D397" s="3"/>
      <c r="E397" s="3"/>
      <c r="H397" s="3"/>
    </row>
    <row r="398" spans="3:8" x14ac:dyDescent="0.2">
      <c r="C398" s="3"/>
      <c r="D398" s="3"/>
      <c r="E398" s="3"/>
      <c r="H398" s="3"/>
    </row>
    <row r="399" spans="3:8" x14ac:dyDescent="0.2">
      <c r="C399" s="3"/>
      <c r="D399" s="3"/>
      <c r="E399" s="3"/>
      <c r="H399" s="3"/>
    </row>
    <row r="400" spans="3:8" x14ac:dyDescent="0.2">
      <c r="C400" s="3"/>
      <c r="D400" s="3"/>
      <c r="E400" s="3"/>
      <c r="H400" s="3"/>
    </row>
    <row r="401" spans="3:8" x14ac:dyDescent="0.2">
      <c r="C401" s="3"/>
      <c r="D401" s="3"/>
      <c r="E401" s="3"/>
      <c r="H401" s="3"/>
    </row>
    <row r="402" spans="3:8" x14ac:dyDescent="0.2">
      <c r="C402" s="3"/>
      <c r="D402" s="3"/>
      <c r="E402" s="3"/>
      <c r="H402" s="3"/>
    </row>
    <row r="403" spans="3:8" x14ac:dyDescent="0.2">
      <c r="C403" s="3"/>
      <c r="D403" s="3"/>
      <c r="E403" s="3"/>
      <c r="H403" s="3"/>
    </row>
    <row r="404" spans="3:8" x14ac:dyDescent="0.2">
      <c r="C404" s="3"/>
      <c r="D404" s="3"/>
      <c r="E404" s="3"/>
      <c r="H404" s="3"/>
    </row>
    <row r="405" spans="3:8" x14ac:dyDescent="0.2">
      <c r="C405" s="3"/>
      <c r="D405" s="3"/>
      <c r="E405" s="3"/>
      <c r="H405" s="3"/>
    </row>
    <row r="406" spans="3:8" x14ac:dyDescent="0.2">
      <c r="C406" s="3"/>
      <c r="D406" s="3"/>
      <c r="E406" s="3"/>
      <c r="H406" s="3"/>
    </row>
    <row r="407" spans="3:8" x14ac:dyDescent="0.2">
      <c r="C407" s="3"/>
      <c r="D407" s="3"/>
      <c r="E407" s="3"/>
      <c r="H407" s="3"/>
    </row>
    <row r="408" spans="3:8" x14ac:dyDescent="0.2">
      <c r="C408" s="3"/>
      <c r="D408" s="3"/>
      <c r="E408" s="3"/>
      <c r="H408" s="3"/>
    </row>
    <row r="409" spans="3:8" x14ac:dyDescent="0.2">
      <c r="C409" s="3"/>
      <c r="D409" s="3"/>
      <c r="E409" s="3"/>
      <c r="H409" s="3"/>
    </row>
    <row r="410" spans="3:8" x14ac:dyDescent="0.2">
      <c r="C410" s="3"/>
      <c r="D410" s="3"/>
      <c r="E410" s="3"/>
      <c r="H410" s="3"/>
    </row>
    <row r="411" spans="3:8" x14ac:dyDescent="0.2">
      <c r="C411" s="3"/>
      <c r="D411" s="3"/>
      <c r="E411" s="3"/>
      <c r="H411" s="3"/>
    </row>
    <row r="412" spans="3:8" x14ac:dyDescent="0.2">
      <c r="C412" s="3"/>
      <c r="D412" s="3"/>
      <c r="E412" s="3"/>
      <c r="H412" s="3"/>
    </row>
    <row r="413" spans="3:8" x14ac:dyDescent="0.2">
      <c r="C413" s="3"/>
      <c r="D413" s="3"/>
      <c r="E413" s="3"/>
      <c r="H413" s="3"/>
    </row>
    <row r="414" spans="3:8" x14ac:dyDescent="0.2">
      <c r="C414" s="3"/>
      <c r="D414" s="3"/>
      <c r="E414" s="3"/>
      <c r="H414" s="3"/>
    </row>
    <row r="415" spans="3:8" x14ac:dyDescent="0.2">
      <c r="C415" s="3"/>
      <c r="D415" s="3"/>
      <c r="E415" s="3"/>
      <c r="H415" s="3"/>
    </row>
    <row r="416" spans="3:8" x14ac:dyDescent="0.2">
      <c r="C416" s="3"/>
      <c r="D416" s="3"/>
      <c r="E416" s="3"/>
      <c r="H416" s="3"/>
    </row>
    <row r="417" spans="3:8" x14ac:dyDescent="0.2">
      <c r="C417" s="3"/>
      <c r="D417" s="3"/>
      <c r="E417" s="3"/>
      <c r="H417" s="3"/>
    </row>
    <row r="418" spans="3:8" x14ac:dyDescent="0.2">
      <c r="C418" s="3"/>
      <c r="D418" s="3"/>
      <c r="E418" s="3"/>
      <c r="H418" s="3"/>
    </row>
    <row r="419" spans="3:8" x14ac:dyDescent="0.2">
      <c r="C419" s="3"/>
      <c r="D419" s="3"/>
      <c r="E419" s="3"/>
      <c r="H419" s="3"/>
    </row>
    <row r="420" spans="3:8" x14ac:dyDescent="0.2">
      <c r="C420" s="3"/>
      <c r="D420" s="3"/>
      <c r="E420" s="3"/>
      <c r="H420" s="3"/>
    </row>
    <row r="421" spans="3:8" x14ac:dyDescent="0.2">
      <c r="C421" s="3"/>
      <c r="D421" s="3"/>
      <c r="E421" s="3"/>
      <c r="H421" s="3"/>
    </row>
    <row r="422" spans="3:8" x14ac:dyDescent="0.2">
      <c r="C422" s="3"/>
      <c r="D422" s="3"/>
      <c r="E422" s="3"/>
      <c r="H422" s="3"/>
    </row>
    <row r="423" spans="3:8" x14ac:dyDescent="0.2">
      <c r="C423" s="3"/>
      <c r="D423" s="3"/>
      <c r="E423" s="3"/>
      <c r="H423" s="3"/>
    </row>
    <row r="424" spans="3:8" x14ac:dyDescent="0.2">
      <c r="C424" s="3"/>
      <c r="D424" s="3"/>
      <c r="E424" s="3"/>
      <c r="H424" s="3"/>
    </row>
    <row r="425" spans="3:8" x14ac:dyDescent="0.2">
      <c r="C425" s="3"/>
      <c r="D425" s="3"/>
      <c r="E425" s="3"/>
      <c r="H425" s="3"/>
    </row>
    <row r="426" spans="3:8" x14ac:dyDescent="0.2">
      <c r="C426" s="3"/>
      <c r="D426" s="3"/>
      <c r="E426" s="3"/>
      <c r="H426" s="3"/>
    </row>
    <row r="427" spans="3:8" x14ac:dyDescent="0.2">
      <c r="C427" s="3"/>
      <c r="D427" s="3"/>
      <c r="E427" s="3"/>
      <c r="H427" s="3"/>
    </row>
    <row r="428" spans="3:8" x14ac:dyDescent="0.2">
      <c r="C428" s="3"/>
      <c r="D428" s="3"/>
      <c r="E428" s="3"/>
      <c r="H428" s="3"/>
    </row>
    <row r="429" spans="3:8" x14ac:dyDescent="0.2">
      <c r="C429" s="3"/>
      <c r="D429" s="3"/>
      <c r="E429" s="3"/>
      <c r="H429" s="3"/>
    </row>
    <row r="430" spans="3:8" x14ac:dyDescent="0.2">
      <c r="C430" s="3"/>
      <c r="D430" s="3"/>
      <c r="E430" s="3"/>
      <c r="H430" s="3"/>
    </row>
    <row r="431" spans="3:8" x14ac:dyDescent="0.2">
      <c r="C431" s="3"/>
      <c r="D431" s="3"/>
      <c r="E431" s="3"/>
      <c r="H431" s="3"/>
    </row>
    <row r="432" spans="3:8" x14ac:dyDescent="0.2">
      <c r="C432" s="3"/>
      <c r="D432" s="3"/>
      <c r="E432" s="3"/>
      <c r="H432" s="3"/>
    </row>
    <row r="433" spans="3:8" x14ac:dyDescent="0.2">
      <c r="C433" s="3"/>
      <c r="D433" s="3"/>
      <c r="E433" s="3"/>
      <c r="H433" s="3"/>
    </row>
    <row r="434" spans="3:8" x14ac:dyDescent="0.2">
      <c r="C434" s="3"/>
      <c r="D434" s="3"/>
      <c r="E434" s="3"/>
      <c r="H434" s="3"/>
    </row>
    <row r="435" spans="3:8" x14ac:dyDescent="0.2">
      <c r="C435" s="3"/>
      <c r="D435" s="3"/>
      <c r="E435" s="3"/>
      <c r="H435" s="3"/>
    </row>
    <row r="436" spans="3:8" x14ac:dyDescent="0.2">
      <c r="C436" s="3"/>
      <c r="D436" s="3"/>
      <c r="E436" s="3"/>
      <c r="H436" s="3"/>
    </row>
    <row r="437" spans="3:8" x14ac:dyDescent="0.2">
      <c r="C437" s="3"/>
      <c r="D437" s="3"/>
      <c r="E437" s="3"/>
      <c r="H437" s="3"/>
    </row>
    <row r="438" spans="3:8" x14ac:dyDescent="0.2">
      <c r="C438" s="3"/>
      <c r="D438" s="3"/>
      <c r="E438" s="3"/>
      <c r="H438" s="3"/>
    </row>
    <row r="439" spans="3:8" x14ac:dyDescent="0.2">
      <c r="C439" s="3"/>
      <c r="D439" s="3"/>
      <c r="E439" s="3"/>
      <c r="H439" s="3"/>
    </row>
    <row r="440" spans="3:8" x14ac:dyDescent="0.2">
      <c r="C440" s="3"/>
      <c r="D440" s="3"/>
      <c r="E440" s="3"/>
      <c r="H440" s="3"/>
    </row>
    <row r="441" spans="3:8" x14ac:dyDescent="0.2">
      <c r="C441" s="3"/>
      <c r="D441" s="3"/>
      <c r="E441" s="3"/>
      <c r="H441" s="3"/>
    </row>
    <row r="442" spans="3:8" x14ac:dyDescent="0.2">
      <c r="C442" s="3"/>
      <c r="D442" s="3"/>
      <c r="E442" s="3"/>
      <c r="H442" s="3"/>
    </row>
    <row r="443" spans="3:8" x14ac:dyDescent="0.2">
      <c r="C443" s="3"/>
      <c r="D443" s="3"/>
      <c r="E443" s="3"/>
      <c r="H443" s="3"/>
    </row>
    <row r="444" spans="3:8" x14ac:dyDescent="0.2">
      <c r="C444" s="3"/>
      <c r="D444" s="3"/>
      <c r="E444" s="3"/>
      <c r="H444" s="3"/>
    </row>
    <row r="445" spans="3:8" x14ac:dyDescent="0.2">
      <c r="C445" s="3"/>
      <c r="D445" s="3"/>
      <c r="E445" s="3"/>
      <c r="H445" s="3"/>
    </row>
    <row r="446" spans="3:8" x14ac:dyDescent="0.2">
      <c r="C446" s="3"/>
      <c r="D446" s="3"/>
      <c r="E446" s="3"/>
      <c r="H446" s="3"/>
    </row>
    <row r="447" spans="3:8" x14ac:dyDescent="0.2">
      <c r="C447" s="3"/>
      <c r="D447" s="3"/>
      <c r="E447" s="3"/>
      <c r="H447" s="3"/>
    </row>
    <row r="448" spans="3:8" x14ac:dyDescent="0.2">
      <c r="C448" s="3"/>
      <c r="D448" s="3"/>
      <c r="E448" s="3"/>
      <c r="H448" s="3"/>
    </row>
    <row r="449" spans="3:8" x14ac:dyDescent="0.2">
      <c r="C449" s="3"/>
      <c r="D449" s="3"/>
      <c r="E449" s="3"/>
      <c r="H449" s="3"/>
    </row>
    <row r="450" spans="3:8" x14ac:dyDescent="0.2">
      <c r="C450" s="3"/>
      <c r="D450" s="3"/>
      <c r="E450" s="3"/>
      <c r="H450" s="3"/>
    </row>
    <row r="451" spans="3:8" x14ac:dyDescent="0.2">
      <c r="C451" s="3"/>
      <c r="D451" s="3"/>
      <c r="E451" s="3"/>
      <c r="H451" s="3"/>
    </row>
    <row r="452" spans="3:8" x14ac:dyDescent="0.2">
      <c r="C452" s="3"/>
      <c r="D452" s="3"/>
      <c r="E452" s="3"/>
      <c r="H452" s="3"/>
    </row>
    <row r="453" spans="3:8" x14ac:dyDescent="0.2">
      <c r="C453" s="3"/>
      <c r="D453" s="3"/>
      <c r="E453" s="3"/>
      <c r="H453" s="3"/>
    </row>
    <row r="454" spans="3:8" x14ac:dyDescent="0.2">
      <c r="C454" s="3"/>
      <c r="D454" s="3"/>
      <c r="E454" s="3"/>
      <c r="H454" s="3"/>
    </row>
    <row r="455" spans="3:8" x14ac:dyDescent="0.2">
      <c r="C455" s="3"/>
      <c r="D455" s="3"/>
      <c r="E455" s="3"/>
      <c r="H455" s="3"/>
    </row>
    <row r="456" spans="3:8" x14ac:dyDescent="0.2">
      <c r="C456" s="3"/>
      <c r="D456" s="3"/>
      <c r="E456" s="3"/>
      <c r="H456" s="3"/>
    </row>
    <row r="457" spans="3:8" x14ac:dyDescent="0.2">
      <c r="C457" s="3"/>
      <c r="D457" s="3"/>
      <c r="E457" s="3"/>
      <c r="H457" s="3"/>
    </row>
    <row r="458" spans="3:8" x14ac:dyDescent="0.2">
      <c r="C458" s="3"/>
      <c r="D458" s="3"/>
      <c r="E458" s="3"/>
      <c r="H458" s="3"/>
    </row>
    <row r="459" spans="3:8" x14ac:dyDescent="0.2">
      <c r="C459" s="3"/>
      <c r="D459" s="3"/>
      <c r="E459" s="3"/>
      <c r="H459" s="3"/>
    </row>
    <row r="460" spans="3:8" x14ac:dyDescent="0.2">
      <c r="C460" s="3"/>
      <c r="D460" s="3"/>
      <c r="E460" s="3"/>
      <c r="H460" s="3"/>
    </row>
    <row r="461" spans="3:8" x14ac:dyDescent="0.2">
      <c r="C461" s="3"/>
      <c r="D461" s="3"/>
      <c r="E461" s="3"/>
      <c r="H461" s="3"/>
    </row>
    <row r="462" spans="3:8" x14ac:dyDescent="0.2">
      <c r="C462" s="3"/>
      <c r="D462" s="3"/>
      <c r="E462" s="3"/>
      <c r="H462" s="3"/>
    </row>
    <row r="463" spans="3:8" x14ac:dyDescent="0.2">
      <c r="C463" s="3"/>
      <c r="D463" s="3"/>
      <c r="E463" s="3"/>
      <c r="H463" s="3"/>
    </row>
    <row r="464" spans="3:8" x14ac:dyDescent="0.2">
      <c r="C464" s="3"/>
      <c r="D464" s="3"/>
      <c r="E464" s="3"/>
      <c r="H464" s="3"/>
    </row>
    <row r="465" spans="3:8" x14ac:dyDescent="0.2">
      <c r="C465" s="3"/>
      <c r="D465" s="3"/>
      <c r="E465" s="3"/>
      <c r="H465" s="3"/>
    </row>
    <row r="466" spans="3:8" x14ac:dyDescent="0.2">
      <c r="C466" s="3"/>
      <c r="D466" s="3"/>
      <c r="E466" s="3"/>
      <c r="H466" s="3"/>
    </row>
    <row r="467" spans="3:8" x14ac:dyDescent="0.2">
      <c r="C467" s="3"/>
      <c r="D467" s="3"/>
      <c r="E467" s="3"/>
      <c r="H467" s="3"/>
    </row>
    <row r="468" spans="3:8" x14ac:dyDescent="0.2">
      <c r="C468" s="3"/>
      <c r="D468" s="3"/>
      <c r="E468" s="3"/>
      <c r="H468" s="3"/>
    </row>
    <row r="469" spans="3:8" x14ac:dyDescent="0.2">
      <c r="C469" s="3"/>
      <c r="D469" s="3"/>
      <c r="E469" s="3"/>
      <c r="H469" s="3"/>
    </row>
    <row r="470" spans="3:8" x14ac:dyDescent="0.2">
      <c r="C470" s="3"/>
      <c r="D470" s="3"/>
      <c r="E470" s="3"/>
      <c r="H470" s="3"/>
    </row>
    <row r="471" spans="3:8" x14ac:dyDescent="0.2">
      <c r="C471" s="3"/>
      <c r="D471" s="3"/>
      <c r="E471" s="3"/>
      <c r="H471" s="3"/>
    </row>
    <row r="472" spans="3:8" x14ac:dyDescent="0.2">
      <c r="C472" s="3"/>
      <c r="D472" s="3"/>
      <c r="E472" s="3"/>
      <c r="H472" s="3"/>
    </row>
    <row r="473" spans="3:8" x14ac:dyDescent="0.2">
      <c r="C473" s="3"/>
      <c r="D473" s="3"/>
      <c r="E473" s="3"/>
      <c r="H473" s="3"/>
    </row>
    <row r="474" spans="3:8" x14ac:dyDescent="0.2">
      <c r="C474" s="3"/>
      <c r="D474" s="3"/>
      <c r="E474" s="3"/>
      <c r="H474" s="3"/>
    </row>
    <row r="475" spans="3:8" x14ac:dyDescent="0.2">
      <c r="C475" s="3"/>
      <c r="D475" s="3"/>
      <c r="E475" s="3"/>
      <c r="H475" s="3"/>
    </row>
    <row r="476" spans="3:8" x14ac:dyDescent="0.2">
      <c r="C476" s="3"/>
      <c r="D476" s="3"/>
      <c r="E476" s="3"/>
      <c r="H476" s="3"/>
    </row>
    <row r="477" spans="3:8" x14ac:dyDescent="0.2">
      <c r="C477" s="3"/>
      <c r="D477" s="3"/>
      <c r="E477" s="3"/>
      <c r="H477" s="3"/>
    </row>
    <row r="478" spans="3:8" x14ac:dyDescent="0.2">
      <c r="C478" s="3"/>
      <c r="D478" s="3"/>
      <c r="E478" s="3"/>
      <c r="H478" s="3"/>
    </row>
    <row r="479" spans="3:8" x14ac:dyDescent="0.2">
      <c r="C479" s="3"/>
      <c r="D479" s="3"/>
      <c r="E479" s="3"/>
      <c r="H479" s="3"/>
    </row>
    <row r="480" spans="3:8" x14ac:dyDescent="0.2">
      <c r="C480" s="3"/>
      <c r="D480" s="3"/>
      <c r="E480" s="3"/>
      <c r="H480" s="3"/>
    </row>
    <row r="481" spans="3:8" x14ac:dyDescent="0.2">
      <c r="C481" s="3"/>
      <c r="D481" s="3"/>
      <c r="E481" s="3"/>
      <c r="H481" s="3"/>
    </row>
    <row r="482" spans="3:8" x14ac:dyDescent="0.2">
      <c r="C482" s="3"/>
      <c r="D482" s="3"/>
      <c r="E482" s="3"/>
      <c r="H482" s="3"/>
    </row>
    <row r="483" spans="3:8" x14ac:dyDescent="0.2">
      <c r="C483" s="3"/>
      <c r="D483" s="3"/>
      <c r="E483" s="3"/>
      <c r="H483" s="3"/>
    </row>
    <row r="484" spans="3:8" x14ac:dyDescent="0.2">
      <c r="C484" s="3"/>
      <c r="D484" s="3"/>
      <c r="E484" s="3"/>
      <c r="H484" s="3"/>
    </row>
    <row r="485" spans="3:8" x14ac:dyDescent="0.2">
      <c r="C485" s="3"/>
      <c r="D485" s="3"/>
      <c r="E485" s="3"/>
      <c r="H485" s="3"/>
    </row>
    <row r="486" spans="3:8" x14ac:dyDescent="0.2">
      <c r="C486" s="3"/>
      <c r="D486" s="3"/>
      <c r="E486" s="3"/>
      <c r="H486" s="3"/>
    </row>
    <row r="487" spans="3:8" x14ac:dyDescent="0.2">
      <c r="C487" s="3"/>
      <c r="D487" s="3"/>
      <c r="E487" s="3"/>
      <c r="H487" s="3"/>
    </row>
    <row r="488" spans="3:8" x14ac:dyDescent="0.2">
      <c r="C488" s="3"/>
      <c r="D488" s="3"/>
      <c r="E488" s="3"/>
      <c r="H488" s="3"/>
    </row>
    <row r="489" spans="3:8" x14ac:dyDescent="0.2">
      <c r="C489" s="3"/>
      <c r="D489" s="3"/>
      <c r="E489" s="3"/>
      <c r="H489" s="3"/>
    </row>
    <row r="490" spans="3:8" x14ac:dyDescent="0.2">
      <c r="C490" s="3"/>
      <c r="D490" s="3"/>
      <c r="E490" s="3"/>
      <c r="H490" s="3"/>
    </row>
    <row r="491" spans="3:8" x14ac:dyDescent="0.2">
      <c r="C491" s="3"/>
      <c r="D491" s="3"/>
      <c r="E491" s="3"/>
      <c r="H491" s="3"/>
    </row>
    <row r="492" spans="3:8" x14ac:dyDescent="0.2">
      <c r="C492" s="3"/>
      <c r="D492" s="3"/>
      <c r="E492" s="3"/>
      <c r="H492" s="3"/>
    </row>
    <row r="493" spans="3:8" x14ac:dyDescent="0.2">
      <c r="C493" s="3"/>
      <c r="D493" s="3"/>
      <c r="E493" s="3"/>
      <c r="H493" s="3"/>
    </row>
    <row r="494" spans="3:8" x14ac:dyDescent="0.2">
      <c r="C494" s="3"/>
      <c r="D494" s="3"/>
      <c r="E494" s="3"/>
      <c r="H494" s="3"/>
    </row>
    <row r="495" spans="3:8" x14ac:dyDescent="0.2">
      <c r="C495" s="3"/>
      <c r="D495" s="3"/>
      <c r="E495" s="3"/>
      <c r="H495" s="3"/>
    </row>
    <row r="496" spans="3:8" x14ac:dyDescent="0.2">
      <c r="C496" s="3"/>
      <c r="D496" s="3"/>
      <c r="E496" s="3"/>
      <c r="H496" s="3"/>
    </row>
    <row r="497" spans="3:8" x14ac:dyDescent="0.2">
      <c r="C497" s="3"/>
      <c r="D497" s="3"/>
      <c r="E497" s="3"/>
      <c r="H497" s="3"/>
    </row>
    <row r="498" spans="3:8" x14ac:dyDescent="0.2">
      <c r="C498" s="3"/>
      <c r="D498" s="3"/>
      <c r="E498" s="3"/>
      <c r="H498" s="3"/>
    </row>
    <row r="499" spans="3:8" x14ac:dyDescent="0.2">
      <c r="C499" s="3"/>
      <c r="D499" s="3"/>
      <c r="E499" s="3"/>
      <c r="H499" s="3"/>
    </row>
    <row r="500" spans="3:8" x14ac:dyDescent="0.2">
      <c r="C500" s="3"/>
      <c r="D500" s="3"/>
      <c r="E500" s="3"/>
      <c r="H500" s="3"/>
    </row>
    <row r="501" spans="3:8" x14ac:dyDescent="0.2">
      <c r="C501" s="3"/>
      <c r="D501" s="3"/>
      <c r="E501" s="3"/>
      <c r="H501" s="3"/>
    </row>
    <row r="502" spans="3:8" x14ac:dyDescent="0.2">
      <c r="C502" s="3"/>
      <c r="D502" s="3"/>
      <c r="E502" s="3"/>
      <c r="H502" s="3"/>
    </row>
    <row r="503" spans="3:8" x14ac:dyDescent="0.2">
      <c r="C503" s="3"/>
      <c r="D503" s="3"/>
      <c r="E503" s="3"/>
      <c r="H503" s="3"/>
    </row>
    <row r="504" spans="3:8" x14ac:dyDescent="0.2">
      <c r="C504" s="3"/>
      <c r="D504" s="3"/>
      <c r="E504" s="3"/>
      <c r="H504" s="3"/>
    </row>
    <row r="505" spans="3:8" x14ac:dyDescent="0.2">
      <c r="C505" s="3"/>
      <c r="D505" s="3"/>
      <c r="E505" s="3"/>
      <c r="H505" s="3"/>
    </row>
    <row r="506" spans="3:8" x14ac:dyDescent="0.2">
      <c r="C506" s="3"/>
      <c r="D506" s="3"/>
      <c r="E506" s="3"/>
      <c r="H506" s="3"/>
    </row>
    <row r="507" spans="3:8" x14ac:dyDescent="0.2">
      <c r="C507" s="3"/>
      <c r="D507" s="3"/>
      <c r="E507" s="3"/>
      <c r="H507" s="3"/>
    </row>
    <row r="508" spans="3:8" x14ac:dyDescent="0.2">
      <c r="C508" s="3"/>
      <c r="D508" s="3"/>
      <c r="E508" s="3"/>
      <c r="H508" s="3"/>
    </row>
    <row r="509" spans="3:8" x14ac:dyDescent="0.2">
      <c r="C509" s="3"/>
      <c r="D509" s="3"/>
      <c r="E509" s="3"/>
      <c r="H509" s="3"/>
    </row>
    <row r="510" spans="3:8" x14ac:dyDescent="0.2">
      <c r="C510" s="3"/>
      <c r="D510" s="3"/>
      <c r="E510" s="3"/>
      <c r="H510" s="3"/>
    </row>
    <row r="511" spans="3:8" x14ac:dyDescent="0.2">
      <c r="C511" s="3"/>
      <c r="D511" s="3"/>
      <c r="E511" s="3"/>
      <c r="H511" s="3"/>
    </row>
    <row r="512" spans="3:8" x14ac:dyDescent="0.2">
      <c r="C512" s="3"/>
      <c r="D512" s="3"/>
      <c r="E512" s="3"/>
      <c r="H512" s="3"/>
    </row>
    <row r="513" spans="3:8" x14ac:dyDescent="0.2">
      <c r="C513" s="3"/>
      <c r="D513" s="3"/>
      <c r="E513" s="3"/>
      <c r="H513" s="3"/>
    </row>
    <row r="514" spans="3:8" x14ac:dyDescent="0.2">
      <c r="C514" s="3"/>
      <c r="D514" s="3"/>
      <c r="E514" s="3"/>
      <c r="H514" s="3"/>
    </row>
    <row r="515" spans="3:8" x14ac:dyDescent="0.2">
      <c r="C515" s="3"/>
      <c r="D515" s="3"/>
      <c r="E515" s="3"/>
      <c r="H515" s="3"/>
    </row>
    <row r="516" spans="3:8" x14ac:dyDescent="0.2">
      <c r="C516" s="3"/>
      <c r="D516" s="3"/>
      <c r="E516" s="3"/>
      <c r="H516" s="3"/>
    </row>
    <row r="517" spans="3:8" x14ac:dyDescent="0.2">
      <c r="C517" s="3"/>
      <c r="D517" s="3"/>
      <c r="E517" s="3"/>
      <c r="H517" s="3"/>
    </row>
    <row r="518" spans="3:8" x14ac:dyDescent="0.2">
      <c r="C518" s="3"/>
      <c r="D518" s="3"/>
      <c r="E518" s="3"/>
      <c r="H518" s="3"/>
    </row>
    <row r="519" spans="3:8" x14ac:dyDescent="0.2">
      <c r="C519" s="3"/>
      <c r="D519" s="3"/>
      <c r="E519" s="3"/>
      <c r="H519" s="3"/>
    </row>
    <row r="520" spans="3:8" x14ac:dyDescent="0.2">
      <c r="C520" s="3"/>
      <c r="D520" s="3"/>
      <c r="E520" s="3"/>
      <c r="H520" s="3"/>
    </row>
    <row r="521" spans="3:8" x14ac:dyDescent="0.2">
      <c r="C521" s="3"/>
      <c r="D521" s="3"/>
      <c r="E521" s="3"/>
      <c r="H521" s="3"/>
    </row>
    <row r="522" spans="3:8" x14ac:dyDescent="0.2">
      <c r="C522" s="3"/>
      <c r="D522" s="3"/>
      <c r="E522" s="3"/>
      <c r="H522" s="3"/>
    </row>
    <row r="523" spans="3:8" x14ac:dyDescent="0.2">
      <c r="C523" s="3"/>
      <c r="D523" s="3"/>
      <c r="E523" s="3"/>
      <c r="H523" s="3"/>
    </row>
    <row r="524" spans="3:8" x14ac:dyDescent="0.2">
      <c r="C524" s="3"/>
      <c r="D524" s="3"/>
      <c r="E524" s="3"/>
      <c r="H524" s="3"/>
    </row>
    <row r="525" spans="3:8" x14ac:dyDescent="0.2">
      <c r="C525" s="3"/>
      <c r="D525" s="3"/>
      <c r="E525" s="3"/>
      <c r="H525" s="3"/>
    </row>
    <row r="526" spans="3:8" x14ac:dyDescent="0.2">
      <c r="C526" s="3"/>
      <c r="D526" s="3"/>
      <c r="E526" s="3"/>
      <c r="H526" s="3"/>
    </row>
    <row r="527" spans="3:8" x14ac:dyDescent="0.2">
      <c r="C527" s="3"/>
      <c r="D527" s="3"/>
      <c r="E527" s="3"/>
      <c r="H527" s="3"/>
    </row>
    <row r="528" spans="3:8" x14ac:dyDescent="0.2">
      <c r="C528" s="3"/>
      <c r="D528" s="3"/>
      <c r="E528" s="3"/>
      <c r="H528" s="3"/>
    </row>
    <row r="529" spans="3:8" x14ac:dyDescent="0.2">
      <c r="C529" s="3"/>
      <c r="D529" s="3"/>
      <c r="E529" s="3"/>
      <c r="H529" s="3"/>
    </row>
    <row r="530" spans="3:8" x14ac:dyDescent="0.2">
      <c r="C530" s="3"/>
      <c r="D530" s="3"/>
      <c r="E530" s="3"/>
      <c r="H530" s="3"/>
    </row>
    <row r="531" spans="3:8" x14ac:dyDescent="0.2">
      <c r="C531" s="3"/>
      <c r="D531" s="3"/>
      <c r="E531" s="3"/>
      <c r="H531" s="3"/>
    </row>
    <row r="532" spans="3:8" x14ac:dyDescent="0.2">
      <c r="C532" s="3"/>
      <c r="D532" s="3"/>
      <c r="E532" s="3"/>
      <c r="H532" s="3"/>
    </row>
    <row r="533" spans="3:8" x14ac:dyDescent="0.2">
      <c r="C533" s="3"/>
      <c r="D533" s="3"/>
      <c r="E533" s="3"/>
      <c r="H533" s="3"/>
    </row>
    <row r="534" spans="3:8" x14ac:dyDescent="0.2">
      <c r="C534" s="3"/>
      <c r="D534" s="3"/>
      <c r="E534" s="3"/>
      <c r="H534" s="3"/>
    </row>
    <row r="535" spans="3:8" x14ac:dyDescent="0.2">
      <c r="C535" s="3"/>
      <c r="D535" s="3"/>
      <c r="E535" s="3"/>
      <c r="H535" s="3"/>
    </row>
    <row r="536" spans="3:8" x14ac:dyDescent="0.2">
      <c r="C536" s="3"/>
      <c r="D536" s="3"/>
      <c r="E536" s="3"/>
      <c r="H536" s="3"/>
    </row>
    <row r="537" spans="3:8" x14ac:dyDescent="0.2">
      <c r="C537" s="3"/>
      <c r="D537" s="3"/>
      <c r="E537" s="3"/>
      <c r="H537" s="3"/>
    </row>
    <row r="538" spans="3:8" x14ac:dyDescent="0.2">
      <c r="C538" s="3"/>
      <c r="D538" s="3"/>
      <c r="E538" s="3"/>
      <c r="H538" s="3"/>
    </row>
    <row r="539" spans="3:8" x14ac:dyDescent="0.2">
      <c r="C539" s="3"/>
      <c r="D539" s="3"/>
      <c r="E539" s="3"/>
      <c r="H539" s="3"/>
    </row>
    <row r="540" spans="3:8" x14ac:dyDescent="0.2">
      <c r="C540" s="3"/>
      <c r="D540" s="3"/>
      <c r="E540" s="3"/>
      <c r="H540" s="3"/>
    </row>
    <row r="541" spans="3:8" x14ac:dyDescent="0.2">
      <c r="C541" s="3"/>
      <c r="D541" s="3"/>
      <c r="E541" s="3"/>
      <c r="H541" s="3"/>
    </row>
    <row r="542" spans="3:8" x14ac:dyDescent="0.2">
      <c r="C542" s="3"/>
      <c r="D542" s="3"/>
      <c r="E542" s="3"/>
      <c r="H542" s="3"/>
    </row>
    <row r="543" spans="3:8" x14ac:dyDescent="0.2">
      <c r="C543" s="3"/>
      <c r="D543" s="3"/>
      <c r="E543" s="3"/>
      <c r="H543" s="3"/>
    </row>
    <row r="544" spans="3:8" x14ac:dyDescent="0.2">
      <c r="C544" s="3"/>
      <c r="D544" s="3"/>
      <c r="E544" s="3"/>
      <c r="H544" s="3"/>
    </row>
    <row r="545" spans="3:8" x14ac:dyDescent="0.2">
      <c r="C545" s="3"/>
      <c r="D545" s="3"/>
      <c r="E545" s="3"/>
      <c r="H545" s="3"/>
    </row>
    <row r="546" spans="3:8" x14ac:dyDescent="0.2">
      <c r="C546" s="3"/>
      <c r="D546" s="3"/>
      <c r="E546" s="3"/>
      <c r="H546" s="3"/>
    </row>
    <row r="547" spans="3:8" x14ac:dyDescent="0.2">
      <c r="C547" s="3"/>
      <c r="D547" s="3"/>
      <c r="E547" s="3"/>
      <c r="H547" s="3"/>
    </row>
    <row r="548" spans="3:8" x14ac:dyDescent="0.2">
      <c r="C548" s="3"/>
      <c r="D548" s="3"/>
      <c r="E548" s="3"/>
      <c r="H548" s="3"/>
    </row>
    <row r="549" spans="3:8" x14ac:dyDescent="0.2">
      <c r="C549" s="3"/>
      <c r="D549" s="3"/>
      <c r="E549" s="3"/>
      <c r="H549" s="3"/>
    </row>
    <row r="550" spans="3:8" x14ac:dyDescent="0.2">
      <c r="C550" s="3"/>
      <c r="D550" s="3"/>
      <c r="E550" s="3"/>
      <c r="H550" s="3"/>
    </row>
    <row r="551" spans="3:8" x14ac:dyDescent="0.2">
      <c r="C551" s="3"/>
      <c r="D551" s="3"/>
      <c r="E551" s="3"/>
      <c r="H551" s="3"/>
    </row>
    <row r="552" spans="3:8" x14ac:dyDescent="0.2">
      <c r="C552" s="3"/>
      <c r="D552" s="3"/>
      <c r="E552" s="3"/>
      <c r="H552" s="3"/>
    </row>
    <row r="553" spans="3:8" x14ac:dyDescent="0.2">
      <c r="C553" s="3"/>
      <c r="D553" s="3"/>
      <c r="E553" s="3"/>
      <c r="H553" s="3"/>
    </row>
    <row r="554" spans="3:8" x14ac:dyDescent="0.2">
      <c r="C554" s="3"/>
      <c r="D554" s="3"/>
      <c r="E554" s="3"/>
      <c r="H554" s="3"/>
    </row>
    <row r="555" spans="3:8" x14ac:dyDescent="0.2">
      <c r="C555" s="3"/>
      <c r="D555" s="3"/>
      <c r="E555" s="3"/>
      <c r="H555" s="3"/>
    </row>
    <row r="556" spans="3:8" x14ac:dyDescent="0.2">
      <c r="C556" s="3"/>
      <c r="D556" s="3"/>
      <c r="E556" s="3"/>
      <c r="H556" s="3"/>
    </row>
    <row r="557" spans="3:8" x14ac:dyDescent="0.2">
      <c r="C557" s="3"/>
      <c r="D557" s="3"/>
      <c r="E557" s="3"/>
      <c r="H557" s="3"/>
    </row>
    <row r="558" spans="3:8" x14ac:dyDescent="0.2">
      <c r="C558" s="3"/>
      <c r="D558" s="3"/>
      <c r="E558" s="3"/>
      <c r="H558" s="3"/>
    </row>
    <row r="559" spans="3:8" x14ac:dyDescent="0.2">
      <c r="C559" s="3"/>
      <c r="D559" s="3"/>
      <c r="E559" s="3"/>
      <c r="H559" s="3"/>
    </row>
    <row r="560" spans="3:8" x14ac:dyDescent="0.2">
      <c r="C560" s="3"/>
      <c r="D560" s="3"/>
      <c r="E560" s="3"/>
      <c r="H560" s="3"/>
    </row>
    <row r="561" spans="3:8" x14ac:dyDescent="0.2">
      <c r="C561" s="3"/>
      <c r="D561" s="3"/>
      <c r="E561" s="3"/>
      <c r="H561" s="3"/>
    </row>
    <row r="562" spans="3:8" x14ac:dyDescent="0.2">
      <c r="C562" s="3"/>
      <c r="D562" s="3"/>
      <c r="E562" s="3"/>
      <c r="H562" s="3"/>
    </row>
    <row r="563" spans="3:8" x14ac:dyDescent="0.2">
      <c r="C563" s="3"/>
      <c r="D563" s="3"/>
      <c r="E563" s="3"/>
      <c r="H563" s="3"/>
    </row>
    <row r="564" spans="3:8" x14ac:dyDescent="0.2">
      <c r="C564" s="3"/>
      <c r="D564" s="3"/>
      <c r="E564" s="3"/>
      <c r="H564" s="3"/>
    </row>
    <row r="565" spans="3:8" x14ac:dyDescent="0.2">
      <c r="C565" s="3"/>
      <c r="D565" s="3"/>
      <c r="E565" s="3"/>
      <c r="H565" s="3"/>
    </row>
    <row r="566" spans="3:8" x14ac:dyDescent="0.2">
      <c r="C566" s="3"/>
      <c r="D566" s="3"/>
      <c r="E566" s="3"/>
      <c r="H566" s="3"/>
    </row>
    <row r="567" spans="3:8" x14ac:dyDescent="0.2">
      <c r="C567" s="3"/>
      <c r="D567" s="3"/>
      <c r="E567" s="3"/>
      <c r="H567" s="3"/>
    </row>
    <row r="568" spans="3:8" x14ac:dyDescent="0.2">
      <c r="C568" s="3"/>
      <c r="D568" s="3"/>
      <c r="E568" s="3"/>
      <c r="H568" s="3"/>
    </row>
    <row r="569" spans="3:8" x14ac:dyDescent="0.2">
      <c r="C569" s="3"/>
      <c r="D569" s="3"/>
      <c r="E569" s="3"/>
      <c r="H569" s="3"/>
    </row>
    <row r="570" spans="3:8" x14ac:dyDescent="0.2">
      <c r="C570" s="3"/>
      <c r="D570" s="3"/>
      <c r="E570" s="3"/>
      <c r="H570" s="3"/>
    </row>
    <row r="571" spans="3:8" x14ac:dyDescent="0.2">
      <c r="C571" s="3"/>
      <c r="D571" s="3"/>
      <c r="E571" s="3"/>
      <c r="H571" s="3"/>
    </row>
    <row r="572" spans="3:8" x14ac:dyDescent="0.2">
      <c r="C572" s="3"/>
      <c r="D572" s="3"/>
      <c r="E572" s="3"/>
      <c r="H572" s="3"/>
    </row>
    <row r="573" spans="3:8" x14ac:dyDescent="0.2">
      <c r="C573" s="3"/>
      <c r="D573" s="3"/>
      <c r="E573" s="3"/>
      <c r="H573" s="3"/>
    </row>
    <row r="574" spans="3:8" x14ac:dyDescent="0.2">
      <c r="C574" s="3"/>
      <c r="D574" s="3"/>
      <c r="E574" s="3"/>
      <c r="H574" s="3"/>
    </row>
    <row r="575" spans="3:8" x14ac:dyDescent="0.2">
      <c r="C575" s="3"/>
      <c r="D575" s="3"/>
      <c r="E575" s="3"/>
      <c r="H575" s="3"/>
    </row>
    <row r="576" spans="3:8" x14ac:dyDescent="0.2">
      <c r="C576" s="3"/>
      <c r="D576" s="3"/>
      <c r="E576" s="3"/>
      <c r="H576" s="3"/>
    </row>
    <row r="577" spans="3:8" x14ac:dyDescent="0.2">
      <c r="C577" s="3"/>
      <c r="D577" s="3"/>
      <c r="E577" s="3"/>
      <c r="H577" s="3"/>
    </row>
    <row r="578" spans="3:8" x14ac:dyDescent="0.2">
      <c r="C578" s="3"/>
      <c r="D578" s="3"/>
      <c r="E578" s="3"/>
      <c r="H578" s="3"/>
    </row>
    <row r="579" spans="3:8" x14ac:dyDescent="0.2">
      <c r="C579" s="3"/>
      <c r="D579" s="3"/>
      <c r="E579" s="3"/>
      <c r="H579" s="3"/>
    </row>
    <row r="580" spans="3:8" x14ac:dyDescent="0.2">
      <c r="C580" s="3"/>
      <c r="D580" s="3"/>
      <c r="E580" s="3"/>
      <c r="H580" s="3"/>
    </row>
    <row r="581" spans="3:8" x14ac:dyDescent="0.2">
      <c r="C581" s="3"/>
      <c r="D581" s="3"/>
      <c r="E581" s="3"/>
      <c r="H581" s="3"/>
    </row>
    <row r="582" spans="3:8" x14ac:dyDescent="0.2">
      <c r="C582" s="3"/>
      <c r="D582" s="3"/>
      <c r="E582" s="3"/>
      <c r="H582" s="3"/>
    </row>
    <row r="583" spans="3:8" x14ac:dyDescent="0.2">
      <c r="C583" s="3"/>
      <c r="D583" s="3"/>
      <c r="E583" s="3"/>
      <c r="H583" s="3"/>
    </row>
    <row r="584" spans="3:8" x14ac:dyDescent="0.2">
      <c r="C584" s="3"/>
      <c r="D584" s="3"/>
      <c r="E584" s="3"/>
      <c r="H584" s="3"/>
    </row>
    <row r="585" spans="3:8" x14ac:dyDescent="0.2">
      <c r="C585" s="3"/>
      <c r="D585" s="3"/>
      <c r="E585" s="3"/>
      <c r="H585" s="3"/>
    </row>
    <row r="586" spans="3:8" x14ac:dyDescent="0.2">
      <c r="C586" s="3"/>
      <c r="D586" s="3"/>
      <c r="E586" s="3"/>
      <c r="H586" s="3"/>
    </row>
    <row r="587" spans="3:8" x14ac:dyDescent="0.2">
      <c r="C587" s="3"/>
      <c r="D587" s="3"/>
      <c r="E587" s="3"/>
      <c r="H587" s="3"/>
    </row>
    <row r="588" spans="3:8" x14ac:dyDescent="0.2">
      <c r="C588" s="3"/>
      <c r="D588" s="3"/>
      <c r="E588" s="3"/>
      <c r="H588" s="3"/>
    </row>
    <row r="589" spans="3:8" x14ac:dyDescent="0.2">
      <c r="C589" s="3"/>
      <c r="D589" s="3"/>
      <c r="E589" s="3"/>
      <c r="H589" s="3"/>
    </row>
    <row r="590" spans="3:8" x14ac:dyDescent="0.2">
      <c r="C590" s="3"/>
      <c r="D590" s="3"/>
      <c r="E590" s="3"/>
      <c r="H590" s="3"/>
    </row>
    <row r="591" spans="3:8" x14ac:dyDescent="0.2">
      <c r="C591" s="3"/>
      <c r="D591" s="3"/>
      <c r="E591" s="3"/>
      <c r="H591" s="3"/>
    </row>
    <row r="592" spans="3:8" x14ac:dyDescent="0.2">
      <c r="C592" s="3"/>
      <c r="D592" s="3"/>
      <c r="E592" s="3"/>
      <c r="H592" s="3"/>
    </row>
    <row r="593" spans="3:8" x14ac:dyDescent="0.2">
      <c r="C593" s="3"/>
      <c r="D593" s="3"/>
      <c r="E593" s="3"/>
      <c r="H593" s="3"/>
    </row>
    <row r="594" spans="3:8" x14ac:dyDescent="0.2">
      <c r="C594" s="3"/>
      <c r="D594" s="3"/>
      <c r="E594" s="3"/>
      <c r="H594" s="3"/>
    </row>
    <row r="595" spans="3:8" x14ac:dyDescent="0.2">
      <c r="C595" s="3"/>
      <c r="D595" s="3"/>
      <c r="E595" s="3"/>
      <c r="H595" s="3"/>
    </row>
    <row r="596" spans="3:8" x14ac:dyDescent="0.2">
      <c r="C596" s="3"/>
      <c r="D596" s="3"/>
      <c r="E596" s="3"/>
      <c r="H596" s="3"/>
    </row>
    <row r="597" spans="3:8" x14ac:dyDescent="0.2">
      <c r="C597" s="3"/>
      <c r="D597" s="3"/>
      <c r="E597" s="3"/>
      <c r="H597" s="3"/>
    </row>
    <row r="598" spans="3:8" x14ac:dyDescent="0.2">
      <c r="C598" s="3"/>
      <c r="D598" s="3"/>
      <c r="E598" s="3"/>
      <c r="H598" s="3"/>
    </row>
    <row r="599" spans="3:8" x14ac:dyDescent="0.2">
      <c r="C599" s="3"/>
      <c r="D599" s="3"/>
      <c r="E599" s="3"/>
      <c r="H599" s="3"/>
    </row>
    <row r="600" spans="3:8" x14ac:dyDescent="0.2">
      <c r="C600" s="3"/>
      <c r="D600" s="3"/>
      <c r="E600" s="3"/>
      <c r="H600" s="3"/>
    </row>
    <row r="601" spans="3:8" x14ac:dyDescent="0.2">
      <c r="C601" s="3"/>
      <c r="D601" s="3"/>
      <c r="E601" s="3"/>
      <c r="H601" s="3"/>
    </row>
    <row r="602" spans="3:8" x14ac:dyDescent="0.2">
      <c r="C602" s="3"/>
      <c r="D602" s="3"/>
      <c r="E602" s="3"/>
      <c r="H602" s="3"/>
    </row>
    <row r="603" spans="3:8" x14ac:dyDescent="0.2">
      <c r="C603" s="3"/>
      <c r="D603" s="3"/>
      <c r="E603" s="3"/>
      <c r="H603" s="3"/>
    </row>
    <row r="604" spans="3:8" x14ac:dyDescent="0.2">
      <c r="C604" s="3"/>
      <c r="D604" s="3"/>
      <c r="E604" s="3"/>
      <c r="H604" s="3"/>
    </row>
    <row r="605" spans="3:8" x14ac:dyDescent="0.2">
      <c r="C605" s="3"/>
      <c r="D605" s="3"/>
      <c r="E605" s="3"/>
      <c r="H605" s="3"/>
    </row>
    <row r="606" spans="3:8" x14ac:dyDescent="0.2">
      <c r="C606" s="3"/>
      <c r="D606" s="3"/>
      <c r="E606" s="3"/>
      <c r="H606" s="3"/>
    </row>
    <row r="607" spans="3:8" x14ac:dyDescent="0.2">
      <c r="C607" s="3"/>
      <c r="D607" s="3"/>
      <c r="E607" s="3"/>
      <c r="H607" s="3"/>
    </row>
    <row r="608" spans="3:8" x14ac:dyDescent="0.2">
      <c r="C608" s="3"/>
      <c r="D608" s="3"/>
      <c r="E608" s="3"/>
      <c r="H608" s="3"/>
    </row>
    <row r="609" spans="3:8" x14ac:dyDescent="0.2">
      <c r="C609" s="3"/>
      <c r="D609" s="3"/>
      <c r="E609" s="3"/>
      <c r="H609" s="3"/>
    </row>
    <row r="610" spans="3:8" x14ac:dyDescent="0.2">
      <c r="C610" s="3"/>
      <c r="D610" s="3"/>
      <c r="E610" s="3"/>
      <c r="H610" s="3"/>
    </row>
    <row r="611" spans="3:8" x14ac:dyDescent="0.2">
      <c r="C611" s="3"/>
      <c r="D611" s="3"/>
      <c r="E611" s="3"/>
      <c r="H611" s="3"/>
    </row>
    <row r="612" spans="3:8" x14ac:dyDescent="0.2">
      <c r="C612" s="3"/>
      <c r="D612" s="3"/>
      <c r="E612" s="3"/>
      <c r="H612" s="3"/>
    </row>
    <row r="613" spans="3:8" x14ac:dyDescent="0.2">
      <c r="C613" s="3"/>
      <c r="D613" s="3"/>
      <c r="E613" s="3"/>
      <c r="H613" s="3"/>
    </row>
    <row r="614" spans="3:8" x14ac:dyDescent="0.2">
      <c r="C614" s="3"/>
      <c r="D614" s="3"/>
      <c r="E614" s="3"/>
      <c r="H614" s="3"/>
    </row>
    <row r="615" spans="3:8" x14ac:dyDescent="0.2">
      <c r="C615" s="3"/>
      <c r="D615" s="3"/>
      <c r="E615" s="3"/>
      <c r="H615" s="3"/>
    </row>
    <row r="616" spans="3:8" x14ac:dyDescent="0.2">
      <c r="C616" s="3"/>
      <c r="D616" s="3"/>
      <c r="E616" s="3"/>
      <c r="H616" s="3"/>
    </row>
    <row r="617" spans="3:8" x14ac:dyDescent="0.2">
      <c r="C617" s="3"/>
      <c r="D617" s="3"/>
      <c r="E617" s="3"/>
      <c r="H617" s="3"/>
    </row>
    <row r="618" spans="3:8" x14ac:dyDescent="0.2">
      <c r="C618" s="3"/>
      <c r="D618" s="3"/>
      <c r="E618" s="3"/>
      <c r="H618" s="3"/>
    </row>
    <row r="619" spans="3:8" x14ac:dyDescent="0.2">
      <c r="C619" s="3"/>
      <c r="D619" s="3"/>
      <c r="E619" s="3"/>
      <c r="H619" s="3"/>
    </row>
    <row r="620" spans="3:8" x14ac:dyDescent="0.2">
      <c r="C620" s="3"/>
      <c r="D620" s="3"/>
      <c r="E620" s="3"/>
      <c r="H620" s="3"/>
    </row>
    <row r="621" spans="3:8" x14ac:dyDescent="0.2">
      <c r="C621" s="3"/>
      <c r="D621" s="3"/>
      <c r="E621" s="3"/>
      <c r="H621" s="3"/>
    </row>
    <row r="622" spans="3:8" x14ac:dyDescent="0.2">
      <c r="C622" s="3"/>
      <c r="D622" s="3"/>
      <c r="E622" s="3"/>
      <c r="H622" s="3"/>
    </row>
    <row r="623" spans="3:8" x14ac:dyDescent="0.2">
      <c r="C623" s="3"/>
      <c r="D623" s="3"/>
      <c r="E623" s="3"/>
      <c r="H623" s="3"/>
    </row>
    <row r="624" spans="3:8" x14ac:dyDescent="0.2">
      <c r="C624" s="3"/>
      <c r="D624" s="3"/>
      <c r="E624" s="3"/>
      <c r="H624" s="3"/>
    </row>
    <row r="625" spans="3:8" x14ac:dyDescent="0.2">
      <c r="C625" s="3"/>
      <c r="D625" s="3"/>
      <c r="E625" s="3"/>
      <c r="H625" s="3"/>
    </row>
    <row r="626" spans="3:8" x14ac:dyDescent="0.2">
      <c r="C626" s="3"/>
      <c r="D626" s="3"/>
      <c r="E626" s="3"/>
      <c r="H626" s="3"/>
    </row>
    <row r="627" spans="3:8" x14ac:dyDescent="0.2">
      <c r="C627" s="3"/>
      <c r="D627" s="3"/>
      <c r="E627" s="3"/>
      <c r="H627" s="3"/>
    </row>
    <row r="628" spans="3:8" x14ac:dyDescent="0.2">
      <c r="C628" s="3"/>
      <c r="D628" s="3"/>
      <c r="E628" s="3"/>
      <c r="H628" s="3"/>
    </row>
    <row r="629" spans="3:8" x14ac:dyDescent="0.2">
      <c r="C629" s="3"/>
      <c r="D629" s="3"/>
      <c r="E629" s="3"/>
      <c r="H629" s="3"/>
    </row>
    <row r="630" spans="3:8" x14ac:dyDescent="0.2">
      <c r="C630" s="3"/>
      <c r="D630" s="3"/>
      <c r="E630" s="3"/>
      <c r="H630" s="3"/>
    </row>
    <row r="631" spans="3:8" x14ac:dyDescent="0.2">
      <c r="C631" s="3"/>
      <c r="D631" s="3"/>
      <c r="E631" s="3"/>
      <c r="H631" s="3"/>
    </row>
    <row r="632" spans="3:8" x14ac:dyDescent="0.2">
      <c r="C632" s="3"/>
      <c r="D632" s="3"/>
      <c r="E632" s="3"/>
      <c r="H632" s="3"/>
    </row>
    <row r="633" spans="3:8" x14ac:dyDescent="0.2">
      <c r="C633" s="3"/>
      <c r="D633" s="3"/>
      <c r="E633" s="3"/>
      <c r="H633" s="3"/>
    </row>
    <row r="634" spans="3:8" x14ac:dyDescent="0.2">
      <c r="C634" s="3"/>
      <c r="D634" s="3"/>
      <c r="E634" s="3"/>
      <c r="H634" s="3"/>
    </row>
    <row r="635" spans="3:8" x14ac:dyDescent="0.2">
      <c r="C635" s="3"/>
      <c r="D635" s="3"/>
      <c r="E635" s="3"/>
      <c r="H635" s="3"/>
    </row>
    <row r="636" spans="3:8" x14ac:dyDescent="0.2">
      <c r="C636" s="3"/>
      <c r="D636" s="3"/>
      <c r="E636" s="3"/>
      <c r="H636" s="3"/>
    </row>
    <row r="637" spans="3:8" x14ac:dyDescent="0.2">
      <c r="C637" s="3"/>
      <c r="D637" s="3"/>
      <c r="E637" s="3"/>
      <c r="H637" s="3"/>
    </row>
    <row r="638" spans="3:8" x14ac:dyDescent="0.2">
      <c r="C638" s="3"/>
      <c r="D638" s="3"/>
      <c r="E638" s="3"/>
      <c r="H638" s="3"/>
    </row>
    <row r="639" spans="3:8" x14ac:dyDescent="0.2">
      <c r="C639" s="3"/>
      <c r="D639" s="3"/>
      <c r="E639" s="3"/>
      <c r="H639" s="3"/>
    </row>
    <row r="640" spans="3:8" x14ac:dyDescent="0.2">
      <c r="C640" s="3"/>
      <c r="D640" s="3"/>
      <c r="E640" s="3"/>
      <c r="H640" s="3"/>
    </row>
    <row r="641" spans="3:8" x14ac:dyDescent="0.2">
      <c r="C641" s="3"/>
      <c r="D641" s="3"/>
      <c r="E641" s="3"/>
      <c r="H641" s="3"/>
    </row>
    <row r="642" spans="3:8" x14ac:dyDescent="0.2">
      <c r="C642" s="3"/>
      <c r="D642" s="3"/>
      <c r="E642" s="3"/>
      <c r="H642" s="3"/>
    </row>
    <row r="643" spans="3:8" x14ac:dyDescent="0.2">
      <c r="C643" s="3"/>
      <c r="D643" s="3"/>
      <c r="E643" s="3"/>
      <c r="H643" s="3"/>
    </row>
    <row r="644" spans="3:8" x14ac:dyDescent="0.2">
      <c r="C644" s="3"/>
      <c r="D644" s="3"/>
      <c r="E644" s="3"/>
      <c r="H644" s="3"/>
    </row>
    <row r="645" spans="3:8" x14ac:dyDescent="0.2">
      <c r="C645" s="3"/>
      <c r="D645" s="3"/>
      <c r="E645" s="3"/>
      <c r="H645" s="3"/>
    </row>
    <row r="646" spans="3:8" x14ac:dyDescent="0.2">
      <c r="C646" s="3"/>
      <c r="D646" s="3"/>
      <c r="E646" s="3"/>
      <c r="H646" s="3"/>
    </row>
    <row r="647" spans="3:8" x14ac:dyDescent="0.2">
      <c r="C647" s="3"/>
      <c r="D647" s="3"/>
      <c r="E647" s="3"/>
      <c r="H647" s="3"/>
    </row>
    <row r="648" spans="3:8" x14ac:dyDescent="0.2">
      <c r="C648" s="3"/>
      <c r="D648" s="3"/>
      <c r="E648" s="3"/>
      <c r="H648" s="3"/>
    </row>
    <row r="649" spans="3:8" x14ac:dyDescent="0.2">
      <c r="C649" s="3"/>
      <c r="D649" s="3"/>
      <c r="E649" s="3"/>
      <c r="H649" s="3"/>
    </row>
    <row r="650" spans="3:8" x14ac:dyDescent="0.2">
      <c r="C650" s="3"/>
      <c r="D650" s="3"/>
      <c r="E650" s="3"/>
      <c r="H650" s="3"/>
    </row>
    <row r="651" spans="3:8" x14ac:dyDescent="0.2">
      <c r="C651" s="3"/>
      <c r="D651" s="3"/>
      <c r="E651" s="3"/>
      <c r="H651" s="3"/>
    </row>
    <row r="652" spans="3:8" x14ac:dyDescent="0.2">
      <c r="C652" s="3"/>
      <c r="D652" s="3"/>
      <c r="E652" s="3"/>
      <c r="H652" s="3"/>
    </row>
    <row r="653" spans="3:8" x14ac:dyDescent="0.2">
      <c r="C653" s="3"/>
      <c r="D653" s="3"/>
      <c r="E653" s="3"/>
      <c r="H653" s="3"/>
    </row>
    <row r="654" spans="3:8" x14ac:dyDescent="0.2">
      <c r="C654" s="3"/>
      <c r="D654" s="3"/>
      <c r="E654" s="3"/>
      <c r="H654" s="3"/>
    </row>
    <row r="655" spans="3:8" x14ac:dyDescent="0.2">
      <c r="C655" s="3"/>
      <c r="D655" s="3"/>
      <c r="E655" s="3"/>
      <c r="H655" s="3"/>
    </row>
    <row r="656" spans="3:8" x14ac:dyDescent="0.2">
      <c r="C656" s="3"/>
      <c r="D656" s="3"/>
      <c r="E656" s="3"/>
      <c r="H656" s="3"/>
    </row>
    <row r="657" spans="3:8" x14ac:dyDescent="0.2">
      <c r="C657" s="3"/>
      <c r="D657" s="3"/>
      <c r="E657" s="3"/>
      <c r="H657" s="3"/>
    </row>
    <row r="658" spans="3:8" x14ac:dyDescent="0.2">
      <c r="C658" s="3"/>
      <c r="D658" s="3"/>
      <c r="E658" s="3"/>
      <c r="H658" s="3"/>
    </row>
    <row r="659" spans="3:8" x14ac:dyDescent="0.2">
      <c r="C659" s="3"/>
      <c r="D659" s="3"/>
      <c r="E659" s="3"/>
      <c r="H659" s="3"/>
    </row>
    <row r="660" spans="3:8" x14ac:dyDescent="0.2">
      <c r="C660" s="3"/>
      <c r="D660" s="3"/>
      <c r="E660" s="3"/>
      <c r="H660" s="3"/>
    </row>
    <row r="661" spans="3:8" x14ac:dyDescent="0.2">
      <c r="C661" s="3"/>
      <c r="D661" s="3"/>
      <c r="E661" s="3"/>
      <c r="H661" s="3"/>
    </row>
    <row r="662" spans="3:8" x14ac:dyDescent="0.2">
      <c r="C662" s="3"/>
      <c r="D662" s="3"/>
      <c r="E662" s="3"/>
      <c r="H662" s="3"/>
    </row>
    <row r="663" spans="3:8" x14ac:dyDescent="0.2">
      <c r="C663" s="3"/>
      <c r="D663" s="3"/>
      <c r="E663" s="3"/>
      <c r="H663" s="3"/>
    </row>
    <row r="664" spans="3:8" x14ac:dyDescent="0.2">
      <c r="C664" s="3"/>
      <c r="D664" s="3"/>
      <c r="E664" s="3"/>
      <c r="H664" s="3"/>
    </row>
    <row r="665" spans="3:8" x14ac:dyDescent="0.2">
      <c r="C665" s="3"/>
      <c r="D665" s="3"/>
      <c r="E665" s="3"/>
      <c r="H665" s="3"/>
    </row>
    <row r="666" spans="3:8" x14ac:dyDescent="0.2">
      <c r="C666" s="3"/>
      <c r="D666" s="3"/>
      <c r="E666" s="3"/>
      <c r="H666" s="3"/>
    </row>
    <row r="667" spans="3:8" x14ac:dyDescent="0.2">
      <c r="C667" s="3"/>
      <c r="D667" s="3"/>
      <c r="E667" s="3"/>
      <c r="H667" s="3"/>
    </row>
    <row r="668" spans="3:8" x14ac:dyDescent="0.2">
      <c r="C668" s="3"/>
      <c r="D668" s="3"/>
      <c r="E668" s="3"/>
      <c r="H668" s="3"/>
    </row>
    <row r="669" spans="3:8" x14ac:dyDescent="0.2">
      <c r="C669" s="3"/>
      <c r="D669" s="3"/>
      <c r="E669" s="3"/>
      <c r="H669" s="3"/>
    </row>
    <row r="670" spans="3:8" x14ac:dyDescent="0.2">
      <c r="C670" s="3"/>
      <c r="D670" s="3"/>
      <c r="E670" s="3"/>
      <c r="H670" s="3"/>
    </row>
    <row r="671" spans="3:8" x14ac:dyDescent="0.2">
      <c r="C671" s="3"/>
      <c r="D671" s="3"/>
      <c r="E671" s="3"/>
      <c r="H671" s="3"/>
    </row>
    <row r="672" spans="3:8" x14ac:dyDescent="0.2">
      <c r="C672" s="3"/>
      <c r="D672" s="3"/>
      <c r="E672" s="3"/>
      <c r="H672" s="3"/>
    </row>
    <row r="673" spans="3:8" x14ac:dyDescent="0.2">
      <c r="C673" s="3"/>
      <c r="D673" s="3"/>
      <c r="E673" s="3"/>
      <c r="H673" s="3"/>
    </row>
    <row r="674" spans="3:8" x14ac:dyDescent="0.2">
      <c r="C674" s="3"/>
      <c r="D674" s="3"/>
      <c r="E674" s="3"/>
      <c r="H674" s="3"/>
    </row>
    <row r="675" spans="3:8" x14ac:dyDescent="0.2">
      <c r="C675" s="3"/>
      <c r="D675" s="3"/>
      <c r="E675" s="3"/>
      <c r="H675" s="3"/>
    </row>
    <row r="676" spans="3:8" x14ac:dyDescent="0.2">
      <c r="C676" s="3"/>
      <c r="D676" s="3"/>
      <c r="E676" s="3"/>
      <c r="H676" s="3"/>
    </row>
    <row r="677" spans="3:8" x14ac:dyDescent="0.2">
      <c r="C677" s="3"/>
      <c r="D677" s="3"/>
      <c r="E677" s="3"/>
      <c r="H677" s="3"/>
    </row>
    <row r="678" spans="3:8" x14ac:dyDescent="0.2">
      <c r="C678" s="3"/>
      <c r="D678" s="3"/>
      <c r="E678" s="3"/>
      <c r="H678" s="3"/>
    </row>
    <row r="679" spans="3:8" x14ac:dyDescent="0.2">
      <c r="C679" s="3"/>
      <c r="D679" s="3"/>
      <c r="E679" s="3"/>
      <c r="H679" s="3"/>
    </row>
    <row r="680" spans="3:8" x14ac:dyDescent="0.2">
      <c r="C680" s="3"/>
      <c r="D680" s="3"/>
      <c r="E680" s="3"/>
      <c r="H680" s="3"/>
    </row>
    <row r="681" spans="3:8" x14ac:dyDescent="0.2">
      <c r="C681" s="3"/>
      <c r="D681" s="3"/>
      <c r="E681" s="3"/>
      <c r="H681" s="3"/>
    </row>
    <row r="682" spans="3:8" x14ac:dyDescent="0.2">
      <c r="C682" s="3"/>
      <c r="D682" s="3"/>
      <c r="E682" s="3"/>
      <c r="H682" s="3"/>
    </row>
    <row r="683" spans="3:8" x14ac:dyDescent="0.2">
      <c r="C683" s="3"/>
      <c r="D683" s="3"/>
      <c r="E683" s="3"/>
      <c r="H683" s="3"/>
    </row>
    <row r="684" spans="3:8" x14ac:dyDescent="0.2">
      <c r="C684" s="3"/>
      <c r="D684" s="3"/>
      <c r="E684" s="3"/>
      <c r="H684" s="3"/>
    </row>
    <row r="685" spans="3:8" x14ac:dyDescent="0.2">
      <c r="C685" s="3"/>
      <c r="D685" s="3"/>
      <c r="E685" s="3"/>
      <c r="H685" s="3"/>
    </row>
    <row r="686" spans="3:8" x14ac:dyDescent="0.2">
      <c r="C686" s="3"/>
      <c r="D686" s="3"/>
      <c r="E686" s="3"/>
      <c r="H686" s="3"/>
    </row>
    <row r="687" spans="3:8" x14ac:dyDescent="0.2">
      <c r="C687" s="3"/>
      <c r="D687" s="3"/>
      <c r="E687" s="3"/>
      <c r="H687" s="3"/>
    </row>
    <row r="688" spans="3:8" x14ac:dyDescent="0.2">
      <c r="C688" s="3"/>
      <c r="D688" s="3"/>
      <c r="E688" s="3"/>
      <c r="H688" s="3"/>
    </row>
    <row r="689" spans="3:8" x14ac:dyDescent="0.2">
      <c r="C689" s="3"/>
      <c r="D689" s="3"/>
      <c r="E689" s="3"/>
      <c r="H689" s="3"/>
    </row>
    <row r="690" spans="3:8" x14ac:dyDescent="0.2">
      <c r="C690" s="3"/>
      <c r="D690" s="3"/>
      <c r="E690" s="3"/>
      <c r="H690" s="3"/>
    </row>
    <row r="691" spans="3:8" x14ac:dyDescent="0.2">
      <c r="C691" s="3"/>
      <c r="D691" s="3"/>
      <c r="E691" s="3"/>
      <c r="H691" s="3"/>
    </row>
    <row r="692" spans="3:8" x14ac:dyDescent="0.2">
      <c r="C692" s="3"/>
      <c r="D692" s="3"/>
      <c r="E692" s="3"/>
      <c r="H692" s="3"/>
    </row>
    <row r="693" spans="3:8" x14ac:dyDescent="0.2">
      <c r="C693" s="3"/>
      <c r="D693" s="3"/>
      <c r="E693" s="3"/>
      <c r="H693" s="3"/>
    </row>
    <row r="694" spans="3:8" x14ac:dyDescent="0.2">
      <c r="C694" s="3"/>
      <c r="D694" s="3"/>
      <c r="E694" s="3"/>
      <c r="H694" s="3"/>
    </row>
    <row r="695" spans="3:8" x14ac:dyDescent="0.2">
      <c r="C695" s="3"/>
      <c r="D695" s="3"/>
      <c r="E695" s="3"/>
      <c r="H695" s="3"/>
    </row>
    <row r="696" spans="3:8" x14ac:dyDescent="0.2">
      <c r="C696" s="3"/>
      <c r="D696" s="3"/>
      <c r="E696" s="3"/>
      <c r="H696" s="3"/>
    </row>
    <row r="697" spans="3:8" x14ac:dyDescent="0.2">
      <c r="C697" s="3"/>
      <c r="D697" s="3"/>
      <c r="E697" s="3"/>
      <c r="H697" s="3"/>
    </row>
    <row r="698" spans="3:8" x14ac:dyDescent="0.2">
      <c r="C698" s="3"/>
      <c r="D698" s="3"/>
      <c r="E698" s="3"/>
      <c r="H698" s="3"/>
    </row>
    <row r="699" spans="3:8" x14ac:dyDescent="0.2">
      <c r="C699" s="3"/>
      <c r="D699" s="3"/>
      <c r="E699" s="3"/>
      <c r="H699" s="3"/>
    </row>
    <row r="700" spans="3:8" x14ac:dyDescent="0.2">
      <c r="C700" s="3"/>
      <c r="D700" s="3"/>
      <c r="E700" s="3"/>
      <c r="H700" s="3"/>
    </row>
    <row r="701" spans="3:8" x14ac:dyDescent="0.2">
      <c r="C701" s="3"/>
      <c r="D701" s="3"/>
      <c r="E701" s="3"/>
      <c r="H701" s="3"/>
    </row>
    <row r="702" spans="3:8" x14ac:dyDescent="0.2">
      <c r="C702" s="3"/>
      <c r="D702" s="3"/>
      <c r="E702" s="3"/>
      <c r="H702" s="3"/>
    </row>
    <row r="703" spans="3:8" x14ac:dyDescent="0.2">
      <c r="C703" s="3"/>
      <c r="D703" s="3"/>
      <c r="E703" s="3"/>
      <c r="H703" s="3"/>
    </row>
    <row r="704" spans="3:8" x14ac:dyDescent="0.2">
      <c r="C704" s="3"/>
      <c r="D704" s="3"/>
      <c r="E704" s="3"/>
      <c r="H704" s="3"/>
    </row>
    <row r="705" spans="3:8" x14ac:dyDescent="0.2">
      <c r="C705" s="3"/>
      <c r="D705" s="3"/>
      <c r="E705" s="3"/>
      <c r="H705" s="3"/>
    </row>
    <row r="706" spans="3:8" x14ac:dyDescent="0.2">
      <c r="C706" s="3"/>
      <c r="D706" s="3"/>
      <c r="E706" s="3"/>
      <c r="H706" s="3"/>
    </row>
    <row r="707" spans="3:8" x14ac:dyDescent="0.2">
      <c r="C707" s="3"/>
      <c r="D707" s="3"/>
      <c r="E707" s="3"/>
      <c r="H707" s="3"/>
    </row>
    <row r="708" spans="3:8" x14ac:dyDescent="0.2">
      <c r="C708" s="3"/>
      <c r="D708" s="3"/>
      <c r="E708" s="3"/>
      <c r="H708" s="3"/>
    </row>
    <row r="709" spans="3:8" x14ac:dyDescent="0.2">
      <c r="C709" s="3"/>
      <c r="D709" s="3"/>
      <c r="E709" s="3"/>
      <c r="H709" s="3"/>
    </row>
    <row r="710" spans="3:8" x14ac:dyDescent="0.2">
      <c r="C710" s="3"/>
      <c r="D710" s="3"/>
      <c r="E710" s="3"/>
      <c r="H710" s="3"/>
    </row>
    <row r="711" spans="3:8" x14ac:dyDescent="0.2">
      <c r="C711" s="3"/>
      <c r="D711" s="3"/>
      <c r="E711" s="3"/>
      <c r="H711" s="3"/>
    </row>
    <row r="712" spans="3:8" x14ac:dyDescent="0.2">
      <c r="C712" s="3"/>
      <c r="D712" s="3"/>
      <c r="E712" s="3"/>
      <c r="H712" s="3"/>
    </row>
    <row r="713" spans="3:8" x14ac:dyDescent="0.2">
      <c r="C713" s="3"/>
      <c r="D713" s="3"/>
      <c r="E713" s="3"/>
      <c r="H713" s="3"/>
    </row>
    <row r="714" spans="3:8" x14ac:dyDescent="0.2">
      <c r="C714" s="3"/>
      <c r="D714" s="3"/>
      <c r="E714" s="3"/>
      <c r="H714" s="3"/>
    </row>
    <row r="715" spans="3:8" x14ac:dyDescent="0.2">
      <c r="C715" s="3"/>
      <c r="D715" s="3"/>
      <c r="E715" s="3"/>
      <c r="H715" s="3"/>
    </row>
    <row r="716" spans="3:8" x14ac:dyDescent="0.2">
      <c r="C716" s="3"/>
      <c r="D716" s="3"/>
      <c r="E716" s="3"/>
      <c r="H716" s="3"/>
    </row>
    <row r="717" spans="3:8" x14ac:dyDescent="0.2">
      <c r="C717" s="3"/>
      <c r="D717" s="3"/>
      <c r="E717" s="3"/>
      <c r="H717" s="3"/>
    </row>
    <row r="718" spans="3:8" x14ac:dyDescent="0.2">
      <c r="C718" s="3"/>
      <c r="D718" s="3"/>
      <c r="E718" s="3"/>
      <c r="H718" s="3"/>
    </row>
    <row r="719" spans="3:8" x14ac:dyDescent="0.2">
      <c r="C719" s="3"/>
      <c r="D719" s="3"/>
      <c r="E719" s="3"/>
      <c r="H719" s="3"/>
    </row>
    <row r="720" spans="3:8" x14ac:dyDescent="0.2">
      <c r="C720" s="3"/>
      <c r="D720" s="3"/>
      <c r="E720" s="3"/>
      <c r="H720" s="3"/>
    </row>
    <row r="721" spans="3:8" x14ac:dyDescent="0.2">
      <c r="C721" s="3"/>
      <c r="D721" s="3"/>
      <c r="E721" s="3"/>
      <c r="H721" s="3"/>
    </row>
    <row r="722" spans="3:8" x14ac:dyDescent="0.2">
      <c r="C722" s="3"/>
      <c r="D722" s="3"/>
      <c r="E722" s="3"/>
      <c r="H722" s="3"/>
    </row>
    <row r="723" spans="3:8" x14ac:dyDescent="0.2">
      <c r="C723" s="3"/>
      <c r="D723" s="3"/>
      <c r="E723" s="3"/>
      <c r="H723" s="3"/>
    </row>
    <row r="724" spans="3:8" x14ac:dyDescent="0.2">
      <c r="C724" s="3"/>
      <c r="D724" s="3"/>
      <c r="E724" s="3"/>
      <c r="H724" s="3"/>
    </row>
    <row r="725" spans="3:8" x14ac:dyDescent="0.2">
      <c r="C725" s="3"/>
      <c r="D725" s="3"/>
      <c r="E725" s="3"/>
      <c r="H725" s="3"/>
    </row>
    <row r="726" spans="3:8" x14ac:dyDescent="0.2">
      <c r="C726" s="3"/>
      <c r="D726" s="3"/>
      <c r="E726" s="3"/>
      <c r="H726" s="3"/>
    </row>
    <row r="727" spans="3:8" x14ac:dyDescent="0.2">
      <c r="C727" s="3"/>
      <c r="D727" s="3"/>
      <c r="E727" s="3"/>
      <c r="H727" s="3"/>
    </row>
    <row r="728" spans="3:8" x14ac:dyDescent="0.2">
      <c r="C728" s="3"/>
      <c r="D728" s="3"/>
      <c r="E728" s="3"/>
      <c r="H728" s="3"/>
    </row>
    <row r="729" spans="3:8" x14ac:dyDescent="0.2">
      <c r="C729" s="3"/>
      <c r="D729" s="3"/>
      <c r="E729" s="3"/>
      <c r="H729" s="3"/>
    </row>
    <row r="730" spans="3:8" x14ac:dyDescent="0.2">
      <c r="C730" s="3"/>
      <c r="D730" s="3"/>
      <c r="E730" s="3"/>
      <c r="H730" s="3"/>
    </row>
    <row r="731" spans="3:8" x14ac:dyDescent="0.2">
      <c r="C731" s="3"/>
      <c r="D731" s="3"/>
      <c r="E731" s="3"/>
      <c r="H731" s="3"/>
    </row>
    <row r="732" spans="3:8" x14ac:dyDescent="0.2">
      <c r="C732" s="3"/>
      <c r="D732" s="3"/>
      <c r="E732" s="3"/>
      <c r="H732" s="3"/>
    </row>
    <row r="733" spans="3:8" x14ac:dyDescent="0.2">
      <c r="C733" s="3"/>
      <c r="D733" s="3"/>
      <c r="E733" s="3"/>
      <c r="H733" s="3"/>
    </row>
    <row r="734" spans="3:8" x14ac:dyDescent="0.2">
      <c r="C734" s="3"/>
      <c r="D734" s="3"/>
      <c r="E734" s="3"/>
      <c r="H734" s="3"/>
    </row>
    <row r="735" spans="3:8" x14ac:dyDescent="0.2">
      <c r="C735" s="3"/>
      <c r="D735" s="3"/>
      <c r="E735" s="3"/>
      <c r="H735" s="3"/>
    </row>
    <row r="736" spans="3:8" x14ac:dyDescent="0.2">
      <c r="C736" s="3"/>
      <c r="D736" s="3"/>
      <c r="E736" s="3"/>
      <c r="H736" s="3"/>
    </row>
    <row r="737" spans="3:8" x14ac:dyDescent="0.2">
      <c r="C737" s="3"/>
      <c r="D737" s="3"/>
      <c r="E737" s="3"/>
      <c r="H737" s="3"/>
    </row>
    <row r="738" spans="3:8" x14ac:dyDescent="0.2">
      <c r="C738" s="3"/>
      <c r="D738" s="3"/>
      <c r="E738" s="3"/>
      <c r="H738" s="3"/>
    </row>
    <row r="739" spans="3:8" x14ac:dyDescent="0.2">
      <c r="C739" s="3"/>
      <c r="D739" s="3"/>
      <c r="E739" s="3"/>
      <c r="H739" s="3"/>
    </row>
    <row r="740" spans="3:8" x14ac:dyDescent="0.2">
      <c r="C740" s="3"/>
      <c r="D740" s="3"/>
      <c r="E740" s="3"/>
      <c r="H740" s="3"/>
    </row>
    <row r="741" spans="3:8" x14ac:dyDescent="0.2">
      <c r="C741" s="3"/>
      <c r="D741" s="3"/>
      <c r="E741" s="3"/>
      <c r="H741" s="3"/>
    </row>
    <row r="742" spans="3:8" x14ac:dyDescent="0.2">
      <c r="C742" s="3"/>
      <c r="D742" s="3"/>
      <c r="E742" s="3"/>
      <c r="H742" s="3"/>
    </row>
    <row r="743" spans="3:8" x14ac:dyDescent="0.2">
      <c r="C743" s="3"/>
      <c r="D743" s="3"/>
      <c r="E743" s="3"/>
      <c r="H743" s="3"/>
    </row>
    <row r="744" spans="3:8" x14ac:dyDescent="0.2">
      <c r="C744" s="3"/>
      <c r="D744" s="3"/>
      <c r="E744" s="3"/>
      <c r="H744" s="3"/>
    </row>
    <row r="745" spans="3:8" x14ac:dyDescent="0.2">
      <c r="C745" s="3"/>
      <c r="D745" s="3"/>
      <c r="E745" s="3"/>
      <c r="H745" s="3"/>
    </row>
    <row r="746" spans="3:8" x14ac:dyDescent="0.2">
      <c r="C746" s="3"/>
      <c r="D746" s="3"/>
      <c r="E746" s="3"/>
      <c r="H746" s="3"/>
    </row>
    <row r="747" spans="3:8" x14ac:dyDescent="0.2">
      <c r="C747" s="3"/>
      <c r="D747" s="3"/>
      <c r="E747" s="3"/>
      <c r="H747" s="3"/>
    </row>
    <row r="748" spans="3:8" x14ac:dyDescent="0.2">
      <c r="C748" s="3"/>
      <c r="D748" s="3"/>
      <c r="E748" s="3"/>
      <c r="H748" s="3"/>
    </row>
    <row r="749" spans="3:8" x14ac:dyDescent="0.2">
      <c r="C749" s="3"/>
      <c r="D749" s="3"/>
      <c r="E749" s="3"/>
      <c r="H749" s="3"/>
    </row>
    <row r="750" spans="3:8" x14ac:dyDescent="0.2">
      <c r="C750" s="3"/>
      <c r="D750" s="3"/>
      <c r="E750" s="3"/>
      <c r="H750" s="3"/>
    </row>
    <row r="751" spans="3:8" x14ac:dyDescent="0.2">
      <c r="C751" s="3"/>
      <c r="D751" s="3"/>
      <c r="E751" s="3"/>
      <c r="H751" s="3"/>
    </row>
    <row r="752" spans="3:8" x14ac:dyDescent="0.2">
      <c r="C752" s="3"/>
      <c r="D752" s="3"/>
      <c r="E752" s="3"/>
      <c r="H752" s="3"/>
    </row>
    <row r="753" spans="3:8" x14ac:dyDescent="0.2">
      <c r="C753" s="3"/>
      <c r="D753" s="3"/>
      <c r="E753" s="3"/>
      <c r="H753" s="3"/>
    </row>
    <row r="754" spans="3:8" x14ac:dyDescent="0.2">
      <c r="C754" s="3"/>
      <c r="D754" s="3"/>
      <c r="E754" s="3"/>
      <c r="H754" s="3"/>
    </row>
    <row r="755" spans="3:8" x14ac:dyDescent="0.2">
      <c r="C755" s="3"/>
      <c r="D755" s="3"/>
      <c r="E755" s="3"/>
      <c r="H755" s="3"/>
    </row>
    <row r="756" spans="3:8" x14ac:dyDescent="0.2">
      <c r="C756" s="3"/>
      <c r="D756" s="3"/>
      <c r="E756" s="3"/>
      <c r="H756" s="3"/>
    </row>
    <row r="757" spans="3:8" x14ac:dyDescent="0.2">
      <c r="C757" s="3"/>
      <c r="D757" s="3"/>
      <c r="E757" s="3"/>
      <c r="H757" s="3"/>
    </row>
    <row r="758" spans="3:8" x14ac:dyDescent="0.2">
      <c r="C758" s="3"/>
      <c r="D758" s="3"/>
      <c r="E758" s="3"/>
      <c r="H758" s="3"/>
    </row>
    <row r="759" spans="3:8" x14ac:dyDescent="0.2">
      <c r="C759" s="3"/>
      <c r="D759" s="3"/>
      <c r="E759" s="3"/>
      <c r="H759" s="3"/>
    </row>
    <row r="760" spans="3:8" x14ac:dyDescent="0.2">
      <c r="C760" s="3"/>
      <c r="D760" s="3"/>
      <c r="E760" s="3"/>
      <c r="H760" s="3"/>
    </row>
    <row r="761" spans="3:8" x14ac:dyDescent="0.2">
      <c r="C761" s="3"/>
      <c r="D761" s="3"/>
      <c r="E761" s="3"/>
      <c r="H761" s="3"/>
    </row>
    <row r="762" spans="3:8" x14ac:dyDescent="0.2">
      <c r="C762" s="3"/>
      <c r="D762" s="3"/>
      <c r="E762" s="3"/>
      <c r="H762" s="3"/>
    </row>
    <row r="763" spans="3:8" x14ac:dyDescent="0.2">
      <c r="C763" s="3"/>
      <c r="D763" s="3"/>
      <c r="E763" s="3"/>
      <c r="H763" s="3"/>
    </row>
    <row r="764" spans="3:8" x14ac:dyDescent="0.2">
      <c r="C764" s="3"/>
      <c r="D764" s="3"/>
      <c r="E764" s="3"/>
      <c r="H764" s="3"/>
    </row>
    <row r="765" spans="3:8" x14ac:dyDescent="0.2">
      <c r="C765" s="3"/>
      <c r="D765" s="3"/>
      <c r="E765" s="3"/>
      <c r="H765" s="3"/>
    </row>
    <row r="766" spans="3:8" x14ac:dyDescent="0.2">
      <c r="C766" s="3"/>
      <c r="D766" s="3"/>
      <c r="E766" s="3"/>
      <c r="H766" s="3"/>
    </row>
    <row r="767" spans="3:8" x14ac:dyDescent="0.2">
      <c r="C767" s="3"/>
      <c r="D767" s="3"/>
      <c r="E767" s="3"/>
      <c r="H767" s="3"/>
    </row>
    <row r="768" spans="3:8" x14ac:dyDescent="0.2">
      <c r="C768" s="3"/>
      <c r="D768" s="3"/>
      <c r="E768" s="3"/>
      <c r="H768" s="3"/>
    </row>
    <row r="769" spans="3:8" x14ac:dyDescent="0.2">
      <c r="C769" s="3"/>
      <c r="D769" s="3"/>
      <c r="E769" s="3"/>
      <c r="H769" s="3"/>
    </row>
    <row r="770" spans="3:8" x14ac:dyDescent="0.2">
      <c r="C770" s="3"/>
      <c r="D770" s="3"/>
      <c r="E770" s="3"/>
      <c r="H770" s="3"/>
    </row>
    <row r="771" spans="3:8" x14ac:dyDescent="0.2">
      <c r="C771" s="3"/>
      <c r="D771" s="3"/>
      <c r="E771" s="3"/>
      <c r="H771" s="3"/>
    </row>
    <row r="772" spans="3:8" x14ac:dyDescent="0.2">
      <c r="C772" s="3"/>
      <c r="D772" s="3"/>
      <c r="E772" s="3"/>
      <c r="H772" s="3"/>
    </row>
    <row r="773" spans="3:8" x14ac:dyDescent="0.2">
      <c r="C773" s="3"/>
      <c r="D773" s="3"/>
      <c r="E773" s="3"/>
      <c r="H773" s="3"/>
    </row>
    <row r="774" spans="3:8" x14ac:dyDescent="0.2">
      <c r="C774" s="3"/>
      <c r="D774" s="3"/>
      <c r="E774" s="3"/>
      <c r="H774" s="3"/>
    </row>
    <row r="775" spans="3:8" x14ac:dyDescent="0.2">
      <c r="C775" s="3"/>
      <c r="D775" s="3"/>
      <c r="E775" s="3"/>
      <c r="H775" s="3"/>
    </row>
    <row r="776" spans="3:8" x14ac:dyDescent="0.2">
      <c r="C776" s="3"/>
      <c r="D776" s="3"/>
      <c r="E776" s="3"/>
      <c r="H776" s="3"/>
    </row>
    <row r="777" spans="3:8" x14ac:dyDescent="0.2">
      <c r="C777" s="3"/>
      <c r="D777" s="3"/>
      <c r="E777" s="3"/>
      <c r="H777" s="3"/>
    </row>
    <row r="778" spans="3:8" x14ac:dyDescent="0.2">
      <c r="C778" s="3"/>
      <c r="D778" s="3"/>
      <c r="E778" s="3"/>
      <c r="H778" s="3"/>
    </row>
    <row r="779" spans="3:8" x14ac:dyDescent="0.2">
      <c r="C779" s="3"/>
      <c r="D779" s="3"/>
      <c r="E779" s="3"/>
      <c r="H779" s="3"/>
    </row>
    <row r="780" spans="3:8" x14ac:dyDescent="0.2">
      <c r="C780" s="3"/>
      <c r="D780" s="3"/>
      <c r="E780" s="3"/>
      <c r="H780" s="3"/>
    </row>
    <row r="781" spans="3:8" x14ac:dyDescent="0.2">
      <c r="C781" s="3"/>
      <c r="D781" s="3"/>
      <c r="E781" s="3"/>
      <c r="H781" s="3"/>
    </row>
    <row r="782" spans="3:8" x14ac:dyDescent="0.2">
      <c r="C782" s="3"/>
      <c r="D782" s="3"/>
      <c r="E782" s="3"/>
      <c r="H782" s="3"/>
    </row>
    <row r="783" spans="3:8" x14ac:dyDescent="0.2">
      <c r="C783" s="3"/>
      <c r="D783" s="3"/>
      <c r="E783" s="3"/>
      <c r="H783" s="3"/>
    </row>
    <row r="784" spans="3:8" x14ac:dyDescent="0.2">
      <c r="C784" s="3"/>
      <c r="D784" s="3"/>
      <c r="E784" s="3"/>
      <c r="H784" s="3"/>
    </row>
    <row r="785" spans="3:8" x14ac:dyDescent="0.2">
      <c r="C785" s="3"/>
      <c r="D785" s="3"/>
      <c r="E785" s="3"/>
      <c r="H785" s="3"/>
    </row>
    <row r="786" spans="3:8" x14ac:dyDescent="0.2">
      <c r="C786" s="3"/>
      <c r="D786" s="3"/>
      <c r="E786" s="3"/>
      <c r="H786" s="3"/>
    </row>
    <row r="787" spans="3:8" x14ac:dyDescent="0.2">
      <c r="C787" s="3"/>
      <c r="D787" s="3"/>
      <c r="E787" s="3"/>
      <c r="H787" s="3"/>
    </row>
    <row r="788" spans="3:8" x14ac:dyDescent="0.2">
      <c r="C788" s="3"/>
      <c r="D788" s="3"/>
      <c r="E788" s="3"/>
      <c r="H788" s="3"/>
    </row>
    <row r="789" spans="3:8" x14ac:dyDescent="0.2">
      <c r="C789" s="3"/>
      <c r="D789" s="3"/>
      <c r="E789" s="3"/>
      <c r="H789" s="3"/>
    </row>
    <row r="790" spans="3:8" x14ac:dyDescent="0.2">
      <c r="C790" s="3"/>
      <c r="D790" s="3"/>
      <c r="E790" s="3"/>
      <c r="H790" s="3"/>
    </row>
    <row r="791" spans="3:8" x14ac:dyDescent="0.2">
      <c r="C791" s="3"/>
      <c r="D791" s="3"/>
      <c r="E791" s="3"/>
      <c r="H791" s="3"/>
    </row>
    <row r="792" spans="3:8" x14ac:dyDescent="0.2">
      <c r="C792" s="3"/>
      <c r="D792" s="3"/>
      <c r="E792" s="3"/>
      <c r="H792" s="3"/>
    </row>
    <row r="793" spans="3:8" x14ac:dyDescent="0.2">
      <c r="C793" s="3"/>
      <c r="D793" s="3"/>
      <c r="E793" s="3"/>
      <c r="H793" s="3"/>
    </row>
    <row r="794" spans="3:8" x14ac:dyDescent="0.2">
      <c r="C794" s="3"/>
      <c r="D794" s="3"/>
      <c r="E794" s="3"/>
      <c r="H794" s="3"/>
    </row>
    <row r="795" spans="3:8" x14ac:dyDescent="0.2">
      <c r="C795" s="3"/>
      <c r="D795" s="3"/>
      <c r="E795" s="3"/>
      <c r="H795" s="3"/>
    </row>
    <row r="796" spans="3:8" x14ac:dyDescent="0.2">
      <c r="C796" s="3"/>
      <c r="D796" s="3"/>
      <c r="E796" s="3"/>
      <c r="H796" s="3"/>
    </row>
    <row r="797" spans="3:8" x14ac:dyDescent="0.2">
      <c r="C797" s="3"/>
      <c r="D797" s="3"/>
      <c r="E797" s="3"/>
      <c r="H797" s="3"/>
    </row>
    <row r="798" spans="3:8" x14ac:dyDescent="0.2">
      <c r="C798" s="3"/>
      <c r="D798" s="3"/>
      <c r="E798" s="3"/>
      <c r="H798" s="3"/>
    </row>
    <row r="799" spans="3:8" x14ac:dyDescent="0.2">
      <c r="C799" s="3"/>
      <c r="D799" s="3"/>
      <c r="E799" s="3"/>
      <c r="H799" s="3"/>
    </row>
    <row r="800" spans="3:8" x14ac:dyDescent="0.2">
      <c r="C800" s="3"/>
      <c r="D800" s="3"/>
      <c r="E800" s="3"/>
      <c r="H800" s="3"/>
    </row>
    <row r="801" spans="3:8" x14ac:dyDescent="0.2">
      <c r="C801" s="3"/>
      <c r="D801" s="3"/>
      <c r="E801" s="3"/>
      <c r="H801" s="3"/>
    </row>
    <row r="802" spans="3:8" x14ac:dyDescent="0.2">
      <c r="C802" s="3"/>
      <c r="D802" s="3"/>
      <c r="E802" s="3"/>
      <c r="H802" s="3"/>
    </row>
    <row r="803" spans="3:8" x14ac:dyDescent="0.2">
      <c r="C803" s="3"/>
      <c r="D803" s="3"/>
      <c r="E803" s="3"/>
      <c r="H803" s="3"/>
    </row>
    <row r="804" spans="3:8" x14ac:dyDescent="0.2">
      <c r="C804" s="3"/>
      <c r="D804" s="3"/>
      <c r="E804" s="3"/>
      <c r="H804" s="3"/>
    </row>
    <row r="805" spans="3:8" x14ac:dyDescent="0.2">
      <c r="C805" s="3"/>
      <c r="D805" s="3"/>
      <c r="E805" s="3"/>
      <c r="H805" s="3"/>
    </row>
    <row r="806" spans="3:8" x14ac:dyDescent="0.2">
      <c r="C806" s="3"/>
      <c r="D806" s="3"/>
      <c r="E806" s="3"/>
      <c r="H806" s="3"/>
    </row>
    <row r="807" spans="3:8" x14ac:dyDescent="0.2">
      <c r="C807" s="3"/>
      <c r="D807" s="3"/>
      <c r="E807" s="3"/>
      <c r="H807" s="3"/>
    </row>
    <row r="808" spans="3:8" x14ac:dyDescent="0.2">
      <c r="C808" s="3"/>
      <c r="D808" s="3"/>
      <c r="E808" s="3"/>
      <c r="H808" s="3"/>
    </row>
    <row r="809" spans="3:8" x14ac:dyDescent="0.2">
      <c r="C809" s="3"/>
      <c r="D809" s="3"/>
      <c r="E809" s="3"/>
      <c r="H809" s="3"/>
    </row>
    <row r="810" spans="3:8" x14ac:dyDescent="0.2">
      <c r="C810" s="3"/>
      <c r="D810" s="3"/>
      <c r="E810" s="3"/>
      <c r="H810" s="3"/>
    </row>
    <row r="811" spans="3:8" x14ac:dyDescent="0.2">
      <c r="C811" s="3"/>
      <c r="D811" s="3"/>
      <c r="E811" s="3"/>
      <c r="H811" s="3"/>
    </row>
    <row r="812" spans="3:8" x14ac:dyDescent="0.2">
      <c r="C812" s="3"/>
      <c r="D812" s="3"/>
      <c r="E812" s="3"/>
      <c r="H812" s="3"/>
    </row>
    <row r="813" spans="3:8" x14ac:dyDescent="0.2">
      <c r="C813" s="3"/>
      <c r="D813" s="3"/>
      <c r="E813" s="3"/>
      <c r="H813" s="3"/>
    </row>
    <row r="814" spans="3:8" x14ac:dyDescent="0.2">
      <c r="C814" s="3"/>
      <c r="D814" s="3"/>
      <c r="E814" s="3"/>
      <c r="H814" s="3"/>
    </row>
    <row r="815" spans="3:8" x14ac:dyDescent="0.2">
      <c r="C815" s="3"/>
      <c r="D815" s="3"/>
      <c r="E815" s="3"/>
      <c r="H815" s="3"/>
    </row>
    <row r="816" spans="3:8" x14ac:dyDescent="0.2">
      <c r="C816" s="3"/>
      <c r="D816" s="3"/>
      <c r="E816" s="3"/>
      <c r="H816" s="3"/>
    </row>
    <row r="817" spans="3:8" x14ac:dyDescent="0.2">
      <c r="C817" s="3"/>
      <c r="D817" s="3"/>
      <c r="E817" s="3"/>
      <c r="H817" s="3"/>
    </row>
    <row r="818" spans="3:8" x14ac:dyDescent="0.2">
      <c r="C818" s="3"/>
      <c r="D818" s="3"/>
      <c r="E818" s="3"/>
      <c r="H818" s="3"/>
    </row>
    <row r="819" spans="3:8" x14ac:dyDescent="0.2">
      <c r="C819" s="3"/>
      <c r="D819" s="3"/>
      <c r="E819" s="3"/>
      <c r="H819" s="3"/>
    </row>
    <row r="820" spans="3:8" x14ac:dyDescent="0.2">
      <c r="C820" s="3"/>
      <c r="D820" s="3"/>
      <c r="E820" s="3"/>
      <c r="H820" s="3"/>
    </row>
    <row r="821" spans="3:8" x14ac:dyDescent="0.2">
      <c r="C821" s="3"/>
      <c r="D821" s="3"/>
      <c r="E821" s="3"/>
      <c r="H821" s="3"/>
    </row>
    <row r="822" spans="3:8" x14ac:dyDescent="0.2">
      <c r="C822" s="3"/>
      <c r="D822" s="3"/>
      <c r="E822" s="3"/>
      <c r="H822" s="3"/>
    </row>
    <row r="823" spans="3:8" x14ac:dyDescent="0.2">
      <c r="C823" s="3"/>
      <c r="D823" s="3"/>
      <c r="E823" s="3"/>
      <c r="H823" s="3"/>
    </row>
    <row r="824" spans="3:8" x14ac:dyDescent="0.2">
      <c r="C824" s="3"/>
      <c r="D824" s="3"/>
      <c r="E824" s="3"/>
      <c r="H824" s="3"/>
    </row>
    <row r="825" spans="3:8" x14ac:dyDescent="0.2">
      <c r="C825" s="3"/>
      <c r="D825" s="3"/>
      <c r="E825" s="3"/>
      <c r="H825" s="3"/>
    </row>
    <row r="826" spans="3:8" x14ac:dyDescent="0.2">
      <c r="C826" s="3"/>
      <c r="D826" s="3"/>
      <c r="E826" s="3"/>
      <c r="H826" s="3"/>
    </row>
    <row r="827" spans="3:8" x14ac:dyDescent="0.2">
      <c r="C827" s="3"/>
      <c r="D827" s="3"/>
      <c r="E827" s="3"/>
      <c r="H827" s="3"/>
    </row>
    <row r="828" spans="3:8" x14ac:dyDescent="0.2">
      <c r="C828" s="3"/>
      <c r="D828" s="3"/>
      <c r="E828" s="3"/>
      <c r="H828" s="3"/>
    </row>
    <row r="829" spans="3:8" x14ac:dyDescent="0.2">
      <c r="C829" s="3"/>
      <c r="D829" s="3"/>
      <c r="E829" s="3"/>
      <c r="H829" s="3"/>
    </row>
    <row r="830" spans="3:8" x14ac:dyDescent="0.2">
      <c r="C830" s="3"/>
      <c r="D830" s="3"/>
      <c r="E830" s="3"/>
      <c r="H830" s="3"/>
    </row>
    <row r="831" spans="3:8" x14ac:dyDescent="0.2">
      <c r="C831" s="3"/>
      <c r="D831" s="3"/>
      <c r="E831" s="3"/>
      <c r="H831" s="3"/>
    </row>
    <row r="832" spans="3:8" x14ac:dyDescent="0.2">
      <c r="C832" s="3"/>
      <c r="D832" s="3"/>
      <c r="E832" s="3"/>
      <c r="H832" s="3"/>
    </row>
    <row r="833" spans="3:8" x14ac:dyDescent="0.2">
      <c r="C833" s="3"/>
      <c r="D833" s="3"/>
      <c r="E833" s="3"/>
      <c r="H833" s="3"/>
    </row>
    <row r="834" spans="3:8" x14ac:dyDescent="0.2">
      <c r="C834" s="3"/>
      <c r="D834" s="3"/>
      <c r="E834" s="3"/>
      <c r="H834" s="3"/>
    </row>
    <row r="835" spans="3:8" x14ac:dyDescent="0.2">
      <c r="C835" s="3"/>
      <c r="D835" s="3"/>
      <c r="E835" s="3"/>
      <c r="H835" s="3"/>
    </row>
    <row r="836" spans="3:8" x14ac:dyDescent="0.2">
      <c r="C836" s="3"/>
      <c r="D836" s="3"/>
      <c r="E836" s="3"/>
      <c r="H836" s="3"/>
    </row>
    <row r="837" spans="3:8" x14ac:dyDescent="0.2">
      <c r="C837" s="3"/>
      <c r="D837" s="3"/>
      <c r="E837" s="3"/>
      <c r="H837" s="3"/>
    </row>
    <row r="838" spans="3:8" x14ac:dyDescent="0.2">
      <c r="C838" s="3"/>
      <c r="D838" s="3"/>
      <c r="E838" s="3"/>
      <c r="H838" s="3"/>
    </row>
    <row r="839" spans="3:8" x14ac:dyDescent="0.2">
      <c r="C839" s="3"/>
      <c r="D839" s="3"/>
      <c r="E839" s="3"/>
      <c r="H839" s="3"/>
    </row>
    <row r="840" spans="3:8" x14ac:dyDescent="0.2">
      <c r="C840" s="3"/>
      <c r="D840" s="3"/>
      <c r="E840" s="3"/>
      <c r="H840" s="3"/>
    </row>
    <row r="841" spans="3:8" x14ac:dyDescent="0.2">
      <c r="C841" s="3"/>
      <c r="D841" s="3"/>
      <c r="E841" s="3"/>
      <c r="H841" s="3"/>
    </row>
    <row r="842" spans="3:8" x14ac:dyDescent="0.2">
      <c r="C842" s="3"/>
      <c r="D842" s="3"/>
      <c r="E842" s="3"/>
      <c r="H842" s="3"/>
    </row>
    <row r="843" spans="3:8" x14ac:dyDescent="0.2">
      <c r="C843" s="3"/>
      <c r="D843" s="3"/>
      <c r="E843" s="3"/>
      <c r="H843" s="3"/>
    </row>
    <row r="844" spans="3:8" x14ac:dyDescent="0.2">
      <c r="C844" s="3"/>
      <c r="D844" s="3"/>
      <c r="E844" s="3"/>
      <c r="H844" s="3"/>
    </row>
    <row r="845" spans="3:8" x14ac:dyDescent="0.2">
      <c r="C845" s="3"/>
      <c r="D845" s="3"/>
      <c r="E845" s="3"/>
      <c r="H845" s="3"/>
    </row>
    <row r="846" spans="3:8" x14ac:dyDescent="0.2">
      <c r="C846" s="3"/>
      <c r="D846" s="3"/>
      <c r="E846" s="3"/>
      <c r="H846" s="3"/>
    </row>
    <row r="847" spans="3:8" x14ac:dyDescent="0.2">
      <c r="C847" s="3"/>
      <c r="D847" s="3"/>
      <c r="E847" s="3"/>
      <c r="H847" s="3"/>
    </row>
    <row r="848" spans="3:8" x14ac:dyDescent="0.2">
      <c r="C848" s="3"/>
      <c r="D848" s="3"/>
      <c r="E848" s="3"/>
      <c r="H848" s="3"/>
    </row>
    <row r="849" spans="3:8" x14ac:dyDescent="0.2">
      <c r="C849" s="3"/>
      <c r="D849" s="3"/>
      <c r="E849" s="3"/>
      <c r="H849" s="3"/>
    </row>
    <row r="850" spans="3:8" x14ac:dyDescent="0.2">
      <c r="C850" s="3"/>
      <c r="D850" s="3"/>
      <c r="E850" s="3"/>
      <c r="H850" s="3"/>
    </row>
    <row r="851" spans="3:8" x14ac:dyDescent="0.2">
      <c r="C851" s="3"/>
      <c r="D851" s="3"/>
      <c r="E851" s="3"/>
      <c r="H851" s="3"/>
    </row>
    <row r="852" spans="3:8" x14ac:dyDescent="0.2">
      <c r="C852" s="3"/>
      <c r="D852" s="3"/>
      <c r="E852" s="3"/>
      <c r="H852" s="3"/>
    </row>
    <row r="853" spans="3:8" x14ac:dyDescent="0.2">
      <c r="C853" s="3"/>
      <c r="D853" s="3"/>
      <c r="E853" s="3"/>
      <c r="H853" s="3"/>
    </row>
    <row r="854" spans="3:8" x14ac:dyDescent="0.2">
      <c r="C854" s="3"/>
      <c r="D854" s="3"/>
      <c r="E854" s="3"/>
      <c r="H854" s="3"/>
    </row>
    <row r="855" spans="3:8" x14ac:dyDescent="0.2">
      <c r="C855" s="3"/>
      <c r="D855" s="3"/>
      <c r="E855" s="3"/>
      <c r="H855" s="3"/>
    </row>
    <row r="856" spans="3:8" x14ac:dyDescent="0.2">
      <c r="C856" s="3"/>
      <c r="D856" s="3"/>
      <c r="E856" s="3"/>
      <c r="H856" s="3"/>
    </row>
    <row r="857" spans="3:8" x14ac:dyDescent="0.2">
      <c r="C857" s="3"/>
      <c r="D857" s="3"/>
      <c r="E857" s="3"/>
      <c r="H857" s="3"/>
    </row>
    <row r="858" spans="3:8" x14ac:dyDescent="0.2">
      <c r="C858" s="3"/>
      <c r="D858" s="3"/>
      <c r="E858" s="3"/>
      <c r="H858" s="3"/>
    </row>
    <row r="859" spans="3:8" x14ac:dyDescent="0.2">
      <c r="C859" s="3"/>
      <c r="D859" s="3"/>
      <c r="E859" s="3"/>
      <c r="H859" s="3"/>
    </row>
    <row r="860" spans="3:8" x14ac:dyDescent="0.2">
      <c r="C860" s="3"/>
      <c r="D860" s="3"/>
      <c r="E860" s="3"/>
      <c r="H860" s="3"/>
    </row>
    <row r="861" spans="3:8" x14ac:dyDescent="0.2">
      <c r="C861" s="3"/>
      <c r="D861" s="3"/>
      <c r="E861" s="3"/>
      <c r="H861" s="3"/>
    </row>
    <row r="862" spans="3:8" x14ac:dyDescent="0.2">
      <c r="C862" s="3"/>
      <c r="D862" s="3"/>
      <c r="E862" s="3"/>
      <c r="H862" s="3"/>
    </row>
    <row r="863" spans="3:8" x14ac:dyDescent="0.2">
      <c r="C863" s="3"/>
      <c r="D863" s="3"/>
      <c r="E863" s="3"/>
      <c r="H863" s="3"/>
    </row>
    <row r="864" spans="3:8" x14ac:dyDescent="0.2">
      <c r="C864" s="3"/>
      <c r="D864" s="3"/>
      <c r="E864" s="3"/>
      <c r="H864" s="3"/>
    </row>
    <row r="865" spans="3:8" x14ac:dyDescent="0.2">
      <c r="C865" s="3"/>
      <c r="D865" s="3"/>
      <c r="E865" s="3"/>
      <c r="H865" s="3"/>
    </row>
    <row r="866" spans="3:8" x14ac:dyDescent="0.2">
      <c r="C866" s="3"/>
      <c r="D866" s="3"/>
      <c r="E866" s="3"/>
      <c r="H866" s="3"/>
    </row>
    <row r="867" spans="3:8" x14ac:dyDescent="0.2">
      <c r="C867" s="3"/>
      <c r="D867" s="3"/>
      <c r="E867" s="3"/>
      <c r="H867" s="3"/>
    </row>
    <row r="868" spans="3:8" x14ac:dyDescent="0.2">
      <c r="C868" s="3"/>
      <c r="D868" s="3"/>
      <c r="E868" s="3"/>
      <c r="H868" s="3"/>
    </row>
    <row r="869" spans="3:8" x14ac:dyDescent="0.2">
      <c r="C869" s="3"/>
      <c r="D869" s="3"/>
      <c r="E869" s="3"/>
      <c r="H869" s="3"/>
    </row>
    <row r="870" spans="3:8" x14ac:dyDescent="0.2">
      <c r="C870" s="3"/>
      <c r="D870" s="3"/>
      <c r="E870" s="3"/>
      <c r="H870" s="3"/>
    </row>
    <row r="871" spans="3:8" x14ac:dyDescent="0.2">
      <c r="C871" s="3"/>
      <c r="D871" s="3"/>
      <c r="E871" s="3"/>
      <c r="H871" s="3"/>
    </row>
    <row r="872" spans="3:8" x14ac:dyDescent="0.2">
      <c r="C872" s="3"/>
      <c r="D872" s="3"/>
      <c r="E872" s="3"/>
      <c r="H872" s="3"/>
    </row>
    <row r="873" spans="3:8" x14ac:dyDescent="0.2">
      <c r="C873" s="3"/>
      <c r="D873" s="3"/>
      <c r="E873" s="3"/>
      <c r="H873" s="3"/>
    </row>
    <row r="874" spans="3:8" x14ac:dyDescent="0.2">
      <c r="C874" s="3"/>
      <c r="D874" s="3"/>
      <c r="E874" s="3"/>
      <c r="H874" s="3"/>
    </row>
    <row r="875" spans="3:8" x14ac:dyDescent="0.2">
      <c r="C875" s="3"/>
      <c r="D875" s="3"/>
      <c r="E875" s="3"/>
      <c r="H875" s="3"/>
    </row>
    <row r="876" spans="3:8" x14ac:dyDescent="0.2">
      <c r="C876" s="3"/>
      <c r="D876" s="3"/>
      <c r="E876" s="3"/>
      <c r="H876" s="3"/>
    </row>
    <row r="877" spans="3:8" x14ac:dyDescent="0.2">
      <c r="C877" s="3"/>
      <c r="D877" s="3"/>
      <c r="E877" s="3"/>
      <c r="H877" s="3"/>
    </row>
    <row r="878" spans="3:8" x14ac:dyDescent="0.2">
      <c r="C878" s="3"/>
      <c r="D878" s="3"/>
      <c r="E878" s="3"/>
      <c r="H878" s="3"/>
    </row>
    <row r="879" spans="3:8" x14ac:dyDescent="0.2">
      <c r="C879" s="3"/>
      <c r="D879" s="3"/>
      <c r="E879" s="3"/>
      <c r="H879" s="3"/>
    </row>
    <row r="880" spans="3:8" x14ac:dyDescent="0.2">
      <c r="C880" s="3"/>
      <c r="D880" s="3"/>
      <c r="E880" s="3"/>
      <c r="H880" s="3"/>
    </row>
    <row r="881" spans="3:8" x14ac:dyDescent="0.2">
      <c r="C881" s="3"/>
      <c r="D881" s="3"/>
      <c r="E881" s="3"/>
      <c r="H881" s="3"/>
    </row>
    <row r="882" spans="3:8" x14ac:dyDescent="0.2">
      <c r="C882" s="3"/>
      <c r="D882" s="3"/>
      <c r="E882" s="3"/>
      <c r="H882" s="3"/>
    </row>
    <row r="883" spans="3:8" x14ac:dyDescent="0.2">
      <c r="C883" s="3"/>
      <c r="D883" s="3"/>
      <c r="E883" s="3"/>
      <c r="H883" s="3"/>
    </row>
    <row r="884" spans="3:8" x14ac:dyDescent="0.2">
      <c r="C884" s="3"/>
      <c r="D884" s="3"/>
      <c r="E884" s="3"/>
      <c r="H884" s="3"/>
    </row>
    <row r="885" spans="3:8" x14ac:dyDescent="0.2">
      <c r="C885" s="3"/>
      <c r="D885" s="3"/>
      <c r="E885" s="3"/>
      <c r="H885" s="3"/>
    </row>
    <row r="886" spans="3:8" x14ac:dyDescent="0.2">
      <c r="C886" s="3"/>
      <c r="D886" s="3"/>
      <c r="E886" s="3"/>
      <c r="H886" s="3"/>
    </row>
    <row r="887" spans="3:8" x14ac:dyDescent="0.2">
      <c r="C887" s="3"/>
      <c r="D887" s="3"/>
      <c r="E887" s="3"/>
      <c r="H887" s="3"/>
    </row>
    <row r="888" spans="3:8" x14ac:dyDescent="0.2">
      <c r="C888" s="3"/>
      <c r="D888" s="3"/>
      <c r="E888" s="3"/>
      <c r="H888" s="3"/>
    </row>
    <row r="889" spans="3:8" x14ac:dyDescent="0.2">
      <c r="C889" s="3"/>
      <c r="D889" s="3"/>
      <c r="E889" s="3"/>
      <c r="H889" s="3"/>
    </row>
    <row r="890" spans="3:8" x14ac:dyDescent="0.2">
      <c r="C890" s="3"/>
      <c r="D890" s="3"/>
      <c r="E890" s="3"/>
      <c r="H890" s="3"/>
    </row>
    <row r="891" spans="3:8" x14ac:dyDescent="0.2">
      <c r="C891" s="3"/>
      <c r="D891" s="3"/>
      <c r="E891" s="3"/>
      <c r="H891" s="3"/>
    </row>
    <row r="892" spans="3:8" x14ac:dyDescent="0.2">
      <c r="C892" s="3"/>
      <c r="D892" s="3"/>
      <c r="E892" s="3"/>
      <c r="H892" s="3"/>
    </row>
    <row r="893" spans="3:8" x14ac:dyDescent="0.2">
      <c r="C893" s="3"/>
      <c r="D893" s="3"/>
      <c r="E893" s="3"/>
      <c r="H893" s="3"/>
    </row>
    <row r="894" spans="3:8" x14ac:dyDescent="0.2">
      <c r="C894" s="3"/>
      <c r="D894" s="3"/>
      <c r="E894" s="3"/>
      <c r="H894" s="3"/>
    </row>
    <row r="895" spans="3:8" x14ac:dyDescent="0.2">
      <c r="C895" s="3"/>
      <c r="D895" s="3"/>
      <c r="E895" s="3"/>
      <c r="H895" s="3"/>
    </row>
    <row r="896" spans="3:8" x14ac:dyDescent="0.2">
      <c r="C896" s="3"/>
      <c r="D896" s="3"/>
      <c r="E896" s="3"/>
      <c r="H896" s="3"/>
    </row>
    <row r="897" spans="3:8" x14ac:dyDescent="0.2">
      <c r="C897" s="3"/>
      <c r="D897" s="3"/>
      <c r="E897" s="3"/>
      <c r="H897" s="3"/>
    </row>
    <row r="898" spans="3:8" x14ac:dyDescent="0.2">
      <c r="C898" s="3"/>
      <c r="D898" s="3"/>
      <c r="E898" s="3"/>
      <c r="H898" s="3"/>
    </row>
    <row r="899" spans="3:8" x14ac:dyDescent="0.2">
      <c r="C899" s="3"/>
      <c r="D899" s="3"/>
      <c r="E899" s="3"/>
      <c r="H899" s="3"/>
    </row>
    <row r="900" spans="3:8" x14ac:dyDescent="0.2">
      <c r="C900" s="3"/>
      <c r="D900" s="3"/>
      <c r="E900" s="3"/>
      <c r="H900" s="3"/>
    </row>
    <row r="901" spans="3:8" x14ac:dyDescent="0.2">
      <c r="C901" s="3"/>
      <c r="D901" s="3"/>
      <c r="E901" s="3"/>
      <c r="H901" s="3"/>
    </row>
    <row r="902" spans="3:8" x14ac:dyDescent="0.2">
      <c r="C902" s="3"/>
      <c r="D902" s="3"/>
      <c r="E902" s="3"/>
      <c r="H902" s="3"/>
    </row>
    <row r="903" spans="3:8" x14ac:dyDescent="0.2">
      <c r="C903" s="3"/>
      <c r="D903" s="3"/>
      <c r="E903" s="3"/>
      <c r="H903" s="3"/>
    </row>
    <row r="904" spans="3:8" x14ac:dyDescent="0.2">
      <c r="C904" s="3"/>
      <c r="D904" s="3"/>
      <c r="E904" s="3"/>
      <c r="H904" s="3"/>
    </row>
    <row r="905" spans="3:8" x14ac:dyDescent="0.2">
      <c r="C905" s="3"/>
      <c r="D905" s="3"/>
      <c r="E905" s="3"/>
      <c r="H905" s="3"/>
    </row>
    <row r="906" spans="3:8" x14ac:dyDescent="0.2">
      <c r="C906" s="3"/>
      <c r="D906" s="3"/>
      <c r="E906" s="3"/>
      <c r="H906" s="3"/>
    </row>
    <row r="907" spans="3:8" x14ac:dyDescent="0.2">
      <c r="C907" s="3"/>
      <c r="D907" s="3"/>
      <c r="E907" s="3"/>
      <c r="H907" s="3"/>
    </row>
    <row r="908" spans="3:8" x14ac:dyDescent="0.2">
      <c r="C908" s="3"/>
      <c r="D908" s="3"/>
      <c r="E908" s="3"/>
      <c r="H908" s="3"/>
    </row>
    <row r="909" spans="3:8" x14ac:dyDescent="0.2">
      <c r="C909" s="3"/>
      <c r="D909" s="3"/>
      <c r="E909" s="3"/>
      <c r="H909" s="3"/>
    </row>
    <row r="910" spans="3:8" x14ac:dyDescent="0.2">
      <c r="C910" s="3"/>
      <c r="D910" s="3"/>
      <c r="E910" s="3"/>
      <c r="H910" s="3"/>
    </row>
    <row r="911" spans="3:8" x14ac:dyDescent="0.2">
      <c r="C911" s="3"/>
      <c r="D911" s="3"/>
      <c r="E911" s="3"/>
      <c r="H911" s="3"/>
    </row>
    <row r="912" spans="3:8" x14ac:dyDescent="0.2">
      <c r="C912" s="3"/>
      <c r="D912" s="3"/>
      <c r="E912" s="3"/>
      <c r="H912" s="3"/>
    </row>
    <row r="913" spans="3:8" x14ac:dyDescent="0.2">
      <c r="C913" s="3"/>
      <c r="D913" s="3"/>
      <c r="E913" s="3"/>
      <c r="H913" s="3"/>
    </row>
    <row r="914" spans="3:8" x14ac:dyDescent="0.2">
      <c r="C914" s="3"/>
      <c r="D914" s="3"/>
      <c r="E914" s="3"/>
      <c r="H914" s="3"/>
    </row>
    <row r="915" spans="3:8" x14ac:dyDescent="0.2">
      <c r="C915" s="3"/>
      <c r="D915" s="3"/>
      <c r="E915" s="3"/>
      <c r="H915" s="3"/>
    </row>
    <row r="916" spans="3:8" x14ac:dyDescent="0.2">
      <c r="C916" s="3"/>
      <c r="D916" s="3"/>
      <c r="E916" s="3"/>
      <c r="H916" s="3"/>
    </row>
    <row r="917" spans="3:8" x14ac:dyDescent="0.2">
      <c r="C917" s="3"/>
      <c r="D917" s="3"/>
      <c r="E917" s="3"/>
      <c r="H917" s="3"/>
    </row>
    <row r="918" spans="3:8" x14ac:dyDescent="0.2">
      <c r="C918" s="3"/>
      <c r="D918" s="3"/>
      <c r="E918" s="3"/>
      <c r="H918" s="3"/>
    </row>
    <row r="919" spans="3:8" x14ac:dyDescent="0.2">
      <c r="C919" s="3"/>
      <c r="D919" s="3"/>
      <c r="E919" s="3"/>
      <c r="H919" s="3"/>
    </row>
    <row r="920" spans="3:8" x14ac:dyDescent="0.2">
      <c r="C920" s="3"/>
      <c r="D920" s="3"/>
      <c r="E920" s="3"/>
      <c r="H920" s="3"/>
    </row>
    <row r="921" spans="3:8" x14ac:dyDescent="0.2">
      <c r="C921" s="3"/>
      <c r="D921" s="3"/>
      <c r="E921" s="3"/>
      <c r="H921" s="3"/>
    </row>
    <row r="922" spans="3:8" x14ac:dyDescent="0.2">
      <c r="C922" s="3"/>
      <c r="D922" s="3"/>
      <c r="E922" s="3"/>
      <c r="H922" s="3"/>
    </row>
    <row r="923" spans="3:8" x14ac:dyDescent="0.2">
      <c r="C923" s="3"/>
      <c r="D923" s="3"/>
      <c r="E923" s="3"/>
      <c r="H923" s="3"/>
    </row>
    <row r="924" spans="3:8" x14ac:dyDescent="0.2">
      <c r="C924" s="3"/>
      <c r="D924" s="3"/>
      <c r="E924" s="3"/>
      <c r="H924" s="3"/>
    </row>
    <row r="925" spans="3:8" x14ac:dyDescent="0.2">
      <c r="C925" s="3"/>
      <c r="D925" s="3"/>
      <c r="E925" s="3"/>
      <c r="H925" s="3"/>
    </row>
    <row r="926" spans="3:8" x14ac:dyDescent="0.2">
      <c r="C926" s="3"/>
      <c r="D926" s="3"/>
      <c r="E926" s="3"/>
      <c r="H926" s="3"/>
    </row>
    <row r="927" spans="3:8" x14ac:dyDescent="0.2">
      <c r="C927" s="3"/>
      <c r="D927" s="3"/>
      <c r="E927" s="3"/>
      <c r="H927" s="3"/>
    </row>
    <row r="928" spans="3:8" x14ac:dyDescent="0.2">
      <c r="C928" s="3"/>
      <c r="D928" s="3"/>
      <c r="E928" s="3"/>
      <c r="H928" s="3"/>
    </row>
    <row r="929" spans="3:8" x14ac:dyDescent="0.2">
      <c r="C929" s="3"/>
      <c r="D929" s="3"/>
      <c r="E929" s="3"/>
      <c r="H929" s="3"/>
    </row>
    <row r="930" spans="3:8" x14ac:dyDescent="0.2">
      <c r="C930" s="3"/>
      <c r="D930" s="3"/>
      <c r="E930" s="3"/>
      <c r="H930" s="3"/>
    </row>
    <row r="931" spans="3:8" x14ac:dyDescent="0.2">
      <c r="C931" s="3"/>
      <c r="D931" s="3"/>
      <c r="E931" s="3"/>
      <c r="H931" s="3"/>
    </row>
    <row r="932" spans="3:8" x14ac:dyDescent="0.2">
      <c r="C932" s="3"/>
      <c r="D932" s="3"/>
      <c r="E932" s="3"/>
      <c r="H932" s="3"/>
    </row>
    <row r="933" spans="3:8" x14ac:dyDescent="0.2">
      <c r="C933" s="3"/>
      <c r="D933" s="3"/>
      <c r="E933" s="3"/>
      <c r="H933" s="3"/>
    </row>
    <row r="934" spans="3:8" x14ac:dyDescent="0.2">
      <c r="C934" s="3"/>
      <c r="D934" s="3"/>
      <c r="E934" s="3"/>
      <c r="H934" s="3"/>
    </row>
    <row r="935" spans="3:8" x14ac:dyDescent="0.2">
      <c r="C935" s="3"/>
      <c r="D935" s="3"/>
      <c r="E935" s="3"/>
      <c r="H935" s="3"/>
    </row>
    <row r="936" spans="3:8" x14ac:dyDescent="0.2">
      <c r="C936" s="3"/>
      <c r="D936" s="3"/>
      <c r="E936" s="3"/>
      <c r="H936" s="3"/>
    </row>
    <row r="937" spans="3:8" x14ac:dyDescent="0.2">
      <c r="C937" s="3"/>
      <c r="D937" s="3"/>
      <c r="E937" s="3"/>
      <c r="H937" s="3"/>
    </row>
    <row r="938" spans="3:8" x14ac:dyDescent="0.2">
      <c r="C938" s="3"/>
      <c r="D938" s="3"/>
      <c r="E938" s="3"/>
      <c r="H938" s="3"/>
    </row>
    <row r="939" spans="3:8" x14ac:dyDescent="0.2">
      <c r="C939" s="3"/>
      <c r="D939" s="3"/>
      <c r="E939" s="3"/>
      <c r="H939" s="3"/>
    </row>
    <row r="940" spans="3:8" x14ac:dyDescent="0.2">
      <c r="C940" s="3"/>
      <c r="D940" s="3"/>
      <c r="E940" s="3"/>
      <c r="H940" s="3"/>
    </row>
    <row r="941" spans="3:8" x14ac:dyDescent="0.2">
      <c r="C941" s="3"/>
      <c r="D941" s="3"/>
      <c r="E941" s="3"/>
      <c r="H941" s="3"/>
    </row>
    <row r="942" spans="3:8" x14ac:dyDescent="0.2">
      <c r="C942" s="3"/>
      <c r="D942" s="3"/>
      <c r="E942" s="3"/>
      <c r="H942" s="3"/>
    </row>
    <row r="943" spans="3:8" x14ac:dyDescent="0.2">
      <c r="C943" s="3"/>
      <c r="D943" s="3"/>
      <c r="E943" s="3"/>
      <c r="H943" s="3"/>
    </row>
    <row r="944" spans="3:8" x14ac:dyDescent="0.2">
      <c r="C944" s="3"/>
      <c r="D944" s="3"/>
      <c r="E944" s="3"/>
      <c r="H944" s="3"/>
    </row>
    <row r="945" spans="3:8" x14ac:dyDescent="0.2">
      <c r="C945" s="3"/>
      <c r="D945" s="3"/>
      <c r="E945" s="3"/>
      <c r="H945" s="3"/>
    </row>
    <row r="946" spans="3:8" x14ac:dyDescent="0.2">
      <c r="C946" s="3"/>
      <c r="D946" s="3"/>
      <c r="E946" s="3"/>
      <c r="H946" s="3"/>
    </row>
    <row r="947" spans="3:8" x14ac:dyDescent="0.2">
      <c r="C947" s="3"/>
      <c r="D947" s="3"/>
      <c r="E947" s="3"/>
      <c r="H947" s="3"/>
    </row>
    <row r="948" spans="3:8" x14ac:dyDescent="0.2">
      <c r="C948" s="3"/>
      <c r="D948" s="3"/>
      <c r="E948" s="3"/>
      <c r="H948" s="3"/>
    </row>
    <row r="949" spans="3:8" x14ac:dyDescent="0.2">
      <c r="C949" s="3"/>
      <c r="D949" s="3"/>
      <c r="E949" s="3"/>
      <c r="H949" s="3"/>
    </row>
    <row r="950" spans="3:8" x14ac:dyDescent="0.2">
      <c r="C950" s="3"/>
      <c r="D950" s="3"/>
      <c r="E950" s="3"/>
      <c r="H950" s="3"/>
    </row>
    <row r="951" spans="3:8" x14ac:dyDescent="0.2">
      <c r="C951" s="3"/>
      <c r="D951" s="3"/>
      <c r="E951" s="3"/>
      <c r="H951" s="3"/>
    </row>
    <row r="952" spans="3:8" x14ac:dyDescent="0.2">
      <c r="C952" s="3"/>
      <c r="D952" s="3"/>
      <c r="E952" s="3"/>
      <c r="H952" s="3"/>
    </row>
    <row r="953" spans="3:8" x14ac:dyDescent="0.2">
      <c r="C953" s="3"/>
      <c r="D953" s="3"/>
      <c r="E953" s="3"/>
      <c r="H953" s="3"/>
    </row>
    <row r="954" spans="3:8" x14ac:dyDescent="0.2">
      <c r="C954" s="3"/>
      <c r="D954" s="3"/>
      <c r="E954" s="3"/>
      <c r="H954" s="3"/>
    </row>
    <row r="955" spans="3:8" x14ac:dyDescent="0.2">
      <c r="C955" s="3"/>
      <c r="D955" s="3"/>
      <c r="E955" s="3"/>
      <c r="H955" s="3"/>
    </row>
    <row r="956" spans="3:8" x14ac:dyDescent="0.2">
      <c r="C956" s="3"/>
      <c r="D956" s="3"/>
      <c r="E956" s="3"/>
      <c r="H956" s="3"/>
    </row>
    <row r="957" spans="3:8" x14ac:dyDescent="0.2">
      <c r="C957" s="3"/>
      <c r="D957" s="3"/>
      <c r="E957" s="3"/>
      <c r="H957" s="3"/>
    </row>
    <row r="958" spans="3:8" x14ac:dyDescent="0.2">
      <c r="C958" s="3"/>
      <c r="D958" s="3"/>
      <c r="E958" s="3"/>
      <c r="H958" s="3"/>
    </row>
    <row r="959" spans="3:8" x14ac:dyDescent="0.2">
      <c r="C959" s="3"/>
      <c r="D959" s="3"/>
      <c r="E959" s="3"/>
      <c r="H959" s="3"/>
    </row>
    <row r="960" spans="3:8" x14ac:dyDescent="0.2">
      <c r="C960" s="3"/>
      <c r="D960" s="3"/>
      <c r="E960" s="3"/>
      <c r="H960" s="3"/>
    </row>
    <row r="961" spans="3:8" x14ac:dyDescent="0.2">
      <c r="C961" s="3"/>
      <c r="D961" s="3"/>
      <c r="E961" s="3"/>
      <c r="H961" s="3"/>
    </row>
    <row r="962" spans="3:8" x14ac:dyDescent="0.2">
      <c r="C962" s="3"/>
      <c r="D962" s="3"/>
      <c r="E962" s="3"/>
      <c r="H962" s="3"/>
    </row>
    <row r="963" spans="3:8" x14ac:dyDescent="0.2">
      <c r="C963" s="3"/>
      <c r="D963" s="3"/>
      <c r="E963" s="3"/>
      <c r="H963" s="3"/>
    </row>
    <row r="964" spans="3:8" x14ac:dyDescent="0.2">
      <c r="C964" s="3"/>
      <c r="D964" s="3"/>
      <c r="E964" s="3"/>
      <c r="H964" s="3"/>
    </row>
    <row r="965" spans="3:8" x14ac:dyDescent="0.2">
      <c r="C965" s="3"/>
      <c r="D965" s="3"/>
      <c r="E965" s="3"/>
      <c r="H965" s="3"/>
    </row>
    <row r="966" spans="3:8" x14ac:dyDescent="0.2">
      <c r="C966" s="3"/>
      <c r="D966" s="3"/>
      <c r="E966" s="3"/>
      <c r="H966" s="3"/>
    </row>
    <row r="967" spans="3:8" x14ac:dyDescent="0.2">
      <c r="C967" s="3"/>
      <c r="D967" s="3"/>
      <c r="E967" s="3"/>
      <c r="H967" s="3"/>
    </row>
    <row r="968" spans="3:8" x14ac:dyDescent="0.2">
      <c r="C968" s="3"/>
      <c r="D968" s="3"/>
      <c r="E968" s="3"/>
      <c r="H968" s="3"/>
    </row>
    <row r="969" spans="3:8" x14ac:dyDescent="0.2">
      <c r="C969" s="3"/>
      <c r="D969" s="3"/>
      <c r="E969" s="3"/>
      <c r="H969" s="3"/>
    </row>
    <row r="970" spans="3:8" x14ac:dyDescent="0.2">
      <c r="C970" s="3"/>
      <c r="D970" s="3"/>
      <c r="E970" s="3"/>
      <c r="H970" s="3"/>
    </row>
    <row r="971" spans="3:8" x14ac:dyDescent="0.2">
      <c r="C971" s="3"/>
      <c r="D971" s="3"/>
      <c r="E971" s="3"/>
      <c r="H971" s="3"/>
    </row>
    <row r="972" spans="3:8" x14ac:dyDescent="0.2">
      <c r="C972" s="3"/>
      <c r="D972" s="3"/>
      <c r="E972" s="3"/>
      <c r="H972" s="3"/>
    </row>
    <row r="973" spans="3:8" x14ac:dyDescent="0.2">
      <c r="C973" s="3"/>
      <c r="D973" s="3"/>
      <c r="E973" s="3"/>
      <c r="H973" s="3"/>
    </row>
    <row r="974" spans="3:8" x14ac:dyDescent="0.2">
      <c r="C974" s="3"/>
      <c r="D974" s="3"/>
      <c r="E974" s="3"/>
      <c r="H974" s="3"/>
    </row>
    <row r="975" spans="3:8" x14ac:dyDescent="0.2">
      <c r="C975" s="3"/>
      <c r="D975" s="3"/>
      <c r="E975" s="3"/>
      <c r="H975" s="3"/>
    </row>
    <row r="976" spans="3:8" x14ac:dyDescent="0.2">
      <c r="C976" s="3"/>
      <c r="D976" s="3"/>
      <c r="E976" s="3"/>
      <c r="H976" s="3"/>
    </row>
    <row r="977" spans="3:8" x14ac:dyDescent="0.2">
      <c r="C977" s="3"/>
      <c r="D977" s="3"/>
      <c r="E977" s="3"/>
      <c r="H977" s="3"/>
    </row>
    <row r="978" spans="3:8" x14ac:dyDescent="0.2">
      <c r="C978" s="3"/>
      <c r="D978" s="3"/>
      <c r="E978" s="3"/>
      <c r="H978" s="3"/>
    </row>
    <row r="979" spans="3:8" x14ac:dyDescent="0.2">
      <c r="C979" s="3"/>
      <c r="D979" s="3"/>
      <c r="E979" s="3"/>
      <c r="H979" s="3"/>
    </row>
    <row r="980" spans="3:8" x14ac:dyDescent="0.2">
      <c r="C980" s="3"/>
      <c r="D980" s="3"/>
      <c r="E980" s="3"/>
      <c r="H980" s="3"/>
    </row>
    <row r="981" spans="3:8" x14ac:dyDescent="0.2">
      <c r="C981" s="3"/>
      <c r="D981" s="3"/>
      <c r="E981" s="3"/>
      <c r="H981" s="3"/>
    </row>
    <row r="982" spans="3:8" x14ac:dyDescent="0.2">
      <c r="C982" s="3"/>
      <c r="D982" s="3"/>
      <c r="E982" s="3"/>
      <c r="H982" s="3"/>
    </row>
    <row r="983" spans="3:8" x14ac:dyDescent="0.2">
      <c r="C983" s="3"/>
      <c r="D983" s="3"/>
      <c r="E983" s="3"/>
      <c r="H983" s="3"/>
    </row>
    <row r="984" spans="3:8" x14ac:dyDescent="0.2">
      <c r="C984" s="3"/>
      <c r="D984" s="3"/>
      <c r="E984" s="3"/>
      <c r="H984" s="3"/>
    </row>
    <row r="985" spans="3:8" x14ac:dyDescent="0.2">
      <c r="C985" s="3"/>
      <c r="D985" s="3"/>
      <c r="E985" s="3"/>
      <c r="H985" s="3"/>
    </row>
    <row r="986" spans="3:8" x14ac:dyDescent="0.2">
      <c r="C986" s="3"/>
      <c r="D986" s="3"/>
      <c r="E986" s="3"/>
      <c r="H986" s="3"/>
    </row>
    <row r="987" spans="3:8" x14ac:dyDescent="0.2">
      <c r="C987" s="3"/>
      <c r="D987" s="3"/>
      <c r="E987" s="3"/>
      <c r="H987" s="3"/>
    </row>
    <row r="988" spans="3:8" x14ac:dyDescent="0.2">
      <c r="C988" s="3"/>
      <c r="D988" s="3"/>
      <c r="E988" s="3"/>
      <c r="H988" s="3"/>
    </row>
    <row r="989" spans="3:8" x14ac:dyDescent="0.2">
      <c r="C989" s="3"/>
      <c r="D989" s="3"/>
      <c r="E989" s="3"/>
      <c r="H989" s="3"/>
    </row>
    <row r="990" spans="3:8" x14ac:dyDescent="0.2">
      <c r="C990" s="3"/>
      <c r="D990" s="3"/>
      <c r="E990" s="3"/>
      <c r="H990" s="3"/>
    </row>
    <row r="991" spans="3:8" x14ac:dyDescent="0.2">
      <c r="C991" s="3"/>
      <c r="D991" s="3"/>
      <c r="E991" s="3"/>
      <c r="H991" s="3"/>
    </row>
    <row r="992" spans="3:8" x14ac:dyDescent="0.2">
      <c r="C992" s="3"/>
      <c r="D992" s="3"/>
      <c r="E992" s="3"/>
      <c r="H992" s="3"/>
    </row>
    <row r="993" spans="3:8" x14ac:dyDescent="0.2">
      <c r="C993" s="3"/>
      <c r="D993" s="3"/>
      <c r="E993" s="3"/>
      <c r="H993" s="3"/>
    </row>
    <row r="994" spans="3:8" x14ac:dyDescent="0.2">
      <c r="C994" s="3"/>
      <c r="D994" s="3"/>
      <c r="E994" s="3"/>
      <c r="H994" s="3"/>
    </row>
    <row r="995" spans="3:8" x14ac:dyDescent="0.2">
      <c r="C995" s="3"/>
      <c r="D995" s="3"/>
      <c r="E995" s="3"/>
      <c r="H995" s="3"/>
    </row>
    <row r="996" spans="3:8" x14ac:dyDescent="0.2">
      <c r="C996" s="3"/>
      <c r="D996" s="3"/>
      <c r="E996" s="3"/>
      <c r="H996" s="3"/>
    </row>
    <row r="997" spans="3:8" x14ac:dyDescent="0.2">
      <c r="C997" s="3"/>
      <c r="D997" s="3"/>
      <c r="E997" s="3"/>
      <c r="H997" s="3"/>
    </row>
    <row r="998" spans="3:8" x14ac:dyDescent="0.2">
      <c r="C998" s="3"/>
      <c r="D998" s="3"/>
      <c r="E998" s="3"/>
      <c r="H998" s="3"/>
    </row>
    <row r="999" spans="3:8" x14ac:dyDescent="0.2">
      <c r="C999" s="3"/>
      <c r="D999" s="3"/>
      <c r="E999" s="3"/>
      <c r="H999" s="3"/>
    </row>
    <row r="1000" spans="3:8" x14ac:dyDescent="0.2">
      <c r="C1000" s="3"/>
      <c r="D1000" s="3"/>
      <c r="E1000" s="3"/>
      <c r="H1000" s="3"/>
    </row>
    <row r="1001" spans="3:8" x14ac:dyDescent="0.2">
      <c r="C1001" s="3"/>
      <c r="D1001" s="3"/>
      <c r="E1001" s="3"/>
      <c r="H1001" s="3"/>
    </row>
    <row r="1002" spans="3:8" x14ac:dyDescent="0.2">
      <c r="C1002" s="3"/>
      <c r="D1002" s="3"/>
      <c r="E1002" s="3"/>
      <c r="H1002" s="3"/>
    </row>
    <row r="1003" spans="3:8" x14ac:dyDescent="0.2">
      <c r="C1003" s="3"/>
      <c r="D1003" s="3"/>
      <c r="E1003" s="3"/>
      <c r="H1003" s="3"/>
    </row>
    <row r="1004" spans="3:8" x14ac:dyDescent="0.2">
      <c r="C1004" s="3"/>
      <c r="D1004" s="3"/>
      <c r="E1004" s="3"/>
      <c r="H1004" s="3"/>
    </row>
    <row r="1005" spans="3:8" x14ac:dyDescent="0.2">
      <c r="C1005" s="3"/>
      <c r="D1005" s="3"/>
      <c r="E1005" s="3"/>
      <c r="H1005" s="3"/>
    </row>
    <row r="1006" spans="3:8" x14ac:dyDescent="0.2">
      <c r="C1006" s="3"/>
      <c r="D1006" s="3"/>
      <c r="E1006" s="3"/>
      <c r="H1006" s="3"/>
    </row>
    <row r="1007" spans="3:8" x14ac:dyDescent="0.2">
      <c r="C1007" s="3"/>
      <c r="D1007" s="3"/>
      <c r="E1007" s="3"/>
      <c r="H1007" s="3"/>
    </row>
    <row r="1008" spans="3:8" x14ac:dyDescent="0.2">
      <c r="C1008" s="3"/>
      <c r="D1008" s="3"/>
      <c r="E1008" s="3"/>
      <c r="H1008" s="3"/>
    </row>
    <row r="1009" spans="3:8" x14ac:dyDescent="0.2">
      <c r="C1009" s="3"/>
      <c r="D1009" s="3"/>
      <c r="E1009" s="3"/>
      <c r="H1009" s="3"/>
    </row>
    <row r="1010" spans="3:8" x14ac:dyDescent="0.2">
      <c r="C1010" s="3"/>
      <c r="D1010" s="3"/>
      <c r="E1010" s="3"/>
      <c r="H1010" s="3"/>
    </row>
    <row r="1011" spans="3:8" x14ac:dyDescent="0.2">
      <c r="C1011" s="3"/>
      <c r="D1011" s="3"/>
      <c r="E1011" s="3"/>
      <c r="H1011" s="3"/>
    </row>
    <row r="1012" spans="3:8" x14ac:dyDescent="0.2">
      <c r="C1012" s="3"/>
      <c r="D1012" s="3"/>
      <c r="E1012" s="3"/>
      <c r="H1012" s="3"/>
    </row>
    <row r="1013" spans="3:8" x14ac:dyDescent="0.2">
      <c r="C1013" s="3"/>
      <c r="D1013" s="3"/>
      <c r="E1013" s="3"/>
      <c r="H1013" s="3"/>
    </row>
    <row r="1014" spans="3:8" x14ac:dyDescent="0.2">
      <c r="C1014" s="3"/>
      <c r="D1014" s="3"/>
      <c r="E1014" s="3"/>
      <c r="H1014" s="3"/>
    </row>
    <row r="1015" spans="3:8" x14ac:dyDescent="0.2">
      <c r="C1015" s="3"/>
      <c r="D1015" s="3"/>
      <c r="E1015" s="3"/>
      <c r="H1015" s="3"/>
    </row>
    <row r="1016" spans="3:8" x14ac:dyDescent="0.2">
      <c r="C1016" s="3"/>
      <c r="D1016" s="3"/>
      <c r="E1016" s="3"/>
      <c r="H1016" s="3"/>
    </row>
    <row r="1017" spans="3:8" x14ac:dyDescent="0.2">
      <c r="C1017" s="3"/>
      <c r="D1017" s="3"/>
      <c r="E1017" s="3"/>
      <c r="H1017" s="3"/>
    </row>
    <row r="1018" spans="3:8" x14ac:dyDescent="0.2">
      <c r="C1018" s="3"/>
      <c r="D1018" s="3"/>
      <c r="E1018" s="3"/>
      <c r="H1018" s="3"/>
    </row>
    <row r="1019" spans="3:8" x14ac:dyDescent="0.2">
      <c r="C1019" s="3"/>
      <c r="D1019" s="3"/>
      <c r="E1019" s="3"/>
      <c r="H1019" s="3"/>
    </row>
    <row r="1020" spans="3:8" x14ac:dyDescent="0.2">
      <c r="C1020" s="3"/>
      <c r="D1020" s="3"/>
      <c r="E1020" s="3"/>
      <c r="H1020" s="3"/>
    </row>
    <row r="1021" spans="3:8" x14ac:dyDescent="0.2">
      <c r="C1021" s="3"/>
      <c r="D1021" s="3"/>
      <c r="E1021" s="3"/>
      <c r="H1021" s="3"/>
    </row>
    <row r="1022" spans="3:8" x14ac:dyDescent="0.2">
      <c r="C1022" s="3"/>
      <c r="D1022" s="3"/>
      <c r="E1022" s="3"/>
      <c r="H1022" s="3"/>
    </row>
    <row r="1023" spans="3:8" x14ac:dyDescent="0.2">
      <c r="C1023" s="3"/>
      <c r="D1023" s="3"/>
      <c r="E1023" s="3"/>
      <c r="H1023" s="3"/>
    </row>
    <row r="1024" spans="3:8" x14ac:dyDescent="0.2">
      <c r="C1024" s="3"/>
      <c r="D1024" s="3"/>
      <c r="E1024" s="3"/>
      <c r="H1024" s="3"/>
    </row>
    <row r="1025" spans="3:8" x14ac:dyDescent="0.2">
      <c r="C1025" s="3"/>
      <c r="D1025" s="3"/>
      <c r="E1025" s="3"/>
      <c r="H1025" s="3"/>
    </row>
    <row r="1026" spans="3:8" x14ac:dyDescent="0.2">
      <c r="C1026" s="3"/>
      <c r="D1026" s="3"/>
      <c r="E1026" s="3"/>
      <c r="H1026" s="3"/>
    </row>
    <row r="1027" spans="3:8" x14ac:dyDescent="0.2">
      <c r="C1027" s="3"/>
      <c r="D1027" s="3"/>
      <c r="E1027" s="3"/>
      <c r="H1027" s="3"/>
    </row>
    <row r="1028" spans="3:8" x14ac:dyDescent="0.2">
      <c r="C1028" s="3"/>
      <c r="D1028" s="3"/>
      <c r="E1028" s="3"/>
      <c r="H1028" s="3"/>
    </row>
    <row r="1029" spans="3:8" x14ac:dyDescent="0.2">
      <c r="C1029" s="3"/>
      <c r="D1029" s="3"/>
      <c r="E1029" s="3"/>
      <c r="H1029" s="3"/>
    </row>
    <row r="1030" spans="3:8" x14ac:dyDescent="0.2">
      <c r="C1030" s="3"/>
      <c r="D1030" s="3"/>
      <c r="E1030" s="3"/>
      <c r="H1030" s="3"/>
    </row>
    <row r="1031" spans="3:8" x14ac:dyDescent="0.2">
      <c r="C1031" s="3"/>
      <c r="D1031" s="3"/>
      <c r="E1031" s="3"/>
      <c r="H1031" s="3"/>
    </row>
    <row r="1032" spans="3:8" x14ac:dyDescent="0.2">
      <c r="C1032" s="3"/>
      <c r="D1032" s="3"/>
      <c r="E1032" s="3"/>
      <c r="H1032" s="3"/>
    </row>
    <row r="1033" spans="3:8" x14ac:dyDescent="0.2">
      <c r="C1033" s="3"/>
      <c r="D1033" s="3"/>
      <c r="E1033" s="3"/>
      <c r="H1033" s="3"/>
    </row>
    <row r="1034" spans="3:8" x14ac:dyDescent="0.2">
      <c r="C1034" s="3"/>
      <c r="D1034" s="3"/>
      <c r="E1034" s="3"/>
      <c r="H1034" s="3"/>
    </row>
    <row r="1035" spans="3:8" x14ac:dyDescent="0.2">
      <c r="C1035" s="3"/>
      <c r="D1035" s="3"/>
      <c r="E1035" s="3"/>
      <c r="H1035" s="3"/>
    </row>
    <row r="1036" spans="3:8" x14ac:dyDescent="0.2">
      <c r="C1036" s="3"/>
      <c r="D1036" s="3"/>
      <c r="E1036" s="3"/>
      <c r="H1036" s="3"/>
    </row>
    <row r="1037" spans="3:8" x14ac:dyDescent="0.2">
      <c r="C1037" s="3"/>
      <c r="D1037" s="3"/>
      <c r="E1037" s="3"/>
      <c r="H1037" s="3"/>
    </row>
    <row r="1038" spans="3:8" x14ac:dyDescent="0.2">
      <c r="C1038" s="3"/>
      <c r="D1038" s="3"/>
      <c r="E1038" s="3"/>
      <c r="H1038" s="3"/>
    </row>
    <row r="1039" spans="3:8" x14ac:dyDescent="0.2">
      <c r="C1039" s="3"/>
      <c r="D1039" s="3"/>
      <c r="E1039" s="3"/>
      <c r="H1039" s="3"/>
    </row>
    <row r="1040" spans="3:8" x14ac:dyDescent="0.2">
      <c r="C1040" s="3"/>
      <c r="D1040" s="3"/>
      <c r="E1040" s="3"/>
      <c r="H1040" s="3"/>
    </row>
    <row r="1041" spans="3:8" x14ac:dyDescent="0.2">
      <c r="C1041" s="3"/>
      <c r="D1041" s="3"/>
      <c r="E1041" s="3"/>
      <c r="H1041" s="3"/>
    </row>
    <row r="1042" spans="3:8" x14ac:dyDescent="0.2">
      <c r="C1042" s="3"/>
      <c r="D1042" s="3"/>
      <c r="E1042" s="3"/>
      <c r="H1042" s="3"/>
    </row>
    <row r="1043" spans="3:8" x14ac:dyDescent="0.2">
      <c r="C1043" s="3"/>
      <c r="D1043" s="3"/>
      <c r="E1043" s="3"/>
      <c r="H1043" s="3"/>
    </row>
    <row r="1044" spans="3:8" x14ac:dyDescent="0.2">
      <c r="C1044" s="3"/>
      <c r="D1044" s="3"/>
      <c r="E1044" s="3"/>
      <c r="H1044" s="3"/>
    </row>
    <row r="1045" spans="3:8" x14ac:dyDescent="0.2">
      <c r="C1045" s="3"/>
      <c r="D1045" s="3"/>
      <c r="E1045" s="3"/>
      <c r="H1045" s="3"/>
    </row>
    <row r="1046" spans="3:8" x14ac:dyDescent="0.2">
      <c r="C1046" s="3"/>
      <c r="D1046" s="3"/>
      <c r="E1046" s="3"/>
      <c r="H1046" s="3"/>
    </row>
    <row r="1047" spans="3:8" x14ac:dyDescent="0.2">
      <c r="C1047" s="3"/>
      <c r="D1047" s="3"/>
      <c r="E1047" s="3"/>
      <c r="H1047" s="3"/>
    </row>
    <row r="1048" spans="3:8" x14ac:dyDescent="0.2">
      <c r="C1048" s="3"/>
      <c r="D1048" s="3"/>
      <c r="E1048" s="3"/>
      <c r="H1048" s="3"/>
    </row>
    <row r="1049" spans="3:8" x14ac:dyDescent="0.2">
      <c r="C1049" s="3"/>
      <c r="D1049" s="3"/>
      <c r="E1049" s="3"/>
      <c r="H1049" s="3"/>
    </row>
    <row r="1050" spans="3:8" x14ac:dyDescent="0.2">
      <c r="C1050" s="3"/>
      <c r="D1050" s="3"/>
      <c r="E1050" s="3"/>
      <c r="H1050" s="3"/>
    </row>
    <row r="1051" spans="3:8" x14ac:dyDescent="0.2">
      <c r="C1051" s="3"/>
      <c r="D1051" s="3"/>
      <c r="E1051" s="3"/>
      <c r="H1051" s="3"/>
    </row>
    <row r="1052" spans="3:8" x14ac:dyDescent="0.2">
      <c r="C1052" s="3"/>
      <c r="D1052" s="3"/>
      <c r="E1052" s="3"/>
      <c r="H1052" s="3"/>
    </row>
    <row r="1053" spans="3:8" x14ac:dyDescent="0.2">
      <c r="C1053" s="3"/>
      <c r="D1053" s="3"/>
      <c r="E1053" s="3"/>
      <c r="H1053" s="3"/>
    </row>
    <row r="1054" spans="3:8" x14ac:dyDescent="0.2">
      <c r="C1054" s="3"/>
      <c r="D1054" s="3"/>
      <c r="E1054" s="3"/>
      <c r="H1054" s="3"/>
    </row>
    <row r="1055" spans="3:8" x14ac:dyDescent="0.2">
      <c r="C1055" s="3"/>
      <c r="D1055" s="3"/>
      <c r="E1055" s="3"/>
      <c r="H1055" s="3"/>
    </row>
    <row r="1056" spans="3:8" x14ac:dyDescent="0.2">
      <c r="C1056" s="3"/>
      <c r="D1056" s="3"/>
      <c r="E1056" s="3"/>
      <c r="H1056" s="3"/>
    </row>
    <row r="1057" spans="3:8" x14ac:dyDescent="0.2">
      <c r="C1057" s="3"/>
      <c r="D1057" s="3"/>
      <c r="E1057" s="3"/>
      <c r="H1057" s="3"/>
    </row>
    <row r="1058" spans="3:8" x14ac:dyDescent="0.2">
      <c r="C1058" s="3"/>
      <c r="D1058" s="3"/>
      <c r="E1058" s="3"/>
      <c r="H1058" s="3"/>
    </row>
    <row r="1059" spans="3:8" x14ac:dyDescent="0.2">
      <c r="C1059" s="3"/>
      <c r="D1059" s="3"/>
      <c r="E1059" s="3"/>
      <c r="H1059" s="3"/>
    </row>
    <row r="1060" spans="3:8" x14ac:dyDescent="0.2">
      <c r="C1060" s="3"/>
      <c r="D1060" s="3"/>
      <c r="E1060" s="3"/>
      <c r="H1060" s="3"/>
    </row>
    <row r="1061" spans="3:8" x14ac:dyDescent="0.2">
      <c r="C1061" s="3"/>
      <c r="D1061" s="3"/>
      <c r="E1061" s="3"/>
      <c r="H1061" s="3"/>
    </row>
    <row r="1062" spans="3:8" x14ac:dyDescent="0.2">
      <c r="C1062" s="3"/>
      <c r="D1062" s="3"/>
      <c r="E1062" s="3"/>
      <c r="H1062" s="3"/>
    </row>
    <row r="1063" spans="3:8" x14ac:dyDescent="0.2">
      <c r="C1063" s="3"/>
      <c r="D1063" s="3"/>
      <c r="E1063" s="3"/>
      <c r="H1063" s="3"/>
    </row>
    <row r="1064" spans="3:8" x14ac:dyDescent="0.2">
      <c r="C1064" s="3"/>
      <c r="D1064" s="3"/>
      <c r="E1064" s="3"/>
      <c r="H1064" s="3"/>
    </row>
    <row r="1065" spans="3:8" x14ac:dyDescent="0.2">
      <c r="C1065" s="3"/>
      <c r="D1065" s="3"/>
      <c r="E1065" s="3"/>
      <c r="H1065" s="3"/>
    </row>
    <row r="1066" spans="3:8" x14ac:dyDescent="0.2">
      <c r="C1066" s="3"/>
      <c r="D1066" s="3"/>
      <c r="E1066" s="3"/>
      <c r="H1066" s="3"/>
    </row>
    <row r="1067" spans="3:8" x14ac:dyDescent="0.2">
      <c r="C1067" s="3"/>
      <c r="D1067" s="3"/>
      <c r="E1067" s="3"/>
      <c r="H1067" s="3"/>
    </row>
    <row r="1068" spans="3:8" x14ac:dyDescent="0.2">
      <c r="C1068" s="3"/>
      <c r="D1068" s="3"/>
      <c r="E1068" s="3"/>
      <c r="H1068" s="3"/>
    </row>
    <row r="1069" spans="3:8" x14ac:dyDescent="0.2">
      <c r="C1069" s="3"/>
      <c r="D1069" s="3"/>
      <c r="E1069" s="3"/>
      <c r="H1069" s="3"/>
    </row>
    <row r="1070" spans="3:8" x14ac:dyDescent="0.2">
      <c r="C1070" s="3"/>
      <c r="D1070" s="3"/>
      <c r="E1070" s="3"/>
      <c r="H1070" s="3"/>
    </row>
    <row r="1071" spans="3:8" x14ac:dyDescent="0.2">
      <c r="C1071" s="3"/>
      <c r="D1071" s="3"/>
      <c r="E1071" s="3"/>
      <c r="H1071" s="3"/>
    </row>
    <row r="1072" spans="3:8" x14ac:dyDescent="0.2">
      <c r="C1072" s="3"/>
      <c r="D1072" s="3"/>
      <c r="E1072" s="3"/>
      <c r="H1072" s="3"/>
    </row>
    <row r="1073" spans="3:8" x14ac:dyDescent="0.2">
      <c r="C1073" s="3"/>
      <c r="D1073" s="3"/>
      <c r="E1073" s="3"/>
      <c r="H1073" s="3"/>
    </row>
    <row r="1074" spans="3:8" x14ac:dyDescent="0.2">
      <c r="C1074" s="3"/>
      <c r="D1074" s="3"/>
      <c r="E1074" s="3"/>
      <c r="H1074" s="3"/>
    </row>
    <row r="1075" spans="3:8" x14ac:dyDescent="0.2">
      <c r="C1075" s="3"/>
      <c r="D1075" s="3"/>
      <c r="E1075" s="3"/>
      <c r="H1075" s="3"/>
    </row>
    <row r="1076" spans="3:8" x14ac:dyDescent="0.2">
      <c r="C1076" s="3"/>
      <c r="D1076" s="3"/>
      <c r="E1076" s="3"/>
      <c r="H1076" s="3"/>
    </row>
    <row r="1077" spans="3:8" x14ac:dyDescent="0.2">
      <c r="C1077" s="3"/>
      <c r="D1077" s="3"/>
      <c r="E1077" s="3"/>
      <c r="H1077" s="3"/>
    </row>
    <row r="1078" spans="3:8" x14ac:dyDescent="0.2">
      <c r="C1078" s="3"/>
      <c r="D1078" s="3"/>
      <c r="E1078" s="3"/>
      <c r="H1078" s="3"/>
    </row>
    <row r="1079" spans="3:8" x14ac:dyDescent="0.2">
      <c r="C1079" s="3"/>
      <c r="D1079" s="3"/>
      <c r="E1079" s="3"/>
      <c r="H1079" s="3"/>
    </row>
    <row r="1080" spans="3:8" x14ac:dyDescent="0.2">
      <c r="C1080" s="3"/>
      <c r="D1080" s="3"/>
      <c r="E1080" s="3"/>
      <c r="H1080" s="3"/>
    </row>
    <row r="1081" spans="3:8" x14ac:dyDescent="0.2">
      <c r="C1081" s="3"/>
      <c r="D1081" s="3"/>
      <c r="E1081" s="3"/>
      <c r="H1081" s="3"/>
    </row>
    <row r="1082" spans="3:8" x14ac:dyDescent="0.2">
      <c r="C1082" s="3"/>
      <c r="D1082" s="3"/>
      <c r="E1082" s="3"/>
      <c r="H1082" s="3"/>
    </row>
    <row r="1083" spans="3:8" x14ac:dyDescent="0.2">
      <c r="C1083" s="3"/>
      <c r="D1083" s="3"/>
      <c r="E1083" s="3"/>
      <c r="H1083" s="3"/>
    </row>
    <row r="1084" spans="3:8" x14ac:dyDescent="0.2">
      <c r="C1084" s="3"/>
      <c r="D1084" s="3"/>
      <c r="E1084" s="3"/>
      <c r="H1084" s="3"/>
    </row>
    <row r="1085" spans="3:8" x14ac:dyDescent="0.2">
      <c r="C1085" s="3"/>
      <c r="D1085" s="3"/>
      <c r="E1085" s="3"/>
      <c r="H1085" s="3"/>
    </row>
    <row r="1086" spans="3:8" x14ac:dyDescent="0.2">
      <c r="C1086" s="3"/>
      <c r="D1086" s="3"/>
      <c r="E1086" s="3"/>
      <c r="H1086" s="3"/>
    </row>
    <row r="1087" spans="3:8" x14ac:dyDescent="0.2">
      <c r="C1087" s="3"/>
      <c r="D1087" s="3"/>
      <c r="E1087" s="3"/>
      <c r="H1087" s="3"/>
    </row>
    <row r="1088" spans="3:8" x14ac:dyDescent="0.2">
      <c r="C1088" s="3"/>
      <c r="D1088" s="3"/>
      <c r="E1088" s="3"/>
      <c r="H1088" s="3"/>
    </row>
    <row r="1089" spans="3:8" x14ac:dyDescent="0.2">
      <c r="C1089" s="3"/>
      <c r="D1089" s="3"/>
      <c r="E1089" s="3"/>
      <c r="H1089" s="3"/>
    </row>
    <row r="1090" spans="3:8" x14ac:dyDescent="0.2">
      <c r="C1090" s="3"/>
      <c r="D1090" s="3"/>
      <c r="E1090" s="3"/>
      <c r="H1090" s="3"/>
    </row>
    <row r="1091" spans="3:8" x14ac:dyDescent="0.2">
      <c r="C1091" s="3"/>
      <c r="D1091" s="3"/>
      <c r="E1091" s="3"/>
      <c r="H1091" s="3"/>
    </row>
    <row r="1092" spans="3:8" x14ac:dyDescent="0.2">
      <c r="C1092" s="3"/>
      <c r="D1092" s="3"/>
      <c r="E1092" s="3"/>
      <c r="H1092" s="3"/>
    </row>
    <row r="1093" spans="3:8" x14ac:dyDescent="0.2">
      <c r="C1093" s="3"/>
      <c r="D1093" s="3"/>
      <c r="E1093" s="3"/>
      <c r="H1093" s="3"/>
    </row>
    <row r="1094" spans="3:8" x14ac:dyDescent="0.2">
      <c r="C1094" s="3"/>
      <c r="D1094" s="3"/>
      <c r="E1094" s="3"/>
      <c r="H1094" s="3"/>
    </row>
    <row r="1095" spans="3:8" x14ac:dyDescent="0.2">
      <c r="C1095" s="3"/>
      <c r="D1095" s="3"/>
      <c r="E1095" s="3"/>
      <c r="H1095" s="3"/>
    </row>
    <row r="1096" spans="3:8" x14ac:dyDescent="0.2">
      <c r="C1096" s="3"/>
      <c r="D1096" s="3"/>
      <c r="E1096" s="3"/>
      <c r="H1096" s="3"/>
    </row>
    <row r="1097" spans="3:8" x14ac:dyDescent="0.2">
      <c r="C1097" s="3"/>
      <c r="D1097" s="3"/>
      <c r="E1097" s="3"/>
      <c r="H1097" s="3"/>
    </row>
    <row r="1098" spans="3:8" x14ac:dyDescent="0.2">
      <c r="C1098" s="3"/>
      <c r="D1098" s="3"/>
      <c r="E1098" s="3"/>
      <c r="H1098" s="3"/>
    </row>
    <row r="1099" spans="3:8" x14ac:dyDescent="0.2">
      <c r="C1099" s="3"/>
      <c r="D1099" s="3"/>
      <c r="E1099" s="3"/>
      <c r="H1099" s="3"/>
    </row>
    <row r="1100" spans="3:8" x14ac:dyDescent="0.2">
      <c r="C1100" s="3"/>
      <c r="D1100" s="3"/>
      <c r="E1100" s="3"/>
      <c r="H1100" s="3"/>
    </row>
    <row r="1101" spans="3:8" x14ac:dyDescent="0.2">
      <c r="C1101" s="3"/>
      <c r="D1101" s="3"/>
      <c r="E1101" s="3"/>
      <c r="H1101" s="3"/>
    </row>
    <row r="1102" spans="3:8" x14ac:dyDescent="0.2">
      <c r="C1102" s="3"/>
      <c r="D1102" s="3"/>
      <c r="E1102" s="3"/>
      <c r="H1102" s="3"/>
    </row>
    <row r="1103" spans="3:8" x14ac:dyDescent="0.2">
      <c r="C1103" s="3"/>
      <c r="D1103" s="3"/>
      <c r="E1103" s="3"/>
      <c r="H1103" s="3"/>
    </row>
    <row r="1104" spans="3:8" x14ac:dyDescent="0.2">
      <c r="C1104" s="3"/>
      <c r="D1104" s="3"/>
      <c r="E1104" s="3"/>
      <c r="H1104" s="3"/>
    </row>
    <row r="1105" spans="3:8" x14ac:dyDescent="0.2">
      <c r="C1105" s="3"/>
      <c r="D1105" s="3"/>
      <c r="E1105" s="3"/>
      <c r="H1105" s="3"/>
    </row>
    <row r="1106" spans="3:8" x14ac:dyDescent="0.2">
      <c r="C1106" s="3"/>
      <c r="D1106" s="3"/>
      <c r="E1106" s="3"/>
      <c r="H1106" s="3"/>
    </row>
    <row r="1107" spans="3:8" x14ac:dyDescent="0.2">
      <c r="C1107" s="3"/>
      <c r="D1107" s="3"/>
      <c r="E1107" s="3"/>
      <c r="H1107" s="3"/>
    </row>
    <row r="1108" spans="3:8" x14ac:dyDescent="0.2">
      <c r="C1108" s="3"/>
      <c r="D1108" s="3"/>
      <c r="E1108" s="3"/>
      <c r="H1108" s="3"/>
    </row>
    <row r="1109" spans="3:8" x14ac:dyDescent="0.2">
      <c r="C1109" s="3"/>
      <c r="D1109" s="3"/>
      <c r="E1109" s="3"/>
      <c r="H1109" s="3"/>
    </row>
    <row r="1110" spans="3:8" x14ac:dyDescent="0.2">
      <c r="C1110" s="3"/>
      <c r="D1110" s="3"/>
      <c r="E1110" s="3"/>
      <c r="H1110" s="3"/>
    </row>
    <row r="1111" spans="3:8" x14ac:dyDescent="0.2">
      <c r="C1111" s="3"/>
      <c r="D1111" s="3"/>
      <c r="E1111" s="3"/>
      <c r="H1111" s="3"/>
    </row>
    <row r="1112" spans="3:8" x14ac:dyDescent="0.2">
      <c r="C1112" s="3"/>
      <c r="D1112" s="3"/>
      <c r="E1112" s="3"/>
      <c r="H1112" s="3"/>
    </row>
    <row r="1113" spans="3:8" x14ac:dyDescent="0.2">
      <c r="C1113" s="3"/>
      <c r="D1113" s="3"/>
      <c r="E1113" s="3"/>
      <c r="H1113" s="3"/>
    </row>
    <row r="1114" spans="3:8" x14ac:dyDescent="0.2">
      <c r="C1114" s="3"/>
      <c r="D1114" s="3"/>
      <c r="E1114" s="3"/>
      <c r="H1114" s="3"/>
    </row>
    <row r="1115" spans="3:8" x14ac:dyDescent="0.2">
      <c r="C1115" s="3"/>
      <c r="D1115" s="3"/>
      <c r="E1115" s="3"/>
      <c r="H1115" s="3"/>
    </row>
    <row r="1116" spans="3:8" x14ac:dyDescent="0.2">
      <c r="C1116" s="3"/>
      <c r="D1116" s="3"/>
      <c r="E1116" s="3"/>
      <c r="H1116" s="3"/>
    </row>
    <row r="1117" spans="3:8" x14ac:dyDescent="0.2">
      <c r="C1117" s="3"/>
      <c r="D1117" s="3"/>
      <c r="E1117" s="3"/>
      <c r="H1117" s="3"/>
    </row>
    <row r="1118" spans="3:8" x14ac:dyDescent="0.2">
      <c r="C1118" s="3"/>
      <c r="D1118" s="3"/>
      <c r="E1118" s="3"/>
      <c r="H1118" s="3"/>
    </row>
    <row r="1119" spans="3:8" x14ac:dyDescent="0.2">
      <c r="C1119" s="3"/>
      <c r="D1119" s="3"/>
      <c r="E1119" s="3"/>
      <c r="H1119" s="3"/>
    </row>
    <row r="1120" spans="3:8" x14ac:dyDescent="0.2">
      <c r="C1120" s="3"/>
      <c r="D1120" s="3"/>
      <c r="E1120" s="3"/>
      <c r="H1120" s="3"/>
    </row>
    <row r="1121" spans="3:8" x14ac:dyDescent="0.2">
      <c r="C1121" s="3"/>
      <c r="D1121" s="3"/>
      <c r="E1121" s="3"/>
      <c r="H1121" s="3"/>
    </row>
    <row r="1122" spans="3:8" x14ac:dyDescent="0.2">
      <c r="C1122" s="3"/>
      <c r="D1122" s="3"/>
      <c r="E1122" s="3"/>
      <c r="H1122" s="3"/>
    </row>
    <row r="1123" spans="3:8" x14ac:dyDescent="0.2">
      <c r="C1123" s="3"/>
      <c r="D1123" s="3"/>
      <c r="E1123" s="3"/>
      <c r="H1123" s="3"/>
    </row>
    <row r="1124" spans="3:8" x14ac:dyDescent="0.2">
      <c r="C1124" s="3"/>
      <c r="D1124" s="3"/>
      <c r="E1124" s="3"/>
      <c r="H1124" s="3"/>
    </row>
    <row r="1125" spans="3:8" x14ac:dyDescent="0.2">
      <c r="C1125" s="3"/>
      <c r="D1125" s="3"/>
      <c r="E1125" s="3"/>
      <c r="H1125" s="3"/>
    </row>
    <row r="1126" spans="3:8" x14ac:dyDescent="0.2">
      <c r="C1126" s="3"/>
      <c r="D1126" s="3"/>
      <c r="E1126" s="3"/>
      <c r="H1126" s="3"/>
    </row>
    <row r="1127" spans="3:8" x14ac:dyDescent="0.2">
      <c r="C1127" s="3"/>
      <c r="D1127" s="3"/>
      <c r="E1127" s="3"/>
      <c r="H1127" s="3"/>
    </row>
    <row r="1128" spans="3:8" x14ac:dyDescent="0.2">
      <c r="C1128" s="3"/>
      <c r="D1128" s="3"/>
      <c r="E1128" s="3"/>
      <c r="H1128" s="3"/>
    </row>
    <row r="1129" spans="3:8" x14ac:dyDescent="0.2">
      <c r="C1129" s="3"/>
      <c r="D1129" s="3"/>
      <c r="E1129" s="3"/>
      <c r="H1129" s="3"/>
    </row>
    <row r="1130" spans="3:8" x14ac:dyDescent="0.2">
      <c r="C1130" s="3"/>
      <c r="D1130" s="3"/>
      <c r="E1130" s="3"/>
      <c r="H1130" s="3"/>
    </row>
    <row r="1131" spans="3:8" x14ac:dyDescent="0.2">
      <c r="C1131" s="3"/>
      <c r="D1131" s="3"/>
      <c r="E1131" s="3"/>
      <c r="H1131" s="3"/>
    </row>
    <row r="1132" spans="3:8" x14ac:dyDescent="0.2">
      <c r="C1132" s="3"/>
      <c r="D1132" s="3"/>
      <c r="E1132" s="3"/>
      <c r="H1132" s="3"/>
    </row>
    <row r="1133" spans="3:8" x14ac:dyDescent="0.2">
      <c r="C1133" s="3"/>
      <c r="D1133" s="3"/>
      <c r="E1133" s="3"/>
      <c r="H1133" s="3"/>
    </row>
    <row r="1134" spans="3:8" x14ac:dyDescent="0.2">
      <c r="C1134" s="3"/>
      <c r="D1134" s="3"/>
      <c r="E1134" s="3"/>
      <c r="H1134" s="3"/>
    </row>
    <row r="1135" spans="3:8" x14ac:dyDescent="0.2">
      <c r="C1135" s="3"/>
      <c r="D1135" s="3"/>
      <c r="E1135" s="3"/>
      <c r="H1135" s="3"/>
    </row>
    <row r="1136" spans="3:8" x14ac:dyDescent="0.2">
      <c r="C1136" s="3"/>
      <c r="D1136" s="3"/>
      <c r="E1136" s="3"/>
      <c r="H1136" s="3"/>
    </row>
    <row r="1137" spans="3:8" x14ac:dyDescent="0.2">
      <c r="C1137" s="3"/>
      <c r="D1137" s="3"/>
      <c r="E1137" s="3"/>
      <c r="H1137" s="3"/>
    </row>
    <row r="1138" spans="3:8" x14ac:dyDescent="0.2">
      <c r="C1138" s="3"/>
      <c r="D1138" s="3"/>
      <c r="E1138" s="3"/>
      <c r="H1138" s="3"/>
    </row>
    <row r="1139" spans="3:8" x14ac:dyDescent="0.2">
      <c r="C1139" s="3"/>
      <c r="D1139" s="3"/>
      <c r="E1139" s="3"/>
      <c r="H1139" s="3"/>
    </row>
    <row r="1140" spans="3:8" x14ac:dyDescent="0.2">
      <c r="C1140" s="3"/>
      <c r="D1140" s="3"/>
      <c r="E1140" s="3"/>
      <c r="H1140" s="3"/>
    </row>
    <row r="1141" spans="3:8" x14ac:dyDescent="0.2">
      <c r="C1141" s="3"/>
      <c r="D1141" s="3"/>
      <c r="E1141" s="3"/>
      <c r="H1141" s="3"/>
    </row>
    <row r="1142" spans="3:8" x14ac:dyDescent="0.2">
      <c r="C1142" s="3"/>
      <c r="D1142" s="3"/>
      <c r="E1142" s="3"/>
      <c r="H1142" s="3"/>
    </row>
    <row r="1143" spans="3:8" x14ac:dyDescent="0.2">
      <c r="C1143" s="3"/>
      <c r="D1143" s="3"/>
      <c r="E1143" s="3"/>
      <c r="H1143" s="3"/>
    </row>
    <row r="1144" spans="3:8" x14ac:dyDescent="0.2">
      <c r="C1144" s="3"/>
      <c r="D1144" s="3"/>
      <c r="E1144" s="3"/>
      <c r="H1144" s="3"/>
    </row>
    <row r="1145" spans="3:8" x14ac:dyDescent="0.2">
      <c r="C1145" s="3"/>
      <c r="D1145" s="3"/>
      <c r="E1145" s="3"/>
      <c r="H1145" s="3"/>
    </row>
    <row r="1146" spans="3:8" x14ac:dyDescent="0.2">
      <c r="C1146" s="3"/>
      <c r="D1146" s="3"/>
      <c r="E1146" s="3"/>
      <c r="H1146" s="3"/>
    </row>
    <row r="1147" spans="3:8" x14ac:dyDescent="0.2">
      <c r="C1147" s="3"/>
      <c r="D1147" s="3"/>
      <c r="E1147" s="3"/>
      <c r="H1147" s="3"/>
    </row>
    <row r="1148" spans="3:8" x14ac:dyDescent="0.2">
      <c r="C1148" s="3"/>
      <c r="D1148" s="3"/>
      <c r="E1148" s="3"/>
      <c r="H1148" s="3"/>
    </row>
    <row r="1149" spans="3:8" x14ac:dyDescent="0.2">
      <c r="C1149" s="3"/>
      <c r="D1149" s="3"/>
      <c r="E1149" s="3"/>
      <c r="H1149" s="3"/>
    </row>
    <row r="1150" spans="3:8" x14ac:dyDescent="0.2">
      <c r="C1150" s="3"/>
      <c r="D1150" s="3"/>
      <c r="E1150" s="3"/>
      <c r="H1150" s="3"/>
    </row>
    <row r="1151" spans="3:8" x14ac:dyDescent="0.2">
      <c r="C1151" s="3"/>
      <c r="D1151" s="3"/>
      <c r="E1151" s="3"/>
      <c r="H1151" s="3"/>
    </row>
    <row r="1152" spans="3:8" x14ac:dyDescent="0.2">
      <c r="C1152" s="3"/>
      <c r="D1152" s="3"/>
      <c r="E1152" s="3"/>
      <c r="H1152" s="3"/>
    </row>
    <row r="1153" spans="3:8" x14ac:dyDescent="0.2">
      <c r="C1153" s="3"/>
      <c r="D1153" s="3"/>
      <c r="E1153" s="3"/>
      <c r="H1153" s="3"/>
    </row>
    <row r="1154" spans="3:8" x14ac:dyDescent="0.2">
      <c r="C1154" s="3"/>
      <c r="D1154" s="3"/>
      <c r="E1154" s="3"/>
      <c r="H1154" s="3"/>
    </row>
    <row r="1155" spans="3:8" x14ac:dyDescent="0.2">
      <c r="C1155" s="3"/>
      <c r="D1155" s="3"/>
      <c r="E1155" s="3"/>
      <c r="H1155" s="3"/>
    </row>
    <row r="1156" spans="3:8" x14ac:dyDescent="0.2">
      <c r="C1156" s="3"/>
      <c r="D1156" s="3"/>
      <c r="E1156" s="3"/>
      <c r="H1156" s="3"/>
    </row>
    <row r="1157" spans="3:8" x14ac:dyDescent="0.2">
      <c r="C1157" s="3"/>
      <c r="D1157" s="3"/>
      <c r="E1157" s="3"/>
      <c r="H1157" s="3"/>
    </row>
    <row r="1158" spans="3:8" x14ac:dyDescent="0.2">
      <c r="C1158" s="3"/>
      <c r="D1158" s="3"/>
      <c r="E1158" s="3"/>
      <c r="H1158" s="3"/>
    </row>
    <row r="1159" spans="3:8" x14ac:dyDescent="0.2">
      <c r="C1159" s="3"/>
      <c r="D1159" s="3"/>
      <c r="E1159" s="3"/>
      <c r="H1159" s="3"/>
    </row>
    <row r="1160" spans="3:8" x14ac:dyDescent="0.2">
      <c r="C1160" s="3"/>
      <c r="D1160" s="3"/>
      <c r="E1160" s="3"/>
      <c r="H1160" s="3"/>
    </row>
    <row r="1161" spans="3:8" x14ac:dyDescent="0.2">
      <c r="C1161" s="3"/>
      <c r="D1161" s="3"/>
      <c r="E1161" s="3"/>
      <c r="H1161" s="3"/>
    </row>
    <row r="1162" spans="3:8" x14ac:dyDescent="0.2">
      <c r="C1162" s="3"/>
      <c r="D1162" s="3"/>
      <c r="E1162" s="3"/>
      <c r="H1162" s="3"/>
    </row>
    <row r="1163" spans="3:8" x14ac:dyDescent="0.2">
      <c r="C1163" s="3"/>
      <c r="D1163" s="3"/>
      <c r="E1163" s="3"/>
      <c r="H1163" s="3"/>
    </row>
    <row r="1164" spans="3:8" x14ac:dyDescent="0.2">
      <c r="C1164" s="3"/>
      <c r="D1164" s="3"/>
      <c r="E1164" s="3"/>
      <c r="H1164" s="3"/>
    </row>
    <row r="1165" spans="3:8" x14ac:dyDescent="0.2">
      <c r="C1165" s="3"/>
      <c r="D1165" s="3"/>
      <c r="E1165" s="3"/>
      <c r="H1165" s="3"/>
    </row>
    <row r="1166" spans="3:8" x14ac:dyDescent="0.2">
      <c r="C1166" s="3"/>
      <c r="D1166" s="3"/>
      <c r="E1166" s="3"/>
      <c r="H1166" s="3"/>
    </row>
    <row r="1167" spans="3:8" x14ac:dyDescent="0.2">
      <c r="C1167" s="3"/>
      <c r="D1167" s="3"/>
      <c r="E1167" s="3"/>
      <c r="H1167" s="3"/>
    </row>
    <row r="1168" spans="3:8" x14ac:dyDescent="0.2">
      <c r="C1168" s="3"/>
      <c r="D1168" s="3"/>
      <c r="E1168" s="3"/>
      <c r="H1168" s="3"/>
    </row>
    <row r="1169" spans="3:8" x14ac:dyDescent="0.2">
      <c r="C1169" s="3"/>
      <c r="D1169" s="3"/>
      <c r="E1169" s="3"/>
      <c r="H1169" s="3"/>
    </row>
    <row r="1170" spans="3:8" x14ac:dyDescent="0.2">
      <c r="C1170" s="3"/>
      <c r="D1170" s="3"/>
      <c r="E1170" s="3"/>
      <c r="H1170" s="3"/>
    </row>
    <row r="1171" spans="3:8" x14ac:dyDescent="0.2">
      <c r="C1171" s="3"/>
      <c r="D1171" s="3"/>
      <c r="E1171" s="3"/>
      <c r="H1171" s="3"/>
    </row>
    <row r="1172" spans="3:8" x14ac:dyDescent="0.2">
      <c r="C1172" s="3"/>
      <c r="D1172" s="3"/>
      <c r="E1172" s="3"/>
      <c r="H1172" s="3"/>
    </row>
    <row r="1173" spans="3:8" x14ac:dyDescent="0.2">
      <c r="C1173" s="3"/>
      <c r="D1173" s="3"/>
      <c r="E1173" s="3"/>
      <c r="H1173" s="3"/>
    </row>
    <row r="1174" spans="3:8" x14ac:dyDescent="0.2">
      <c r="C1174" s="3"/>
      <c r="D1174" s="3"/>
      <c r="E1174" s="3"/>
      <c r="H1174" s="3"/>
    </row>
    <row r="1175" spans="3:8" x14ac:dyDescent="0.2">
      <c r="C1175" s="3"/>
      <c r="D1175" s="3"/>
      <c r="E1175" s="3"/>
      <c r="H1175" s="3"/>
    </row>
    <row r="1176" spans="3:8" x14ac:dyDescent="0.2">
      <c r="C1176" s="3"/>
      <c r="D1176" s="3"/>
      <c r="E1176" s="3"/>
      <c r="H1176" s="3"/>
    </row>
    <row r="1177" spans="3:8" x14ac:dyDescent="0.2">
      <c r="C1177" s="3"/>
      <c r="D1177" s="3"/>
      <c r="E1177" s="3"/>
      <c r="H1177" s="3"/>
    </row>
    <row r="1178" spans="3:8" x14ac:dyDescent="0.2">
      <c r="C1178" s="3"/>
      <c r="D1178" s="3"/>
      <c r="E1178" s="3"/>
      <c r="H1178" s="3"/>
    </row>
    <row r="1179" spans="3:8" x14ac:dyDescent="0.2">
      <c r="C1179" s="3"/>
      <c r="D1179" s="3"/>
      <c r="E1179" s="3"/>
      <c r="H1179" s="3"/>
    </row>
    <row r="1180" spans="3:8" x14ac:dyDescent="0.2">
      <c r="C1180" s="3"/>
      <c r="D1180" s="3"/>
      <c r="E1180" s="3"/>
      <c r="H1180" s="3"/>
    </row>
    <row r="1181" spans="3:8" x14ac:dyDescent="0.2">
      <c r="C1181" s="3"/>
      <c r="D1181" s="3"/>
      <c r="E1181" s="3"/>
      <c r="H1181" s="3"/>
    </row>
    <row r="1182" spans="3:8" x14ac:dyDescent="0.2">
      <c r="C1182" s="3"/>
      <c r="D1182" s="3"/>
      <c r="E1182" s="3"/>
      <c r="H1182" s="3"/>
    </row>
    <row r="1183" spans="3:8" x14ac:dyDescent="0.2">
      <c r="C1183" s="3"/>
      <c r="D1183" s="3"/>
      <c r="E1183" s="3"/>
      <c r="H1183" s="3"/>
    </row>
    <row r="1184" spans="3:8" x14ac:dyDescent="0.2">
      <c r="C1184" s="3"/>
      <c r="D1184" s="3"/>
      <c r="E1184" s="3"/>
      <c r="H1184" s="3"/>
    </row>
    <row r="1185" spans="3:8" x14ac:dyDescent="0.2">
      <c r="C1185" s="3"/>
      <c r="D1185" s="3"/>
      <c r="E1185" s="3"/>
      <c r="H1185" s="3"/>
    </row>
    <row r="1186" spans="3:8" x14ac:dyDescent="0.2">
      <c r="H1186" s="3"/>
    </row>
  </sheetData>
  <sheetProtection password="F6CC" sheet="1" objects="1" scenarios="1" formatCells="0" formatColumns="0" formatRows="0" insertHyperlinks="0" sort="0" autoFilter="0" pivotTables="0"/>
  <mergeCells count="26">
    <mergeCell ref="L9:M9"/>
    <mergeCell ref="B1:E1"/>
    <mergeCell ref="B2:E2"/>
    <mergeCell ref="B3:E3"/>
    <mergeCell ref="B4:E4"/>
    <mergeCell ref="B6:C7"/>
    <mergeCell ref="B40:D40"/>
    <mergeCell ref="L10:M10"/>
    <mergeCell ref="L11:M11"/>
    <mergeCell ref="J14:M16"/>
    <mergeCell ref="J17:M22"/>
    <mergeCell ref="J23:M27"/>
    <mergeCell ref="J28:M30"/>
    <mergeCell ref="J35:K35"/>
    <mergeCell ref="J36:K36"/>
    <mergeCell ref="J37:K37"/>
    <mergeCell ref="J38:K38"/>
    <mergeCell ref="C39:D39"/>
    <mergeCell ref="C61:E61"/>
    <mergeCell ref="F62:H62"/>
    <mergeCell ref="B41:D41"/>
    <mergeCell ref="B42:D42"/>
    <mergeCell ref="B44:D44"/>
    <mergeCell ref="C46:E46"/>
    <mergeCell ref="C51:E51"/>
    <mergeCell ref="C52:E52"/>
  </mergeCells>
  <printOptions horizontalCentered="1"/>
  <pageMargins left="0.75" right="0.75" top="1" bottom="1" header="0.5" footer="0.5"/>
  <pageSetup scale="70" orientation="portrait" blackAndWhite="1" horizontalDpi="300" verticalDpi="300" r:id="rId1"/>
  <headerFooter alignWithMargins="0">
    <oddHeader>&amp;LPrinted: &amp;D
&amp;T&amp;CType A Data&amp;RFile: &amp;F  
Sheet: &amp;A</oddHeader>
    <oddFooter>Page &amp;P of &amp;N</oddFooter>
  </headerFooter>
  <drawing r:id="rId2"/>
  <legacyDrawing r:id="rId3"/>
  <oleObjects>
    <mc:AlternateContent xmlns:mc="http://schemas.openxmlformats.org/markup-compatibility/2006">
      <mc:Choice Requires="x14">
        <oleObject progId="Equation.DSMT4" shapeId="7169" r:id="rId4">
          <objectPr defaultSize="0" autoPict="0" r:id="rId5">
            <anchor moveWithCells="1" sizeWithCells="1">
              <from>
                <xdr:col>1</xdr:col>
                <xdr:colOff>1066800</xdr:colOff>
                <xdr:row>4</xdr:row>
                <xdr:rowOff>133350</xdr:rowOff>
              </from>
              <to>
                <xdr:col>3</xdr:col>
                <xdr:colOff>0</xdr:colOff>
                <xdr:row>4</xdr:row>
                <xdr:rowOff>923925</xdr:rowOff>
              </to>
            </anchor>
          </objectPr>
        </oleObject>
      </mc:Choice>
      <mc:Fallback>
        <oleObject progId="Equation.DSMT4" shapeId="7169" r:id="rId4"/>
      </mc:Fallback>
    </mc:AlternateContent>
    <mc:AlternateContent xmlns:mc="http://schemas.openxmlformats.org/markup-compatibility/2006">
      <mc:Choice Requires="x14">
        <oleObject progId="Equation.DSMT4" shapeId="7170" r:id="rId6">
          <objectPr defaultSize="0" autoPict="0" r:id="rId7">
            <anchor moveWithCells="1" sizeWithCells="1">
              <from>
                <xdr:col>4</xdr:col>
                <xdr:colOff>9525</xdr:colOff>
                <xdr:row>43</xdr:row>
                <xdr:rowOff>9525</xdr:rowOff>
              </from>
              <to>
                <xdr:col>4</xdr:col>
                <xdr:colOff>1323975</xdr:colOff>
                <xdr:row>43</xdr:row>
                <xdr:rowOff>666750</xdr:rowOff>
              </to>
            </anchor>
          </objectPr>
        </oleObject>
      </mc:Choice>
      <mc:Fallback>
        <oleObject progId="Equation.DSMT4" shapeId="7170" r:id="rId6"/>
      </mc:Fallback>
    </mc:AlternateContent>
  </oleObjects>
  <controls>
    <mc:AlternateContent xmlns:mc="http://schemas.openxmlformats.org/markup-compatibility/2006">
      <mc:Choice Requires="x14">
        <control shapeId="7171" r:id="rId8" name="CommandButton1">
          <controlPr defaultSize="0" print="0" autoLine="0" r:id="rId9">
            <anchor moveWithCells="1" sizeWithCells="1">
              <from>
                <xdr:col>4</xdr:col>
                <xdr:colOff>123825</xdr:colOff>
                <xdr:row>4</xdr:row>
                <xdr:rowOff>285750</xdr:rowOff>
              </from>
              <to>
                <xdr:col>4</xdr:col>
                <xdr:colOff>1190625</xdr:colOff>
                <xdr:row>4</xdr:row>
                <xdr:rowOff>762000</xdr:rowOff>
              </to>
            </anchor>
          </controlPr>
        </control>
      </mc:Choice>
      <mc:Fallback>
        <control shapeId="7171" r:id="rId8" name="CommandButton1"/>
      </mc:Fallback>
    </mc:AlternateContent>
    <mc:AlternateContent xmlns:mc="http://schemas.openxmlformats.org/markup-compatibility/2006">
      <mc:Choice Requires="x14">
        <control shapeId="7174" r:id="rId10" name="AutosizeA">
          <controlPr defaultSize="0" print="0" autoFill="0" autoLine="0" r:id="rId11">
            <anchor moveWithCells="1" sizeWithCells="1">
              <from>
                <xdr:col>1</xdr:col>
                <xdr:colOff>9525</xdr:colOff>
                <xdr:row>1</xdr:row>
                <xdr:rowOff>9525</xdr:rowOff>
              </from>
              <to>
                <xdr:col>1</xdr:col>
                <xdr:colOff>838200</xdr:colOff>
                <xdr:row>1</xdr:row>
                <xdr:rowOff>390525</xdr:rowOff>
              </to>
            </anchor>
          </controlPr>
        </control>
      </mc:Choice>
      <mc:Fallback>
        <control shapeId="7174" r:id="rId10" name="AutosizeA"/>
      </mc:Fallback>
    </mc:AlternateContent>
    <mc:AlternateContent xmlns:mc="http://schemas.openxmlformats.org/markup-compatibility/2006">
      <mc:Choice Requires="x14">
        <control shapeId="7175" r:id="rId12" name="ComboBox1">
          <controlPr print="0" autoFill="0" autoLine="0" linkedCell="F4" listFillRange="G52:G61" r:id="rId13">
            <anchor moveWithCells="1">
              <from>
                <xdr:col>3</xdr:col>
                <xdr:colOff>66675</xdr:colOff>
                <xdr:row>4</xdr:row>
                <xdr:rowOff>476250</xdr:rowOff>
              </from>
              <to>
                <xdr:col>3</xdr:col>
                <xdr:colOff>1266825</xdr:colOff>
                <xdr:row>4</xdr:row>
                <xdr:rowOff>695325</xdr:rowOff>
              </to>
            </anchor>
          </controlPr>
        </control>
      </mc:Choice>
      <mc:Fallback>
        <control shapeId="7175" r:id="rId12" name="ComboBox1"/>
      </mc:Fallback>
    </mc:AlternateContent>
    <mc:AlternateContent xmlns:mc="http://schemas.openxmlformats.org/markup-compatibility/2006">
      <mc:Choice Requires="x14">
        <control shapeId="7176" r:id="rId14" name="TextBox1">
          <controlPr defaultSize="0" print="0" autoFill="0" autoLine="0" r:id="rId15">
            <anchor moveWithCells="1">
              <from>
                <xdr:col>3</xdr:col>
                <xdr:colOff>66675</xdr:colOff>
                <xdr:row>4</xdr:row>
                <xdr:rowOff>228600</xdr:rowOff>
              </from>
              <to>
                <xdr:col>3</xdr:col>
                <xdr:colOff>1266825</xdr:colOff>
                <xdr:row>4</xdr:row>
                <xdr:rowOff>428625</xdr:rowOff>
              </to>
            </anchor>
          </controlPr>
        </control>
      </mc:Choice>
      <mc:Fallback>
        <control shapeId="7176" r:id="rId14" name="TextBox1"/>
      </mc:Fallback>
    </mc:AlternateContent>
    <mc:AlternateContent xmlns:mc="http://schemas.openxmlformats.org/markup-compatibility/2006">
      <mc:Choice Requires="x14">
        <control shapeId="7177" r:id="rId16" name="spbBins">
          <controlPr defaultSize="0" autoLine="0" linkedCell="G40" r:id="rId17">
            <anchor moveWithCells="1">
              <from>
                <xdr:col>12</xdr:col>
                <xdr:colOff>114300</xdr:colOff>
                <xdr:row>5</xdr:row>
                <xdr:rowOff>142875</xdr:rowOff>
              </from>
              <to>
                <xdr:col>12</xdr:col>
                <xdr:colOff>428625</xdr:colOff>
                <xdr:row>7</xdr:row>
                <xdr:rowOff>104775</xdr:rowOff>
              </to>
            </anchor>
          </controlPr>
        </control>
      </mc:Choice>
      <mc:Fallback>
        <control shapeId="7177" r:id="rId16" name="spbBins"/>
      </mc:Fallback>
    </mc:AlternateContent>
    <mc:AlternateContent xmlns:mc="http://schemas.openxmlformats.org/markup-compatibility/2006">
      <mc:Choice Requires="x14">
        <control shapeId="7172" r:id="rId18" name="Option Button 4">
          <controlPr defaultSize="0" autoFill="0" autoLine="0" autoPict="0">
            <anchor moveWithCells="1">
              <from>
                <xdr:col>9</xdr:col>
                <xdr:colOff>161925</xdr:colOff>
                <xdr:row>9</xdr:row>
                <xdr:rowOff>76200</xdr:rowOff>
              </from>
              <to>
                <xdr:col>9</xdr:col>
                <xdr:colOff>1666875</xdr:colOff>
                <xdr:row>10</xdr:row>
                <xdr:rowOff>171450</xdr:rowOff>
              </to>
            </anchor>
          </controlPr>
        </control>
      </mc:Choice>
    </mc:AlternateContent>
    <mc:AlternateContent xmlns:mc="http://schemas.openxmlformats.org/markup-compatibility/2006">
      <mc:Choice Requires="x14">
        <control shapeId="7173" r:id="rId19" name="Option Button 5">
          <controlPr defaultSize="0" autoFill="0" autoLine="0" autoPict="0">
            <anchor moveWithCells="1">
              <from>
                <xdr:col>9</xdr:col>
                <xdr:colOff>161925</xdr:colOff>
                <xdr:row>7</xdr:row>
                <xdr:rowOff>47625</xdr:rowOff>
              </from>
              <to>
                <xdr:col>9</xdr:col>
                <xdr:colOff>1666875</xdr:colOff>
                <xdr:row>8</xdr:row>
                <xdr:rowOff>171450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3"/>
  <sheetViews>
    <sheetView workbookViewId="0">
      <selection activeCell="C13" sqref="C13"/>
    </sheetView>
  </sheetViews>
  <sheetFormatPr defaultRowHeight="15" x14ac:dyDescent="0.25"/>
  <cols>
    <col min="1" max="1" width="18.5703125" customWidth="1"/>
    <col min="2" max="2" width="18.42578125" customWidth="1"/>
    <col min="3" max="3" width="17.7109375" customWidth="1"/>
    <col min="4" max="4" width="20" customWidth="1"/>
  </cols>
  <sheetData>
    <row r="1" spans="1:4" x14ac:dyDescent="0.25">
      <c r="A1" t="s">
        <v>350</v>
      </c>
      <c r="B1" s="283" t="s">
        <v>337</v>
      </c>
      <c r="C1" s="283" t="s">
        <v>338</v>
      </c>
      <c r="D1" s="283" t="s">
        <v>339</v>
      </c>
    </row>
    <row r="2" spans="1:4" x14ac:dyDescent="0.25">
      <c r="A2" t="s">
        <v>222</v>
      </c>
      <c r="B2" s="287">
        <v>92</v>
      </c>
      <c r="C2" s="287">
        <v>90</v>
      </c>
      <c r="D2" s="287">
        <v>90.8</v>
      </c>
    </row>
    <row r="3" spans="1:4" x14ac:dyDescent="0.25">
      <c r="A3" t="s">
        <v>224</v>
      </c>
      <c r="B3" s="287">
        <v>91.6</v>
      </c>
      <c r="C3" s="287">
        <v>90.8</v>
      </c>
      <c r="D3" s="287">
        <v>90.4</v>
      </c>
    </row>
    <row r="4" spans="1:4" x14ac:dyDescent="0.25">
      <c r="A4" t="s">
        <v>226</v>
      </c>
      <c r="B4" s="287">
        <v>90.8</v>
      </c>
      <c r="C4" s="287">
        <v>90.8</v>
      </c>
      <c r="D4" s="287">
        <v>90.8</v>
      </c>
    </row>
    <row r="5" spans="1:4" x14ac:dyDescent="0.25">
      <c r="A5" t="s">
        <v>227</v>
      </c>
      <c r="B5" s="287">
        <v>91.6</v>
      </c>
      <c r="C5" s="287">
        <v>93.2</v>
      </c>
      <c r="D5" s="287">
        <v>90</v>
      </c>
    </row>
    <row r="6" spans="1:4" x14ac:dyDescent="0.25">
      <c r="A6" t="s">
        <v>228</v>
      </c>
      <c r="B6" s="287">
        <v>90.8</v>
      </c>
      <c r="C6" s="287">
        <v>89.6</v>
      </c>
      <c r="D6" s="287">
        <v>91.2</v>
      </c>
    </row>
    <row r="7" spans="1:4" x14ac:dyDescent="0.25">
      <c r="A7" t="s">
        <v>230</v>
      </c>
      <c r="B7" s="287">
        <v>90.4</v>
      </c>
      <c r="C7" s="287">
        <v>90.8</v>
      </c>
      <c r="D7" s="287">
        <v>90.8</v>
      </c>
    </row>
    <row r="8" spans="1:4" x14ac:dyDescent="0.25">
      <c r="A8" t="s">
        <v>232</v>
      </c>
      <c r="B8" s="287">
        <v>91.2</v>
      </c>
      <c r="C8" s="287">
        <v>90.4</v>
      </c>
      <c r="D8" s="287">
        <v>90</v>
      </c>
    </row>
    <row r="9" spans="1:4" x14ac:dyDescent="0.25">
      <c r="A9" t="s">
        <v>233</v>
      </c>
      <c r="B9" s="287">
        <v>91.2</v>
      </c>
      <c r="C9" s="287">
        <v>92</v>
      </c>
      <c r="D9" s="287">
        <v>91.2</v>
      </c>
    </row>
    <row r="10" spans="1:4" x14ac:dyDescent="0.25">
      <c r="A10" t="s">
        <v>234</v>
      </c>
      <c r="B10" s="287">
        <v>89.6</v>
      </c>
      <c r="C10" s="287">
        <v>90.8</v>
      </c>
      <c r="D10" s="287">
        <v>91.6</v>
      </c>
    </row>
    <row r="11" spans="1:4" x14ac:dyDescent="0.25">
      <c r="A11" t="s">
        <v>236</v>
      </c>
      <c r="B11" s="287">
        <v>89.6</v>
      </c>
      <c r="C11" s="287">
        <v>90.4</v>
      </c>
      <c r="D11" s="287">
        <v>91.6</v>
      </c>
    </row>
    <row r="12" spans="1:4" x14ac:dyDescent="0.25">
      <c r="A12" t="s">
        <v>322</v>
      </c>
      <c r="B12" s="287">
        <f>AVERAGE(B2:B11)</f>
        <v>90.880000000000024</v>
      </c>
      <c r="C12" s="287">
        <f t="shared" ref="C12:D12" si="0">AVERAGE(C2:C11)</f>
        <v>90.879999999999981</v>
      </c>
      <c r="D12" s="287">
        <f t="shared" si="0"/>
        <v>90.84</v>
      </c>
    </row>
    <row r="13" spans="1:4" x14ac:dyDescent="0.25">
      <c r="A13" t="s">
        <v>323</v>
      </c>
      <c r="B13" s="283">
        <f>STDEV(B2:B11)</f>
        <v>0.81758451822698164</v>
      </c>
      <c r="C13" s="283">
        <f t="shared" ref="C13:D13" si="1">STDEV(C2:C11)</f>
        <v>1.029347150166336</v>
      </c>
      <c r="D13" s="283">
        <f t="shared" si="1"/>
        <v>0.57965506984757587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D34"/>
  <sheetViews>
    <sheetView workbookViewId="0">
      <selection activeCell="A3" sqref="A3"/>
    </sheetView>
  </sheetViews>
  <sheetFormatPr defaultRowHeight="15" x14ac:dyDescent="0.25"/>
  <cols>
    <col min="1" max="1" width="15.85546875" customWidth="1"/>
    <col min="2" max="2" width="53.42578125" customWidth="1"/>
    <col min="3" max="3" width="11.85546875" customWidth="1"/>
    <col min="4" max="4" width="12.140625" customWidth="1"/>
  </cols>
  <sheetData>
    <row r="1" spans="1:4" x14ac:dyDescent="0.25">
      <c r="A1" s="270" t="s">
        <v>308</v>
      </c>
      <c r="B1" s="271"/>
      <c r="C1" s="271"/>
      <c r="D1" s="271"/>
    </row>
    <row r="2" spans="1:4" x14ac:dyDescent="0.25">
      <c r="A2" s="272" t="s">
        <v>343</v>
      </c>
      <c r="B2" s="271"/>
      <c r="C2" s="271"/>
      <c r="D2" s="271"/>
    </row>
    <row r="3" spans="1:4" ht="15.75" x14ac:dyDescent="0.25">
      <c r="A3" s="294"/>
      <c r="B3" s="271"/>
      <c r="C3" s="271"/>
      <c r="D3" s="271"/>
    </row>
    <row r="4" spans="1:4" ht="15.75" x14ac:dyDescent="0.25">
      <c r="A4" s="269" t="s">
        <v>309</v>
      </c>
      <c r="B4" s="271"/>
      <c r="C4" s="271"/>
      <c r="D4" s="271"/>
    </row>
    <row r="5" spans="1:4" ht="15.75" x14ac:dyDescent="0.25">
      <c r="A5" s="273"/>
      <c r="B5" s="271"/>
      <c r="C5" s="271"/>
      <c r="D5" s="271"/>
    </row>
    <row r="6" spans="1:4" ht="15.75" x14ac:dyDescent="0.25">
      <c r="A6" s="273" t="s">
        <v>344</v>
      </c>
      <c r="B6" s="271"/>
      <c r="C6" s="271"/>
      <c r="D6" s="271"/>
    </row>
    <row r="7" spans="1:4" ht="15.75" x14ac:dyDescent="0.25">
      <c r="A7" s="273"/>
      <c r="B7" s="271"/>
      <c r="C7" s="271"/>
      <c r="D7" s="271"/>
    </row>
    <row r="8" spans="1:4" ht="15.75" x14ac:dyDescent="0.25">
      <c r="A8" s="269" t="s">
        <v>310</v>
      </c>
      <c r="B8" s="271"/>
      <c r="C8" s="271"/>
      <c r="D8" s="271"/>
    </row>
    <row r="9" spans="1:4" ht="15.75" x14ac:dyDescent="0.25">
      <c r="A9" s="273"/>
      <c r="B9" s="271"/>
      <c r="C9" s="271"/>
      <c r="D9" s="271"/>
    </row>
    <row r="10" spans="1:4" x14ac:dyDescent="0.25">
      <c r="A10" s="274" t="s">
        <v>356</v>
      </c>
      <c r="B10" s="271"/>
      <c r="C10" s="271"/>
      <c r="D10" s="271"/>
    </row>
    <row r="11" spans="1:4" x14ac:dyDescent="0.25">
      <c r="A11" s="274" t="s">
        <v>355</v>
      </c>
      <c r="B11" s="271"/>
      <c r="C11" s="271"/>
      <c r="D11" s="271"/>
    </row>
    <row r="12" spans="1:4" x14ac:dyDescent="0.25">
      <c r="A12" s="274" t="s">
        <v>368</v>
      </c>
      <c r="B12" s="271"/>
      <c r="C12" s="271"/>
      <c r="D12" s="271"/>
    </row>
    <row r="13" spans="1:4" x14ac:dyDescent="0.25">
      <c r="A13" s="274" t="s">
        <v>369</v>
      </c>
      <c r="B13" s="271"/>
      <c r="C13" s="271"/>
      <c r="D13" s="271"/>
    </row>
    <row r="14" spans="1:4" x14ac:dyDescent="0.25">
      <c r="A14" s="274" t="s">
        <v>370</v>
      </c>
      <c r="B14" s="271"/>
      <c r="C14" s="271"/>
      <c r="D14" s="271"/>
    </row>
    <row r="15" spans="1:4" x14ac:dyDescent="0.25">
      <c r="A15" s="274" t="s">
        <v>371</v>
      </c>
      <c r="B15" s="271"/>
      <c r="C15" s="271"/>
      <c r="D15" s="271"/>
    </row>
    <row r="16" spans="1:4" x14ac:dyDescent="0.25">
      <c r="A16" s="274" t="s">
        <v>372</v>
      </c>
      <c r="B16" s="271"/>
      <c r="C16" s="271"/>
      <c r="D16" s="271"/>
    </row>
    <row r="17" spans="1:4" x14ac:dyDescent="0.25">
      <c r="A17" s="274" t="s">
        <v>373</v>
      </c>
      <c r="B17" s="271"/>
      <c r="C17" s="271"/>
      <c r="D17" s="271"/>
    </row>
    <row r="18" spans="1:4" x14ac:dyDescent="0.25">
      <c r="A18" s="274" t="s">
        <v>374</v>
      </c>
      <c r="B18" s="271"/>
      <c r="C18" s="271"/>
      <c r="D18" s="271"/>
    </row>
    <row r="19" spans="1:4" ht="15.75" x14ac:dyDescent="0.25">
      <c r="A19" s="273"/>
      <c r="B19" s="271"/>
      <c r="C19" s="271"/>
      <c r="D19" s="271"/>
    </row>
    <row r="20" spans="1:4" ht="15.75" x14ac:dyDescent="0.25">
      <c r="A20" s="269" t="s">
        <v>311</v>
      </c>
      <c r="B20" s="271"/>
      <c r="C20" s="271"/>
      <c r="D20" s="271"/>
    </row>
    <row r="21" spans="1:4" ht="16.5" thickBot="1" x14ac:dyDescent="0.3">
      <c r="A21" s="273"/>
      <c r="B21" s="271"/>
      <c r="C21" s="271"/>
      <c r="D21" s="271"/>
    </row>
    <row r="22" spans="1:4" ht="32.25" thickBot="1" x14ac:dyDescent="0.3">
      <c r="A22" s="275" t="s">
        <v>312</v>
      </c>
      <c r="B22" s="276" t="s">
        <v>313</v>
      </c>
      <c r="C22" s="276" t="s">
        <v>314</v>
      </c>
      <c r="D22" s="276" t="s">
        <v>315</v>
      </c>
    </row>
    <row r="23" spans="1:4" ht="16.5" thickBot="1" x14ac:dyDescent="0.3">
      <c r="A23" s="277" t="s">
        <v>354</v>
      </c>
      <c r="B23" s="278" t="s">
        <v>316</v>
      </c>
      <c r="C23" s="279">
        <v>40696</v>
      </c>
      <c r="D23" s="279">
        <v>41062</v>
      </c>
    </row>
    <row r="24" spans="1:4" ht="16.5" thickBot="1" x14ac:dyDescent="0.3">
      <c r="A24" s="277" t="s">
        <v>347</v>
      </c>
      <c r="B24" s="278" t="s">
        <v>348</v>
      </c>
      <c r="C24" s="279">
        <v>40898</v>
      </c>
      <c r="D24" s="279">
        <v>41264</v>
      </c>
    </row>
    <row r="25" spans="1:4" ht="16.5" thickBot="1" x14ac:dyDescent="0.3">
      <c r="A25" s="277" t="s">
        <v>345</v>
      </c>
      <c r="B25" s="278" t="s">
        <v>346</v>
      </c>
      <c r="C25" s="279">
        <v>40786</v>
      </c>
      <c r="D25" s="279">
        <v>41152</v>
      </c>
    </row>
    <row r="26" spans="1:4" ht="16.5" thickBot="1" x14ac:dyDescent="0.3">
      <c r="A26" s="277" t="s">
        <v>317</v>
      </c>
      <c r="B26" s="278" t="s">
        <v>318</v>
      </c>
      <c r="C26" s="279">
        <v>40938</v>
      </c>
      <c r="D26" s="279">
        <v>41304</v>
      </c>
    </row>
    <row r="27" spans="1:4" ht="15.75" x14ac:dyDescent="0.25">
      <c r="A27" s="273"/>
      <c r="B27" s="271"/>
      <c r="C27" s="271"/>
      <c r="D27" s="271"/>
    </row>
    <row r="28" spans="1:4" ht="15.75" x14ac:dyDescent="0.25">
      <c r="A28" s="269" t="s">
        <v>319</v>
      </c>
      <c r="B28" s="271"/>
      <c r="C28" s="271"/>
      <c r="D28" s="271"/>
    </row>
    <row r="29" spans="1:4" ht="15.75" x14ac:dyDescent="0.25">
      <c r="A29" s="280"/>
      <c r="B29" s="271"/>
      <c r="C29" s="271"/>
      <c r="D29" s="271"/>
    </row>
    <row r="30" spans="1:4" ht="15.75" x14ac:dyDescent="0.25">
      <c r="A30" s="280" t="s">
        <v>320</v>
      </c>
      <c r="B30" s="271"/>
      <c r="C30" s="271"/>
      <c r="D30" s="271"/>
    </row>
    <row r="31" spans="1:4" ht="16.5" thickBot="1" x14ac:dyDescent="0.3">
      <c r="A31" s="280"/>
      <c r="B31" s="271"/>
      <c r="C31" s="271"/>
      <c r="D31" s="271"/>
    </row>
    <row r="32" spans="1:4" ht="32.25" thickBot="1" x14ac:dyDescent="0.3">
      <c r="A32" s="281" t="s">
        <v>18</v>
      </c>
      <c r="B32" s="282" t="s">
        <v>313</v>
      </c>
      <c r="C32" s="282" t="s">
        <v>321</v>
      </c>
      <c r="D32" s="271"/>
    </row>
    <row r="33" spans="1:4" ht="15.75" customHeight="1" x14ac:dyDescent="0.25">
      <c r="A33" s="467" t="s">
        <v>353</v>
      </c>
      <c r="B33" s="467" t="s">
        <v>349</v>
      </c>
      <c r="C33" s="469">
        <v>40977</v>
      </c>
      <c r="D33" s="271"/>
    </row>
    <row r="34" spans="1:4" ht="15.75" thickBot="1" x14ac:dyDescent="0.3">
      <c r="A34" s="468"/>
      <c r="B34" s="468"/>
      <c r="C34" s="470"/>
      <c r="D34" s="271"/>
    </row>
  </sheetData>
  <sheetProtection password="F6CC" sheet="1" objects="1" scenarios="1" formatCells="0" formatColumns="0" formatRows="0" insertHyperlinks="0" sort="0" autoFilter="0" pivotTables="0"/>
  <mergeCells count="3">
    <mergeCell ref="A33:A34"/>
    <mergeCell ref="B33:B34"/>
    <mergeCell ref="C33:C34"/>
  </mergeCells>
  <pageMargins left="1.0900000000000001" right="0.7" top="0.75" bottom="0.75" header="0.3" footer="0.3"/>
  <pageSetup scale="6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Vpk_Summary</vt:lpstr>
      <vt:lpstr>Vpk_Budget</vt:lpstr>
      <vt:lpstr>repeat_A</vt:lpstr>
      <vt:lpstr>repro_A</vt:lpstr>
      <vt:lpstr>Test_Raw_Data</vt:lpstr>
      <vt:lpstr>Method</vt:lpstr>
      <vt:lpstr>repeat_A!Print_Area</vt:lpstr>
      <vt:lpstr>repro_A!Print_Area</vt:lpstr>
      <vt:lpstr>Vpk_Budget!Print_Area</vt:lpstr>
      <vt:lpstr>Vpk_Summary!Print_Area</vt:lpstr>
      <vt:lpstr>repeat_A!StdDevQ</vt:lpstr>
      <vt:lpstr>repro_A!StdDevQ</vt:lpstr>
    </vt:vector>
  </TitlesOfParts>
  <Company>Underwriters Laboratories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Chan</dc:creator>
  <cp:lastModifiedBy>Daniel Wong</cp:lastModifiedBy>
  <cp:lastPrinted>2012-04-26T04:49:39Z</cp:lastPrinted>
  <dcterms:created xsi:type="dcterms:W3CDTF">2011-08-09T01:48:06Z</dcterms:created>
  <dcterms:modified xsi:type="dcterms:W3CDTF">2013-05-07T05:25:45Z</dcterms:modified>
  <cp:category>QuametecPW</cp:category>
</cp:coreProperties>
</file>