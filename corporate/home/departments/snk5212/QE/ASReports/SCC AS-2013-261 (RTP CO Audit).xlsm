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12600" windowHeight="12600" tabRatio="638" activeTab="2"/>
  </bookViews>
  <sheets>
    <sheet name="Summary and Info" sheetId="6" r:id="rId1"/>
    <sheet name="AgendaSummary" sheetId="402" r:id="rId2"/>
    <sheet name="OFI1" sheetId="524" r:id="rId3"/>
    <sheet name="Export" sheetId="322" state="hidden" r:id="rId4"/>
    <sheet name="Instructions" sheetId="286" r:id="rId5"/>
  </sheets>
  <definedNames>
    <definedName name="AddTime">#REF!</definedName>
    <definedName name="AgendaRowsMaximum">AgendaSummary!$L$1</definedName>
    <definedName name="AgendaRowsNeeded">#REF!</definedName>
    <definedName name="AnnexLet">'Summary and Info'!$D$101</definedName>
    <definedName name="AssLoc">'Summary and Info'!$D$107</definedName>
    <definedName name="AuditDurationFull">#REF!</definedName>
    <definedName name="BlankTemplate">'Summary and Info'!$J$99</definedName>
    <definedName name="CABName">'Summary and Info'!$D$106</definedName>
    <definedName name="CABNameList">#REF!</definedName>
    <definedName name="CABNameListFull">#REF!</definedName>
    <definedName name="CABRepName">'Summary and Info'!$D$135</definedName>
    <definedName name="CBSNames">#REF!</definedName>
    <definedName name="City">'Summary and Info'!$D$109</definedName>
    <definedName name="CityAcrList">#REF!</definedName>
    <definedName name="CityList">#REF!</definedName>
    <definedName name="CityListFull">#REF!</definedName>
    <definedName name="Cycle">'Summary and Info'!$D$108</definedName>
    <definedName name="CycleFull">#REF!</definedName>
    <definedName name="CycleList">#REF!</definedName>
    <definedName name="CycleListFull">#REF!</definedName>
    <definedName name="EvalOptions">'Summary and Info'!$C$47:$C$51</definedName>
    <definedName name="FY">#REF!</definedName>
    <definedName name="FYList">#REF!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'Summary and Info'!$H$89</definedName>
    <definedName name="NumSCC">'Summary and Info'!$D$99</definedName>
    <definedName name="OFICount">'Summary and Info'!$H$90</definedName>
    <definedName name="OtherAB">#REF!</definedName>
    <definedName name="PeopleList">#REF!</definedName>
    <definedName name="PeopleRaw">#REF!</definedName>
    <definedName name="Pgm">'Summary and Info'!$H$86</definedName>
    <definedName name="_xlnm.Print_Area" localSheetId="2">'OFI1'!$A$100:$I$130</definedName>
    <definedName name="_xlnm.Print_Area" localSheetId="0">'Summary and Info'!$C$100:$F$150</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I103" i="524" l="1"/>
  <c r="K221" i="524" l="1"/>
  <c r="B221" i="524" s="1"/>
  <c r="K209" i="524"/>
  <c r="K200" i="524"/>
  <c r="I206" i="524" s="1"/>
  <c r="K188" i="524"/>
  <c r="B185" i="524"/>
  <c r="K179" i="524"/>
  <c r="I185" i="524" s="1"/>
  <c r="K167" i="524"/>
  <c r="B176" i="524" s="1"/>
  <c r="K155" i="524"/>
  <c r="B164" i="524" s="1"/>
  <c r="K143" i="524"/>
  <c r="B152" i="524" s="1"/>
  <c r="K131" i="524"/>
  <c r="K113" i="524"/>
  <c r="K103" i="524"/>
  <c r="K4" i="524"/>
  <c r="J4" i="524"/>
  <c r="J3" i="524"/>
  <c r="K3" i="524" s="1"/>
  <c r="J2" i="524"/>
  <c r="B150" i="524" l="1"/>
  <c r="I148" i="524"/>
  <c r="I172" i="524"/>
  <c r="I176" i="524"/>
  <c r="C149" i="524"/>
  <c r="I164" i="524"/>
  <c r="C173" i="524"/>
  <c r="B174" i="524"/>
  <c r="B145" i="524"/>
  <c r="I152" i="524"/>
  <c r="B169" i="524"/>
  <c r="B223" i="524"/>
  <c r="B161" i="524"/>
  <c r="B167" i="524"/>
  <c r="C170" i="524"/>
  <c r="B159" i="524"/>
  <c r="B157" i="524"/>
  <c r="C146" i="524"/>
  <c r="B155" i="524"/>
  <c r="B143" i="524"/>
  <c r="I197" i="524"/>
  <c r="B195" i="524"/>
  <c r="B190" i="524"/>
  <c r="B188" i="524"/>
  <c r="B197" i="524"/>
  <c r="B218" i="524"/>
  <c r="B209" i="524"/>
  <c r="B211" i="524"/>
  <c r="I218" i="524"/>
  <c r="B216" i="524"/>
  <c r="B179" i="524"/>
  <c r="B202" i="524"/>
  <c r="B206" i="524"/>
  <c r="B200" i="524"/>
  <c r="B201" i="524"/>
  <c r="B180" i="524"/>
  <c r="B181" i="524"/>
  <c r="B182" i="524"/>
  <c r="B203" i="524"/>
  <c r="AU25" i="402" l="1"/>
  <c r="AU26" i="402"/>
  <c r="AU27" i="402"/>
  <c r="AU28" i="402"/>
  <c r="AU29" i="402"/>
  <c r="AU30" i="402"/>
  <c r="AU31" i="402"/>
  <c r="AU32" i="402"/>
  <c r="AU33" i="402"/>
  <c r="AU34" i="402"/>
  <c r="AU35" i="402"/>
  <c r="AU36" i="402"/>
  <c r="AU37" i="402"/>
  <c r="AU38" i="402"/>
  <c r="AU39" i="402"/>
  <c r="AU40" i="402"/>
  <c r="AU41" i="402"/>
  <c r="AU42" i="402"/>
  <c r="AU43" i="402"/>
  <c r="AU44" i="402"/>
  <c r="AU45" i="402"/>
  <c r="AU46" i="402"/>
  <c r="AU47" i="402"/>
  <c r="AU48" i="402"/>
  <c r="AU49" i="402"/>
  <c r="AU50" i="402"/>
  <c r="AU51" i="402"/>
  <c r="AU52" i="402"/>
  <c r="AU53" i="402"/>
  <c r="AU54" i="402"/>
  <c r="AU55" i="402"/>
  <c r="AU56" i="402"/>
  <c r="AU57" i="402"/>
  <c r="AU58" i="402"/>
  <c r="AU59" i="402"/>
  <c r="AU60" i="402"/>
  <c r="AU61" i="402"/>
  <c r="AU62" i="402"/>
  <c r="AU63" i="402"/>
  <c r="AU64" i="402"/>
  <c r="AU65" i="402"/>
  <c r="AU66" i="402"/>
  <c r="AU67" i="402"/>
  <c r="AU68" i="402"/>
  <c r="AU69" i="402"/>
  <c r="AU70" i="402"/>
  <c r="AU71" i="402"/>
  <c r="AU72" i="402"/>
  <c r="AU73" i="402"/>
  <c r="AU74" i="402"/>
  <c r="AU75" i="402"/>
  <c r="AU76" i="402"/>
  <c r="AU77" i="402"/>
  <c r="AU78" i="402"/>
  <c r="AU79" i="402"/>
  <c r="AU80" i="402"/>
  <c r="AU81" i="402"/>
  <c r="AU82" i="402"/>
  <c r="AU83" i="402"/>
  <c r="AU84" i="402"/>
  <c r="AU85" i="402"/>
  <c r="AU86" i="402"/>
  <c r="AU87" i="402"/>
  <c r="AU88" i="402"/>
  <c r="AU89" i="402"/>
  <c r="AU90" i="402"/>
  <c r="AU91" i="402"/>
  <c r="AU92" i="402"/>
  <c r="AU93" i="402"/>
  <c r="AU94" i="402"/>
  <c r="AU95" i="402"/>
  <c r="AU96" i="402"/>
  <c r="AU97" i="402"/>
  <c r="AU98" i="402"/>
  <c r="AU99" i="402"/>
  <c r="AU100" i="402"/>
  <c r="AU24" i="402"/>
  <c r="AP94" i="402" l="1"/>
  <c r="AP95" i="402"/>
  <c r="AP96" i="402"/>
  <c r="AP97" i="402"/>
  <c r="AP98" i="402"/>
  <c r="AP99" i="402"/>
  <c r="AP100" i="402"/>
  <c r="AP101" i="402"/>
  <c r="AP102" i="402"/>
  <c r="AP103" i="402"/>
  <c r="AP104" i="402"/>
  <c r="AP105" i="402"/>
  <c r="AP106" i="402"/>
  <c r="AP107" i="402"/>
  <c r="AP108" i="402"/>
  <c r="AP109" i="402"/>
  <c r="AP110" i="402"/>
  <c r="AP111" i="402"/>
  <c r="AP112" i="402"/>
  <c r="AP113" i="402"/>
  <c r="AP114" i="402"/>
  <c r="AP115" i="402"/>
  <c r="AS94" i="402" l="1"/>
  <c r="AS95" i="402"/>
  <c r="AS96" i="402"/>
  <c r="AS97" i="402"/>
  <c r="AS98" i="402"/>
  <c r="AS99" i="402"/>
  <c r="AS100" i="402"/>
  <c r="K2" i="524" l="1"/>
  <c r="AR24" i="402" l="1"/>
  <c r="AS24" i="402" s="1"/>
  <c r="AR25" i="402"/>
  <c r="AS25" i="402" s="1"/>
  <c r="AP25" i="402" l="1"/>
  <c r="AR26" i="402" l="1"/>
  <c r="AS26" i="402" s="1"/>
  <c r="AP26" i="402"/>
  <c r="AP27" i="402" l="1"/>
  <c r="AR27" i="402"/>
  <c r="AS27" i="402" s="1"/>
  <c r="AP28" i="402" l="1"/>
  <c r="AR28" i="402"/>
  <c r="AS28" i="402" s="1"/>
  <c r="AP29" i="402"/>
  <c r="AR29" i="402" l="1"/>
  <c r="AS29" i="402" s="1"/>
  <c r="AP30" i="402" l="1"/>
  <c r="AR30" i="402"/>
  <c r="AS30" i="402" s="1"/>
  <c r="AR31" i="402" l="1"/>
  <c r="AS31" i="402" s="1"/>
  <c r="AP31" i="402"/>
  <c r="AR32" i="402" l="1"/>
  <c r="AS32" i="402" s="1"/>
  <c r="AP32" i="402"/>
  <c r="AR33" i="402" l="1"/>
  <c r="AS33" i="402" s="1"/>
  <c r="AR34" i="402"/>
  <c r="AS34" i="402" s="1"/>
  <c r="AP34" i="402"/>
  <c r="AP33" i="402"/>
  <c r="AP35" i="402"/>
  <c r="AR35" i="402" l="1"/>
  <c r="AS35" i="402" s="1"/>
  <c r="AR36" i="402" l="1"/>
  <c r="AS36" i="402" s="1"/>
  <c r="AP36" i="402"/>
  <c r="AR37" i="402" l="1"/>
  <c r="AS37" i="402" s="1"/>
  <c r="AP37" i="402"/>
  <c r="AR38" i="402"/>
  <c r="AS38" i="402" s="1"/>
  <c r="AP38" i="402" l="1"/>
  <c r="AR40" i="402" l="1"/>
  <c r="AS40" i="402" s="1"/>
  <c r="AP40" i="402"/>
  <c r="AR39" i="402"/>
  <c r="AS39" i="402" s="1"/>
  <c r="AP39" i="402"/>
  <c r="AR41" i="402"/>
  <c r="AS41" i="402" s="1"/>
  <c r="AP41" i="402" l="1"/>
  <c r="AP42" i="402" l="1"/>
  <c r="AR42" i="402"/>
  <c r="AS42" i="402" s="1"/>
  <c r="AR43" i="402"/>
  <c r="AS43" i="402" s="1"/>
  <c r="AP43" i="402" l="1"/>
  <c r="AR44" i="402" l="1"/>
  <c r="AS44" i="402" s="1"/>
  <c r="AP44" i="402"/>
  <c r="AP45" i="402" l="1"/>
  <c r="AR45" i="402"/>
  <c r="AS45" i="402" s="1"/>
  <c r="AR46" i="402" l="1"/>
  <c r="AS46" i="402" s="1"/>
  <c r="AP46" i="402"/>
  <c r="AR47" i="402"/>
  <c r="AS47" i="402" s="1"/>
  <c r="AP47" i="402"/>
  <c r="AR48" i="402" l="1"/>
  <c r="AS48" i="402" s="1"/>
  <c r="AP48" i="402"/>
  <c r="AP49" i="402" l="1"/>
  <c r="AR49" i="402"/>
  <c r="AS49" i="402" s="1"/>
  <c r="AP50" i="402" l="1"/>
  <c r="AR50" i="402"/>
  <c r="AS50" i="402" s="1"/>
  <c r="AP51" i="402" l="1"/>
  <c r="AR51" i="402"/>
  <c r="AS51" i="402" s="1"/>
  <c r="AP52" i="402"/>
  <c r="AR52" i="402" l="1"/>
  <c r="AS52" i="402" s="1"/>
  <c r="AP53" i="402"/>
  <c r="AR53" i="402"/>
  <c r="AS53" i="402" s="1"/>
  <c r="AP54" i="402" l="1"/>
  <c r="AR54" i="402"/>
  <c r="AS54" i="402" s="1"/>
  <c r="AP55" i="402"/>
  <c r="AR55" i="402" l="1"/>
  <c r="AS55" i="402" s="1"/>
  <c r="AR56" i="402" l="1"/>
  <c r="AS56" i="402" s="1"/>
  <c r="AP56" i="402"/>
  <c r="AR57" i="402"/>
  <c r="AS57" i="402" s="1"/>
  <c r="AP57" i="402"/>
  <c r="AR58" i="402" l="1"/>
  <c r="AS58" i="402" s="1"/>
  <c r="AP58" i="402" l="1"/>
  <c r="AR59" i="402" l="1"/>
  <c r="AS59" i="402" s="1"/>
  <c r="AP59" i="402"/>
  <c r="AP60" i="402"/>
  <c r="AR60" i="402" l="1"/>
  <c r="AS60" i="402" s="1"/>
  <c r="AR61" i="402" l="1"/>
  <c r="AS61" i="402" s="1"/>
  <c r="AP61" i="402"/>
  <c r="AP62" i="402" l="1"/>
  <c r="AR62" i="402"/>
  <c r="AS62" i="402" s="1"/>
  <c r="AR63" i="402" l="1"/>
  <c r="AS63" i="402" s="1"/>
  <c r="AP63" i="402"/>
  <c r="AR64" i="402" l="1"/>
  <c r="AS64" i="402" s="1"/>
  <c r="AP64" i="402"/>
  <c r="AR65" i="402"/>
  <c r="AS65" i="402" s="1"/>
  <c r="AP65" i="402" l="1"/>
  <c r="AP66" i="402" l="1"/>
  <c r="AR66" i="402"/>
  <c r="AS66" i="402" s="1"/>
  <c r="AR67" i="402" l="1"/>
  <c r="AS67" i="402" s="1"/>
  <c r="AP67" i="402"/>
  <c r="AR68" i="402"/>
  <c r="AS68" i="402" s="1"/>
  <c r="AP68" i="402" l="1"/>
  <c r="AR69" i="402" l="1"/>
  <c r="AS69" i="402" s="1"/>
  <c r="AP69" i="402"/>
  <c r="AR70" i="402"/>
  <c r="AS70" i="402" s="1"/>
  <c r="AP70" i="402" l="1"/>
  <c r="AP71" i="402" l="1"/>
  <c r="AR71" i="402"/>
  <c r="AS71" i="402" s="1"/>
  <c r="AP72" i="402" l="1"/>
  <c r="AR72" i="402"/>
  <c r="AS72" i="402" s="1"/>
  <c r="AR73" i="402" l="1"/>
  <c r="AS73" i="402" s="1"/>
  <c r="AP73" i="402"/>
  <c r="AR74" i="402" l="1"/>
  <c r="AS74" i="402" s="1"/>
  <c r="AP74" i="402"/>
  <c r="AP75" i="402" l="1"/>
  <c r="AR75" i="402"/>
  <c r="AS75" i="402" s="1"/>
  <c r="AP76" i="402"/>
  <c r="AR76" i="402"/>
  <c r="AS76" i="402" s="1"/>
  <c r="AP77" i="402" l="1"/>
  <c r="AR77" i="402" l="1"/>
  <c r="AS77" i="402" s="1"/>
  <c r="AR78" i="402" l="1"/>
  <c r="AS78" i="402" s="1"/>
  <c r="AP78" i="402"/>
  <c r="AR79" i="402" l="1"/>
  <c r="AS79" i="402" s="1"/>
  <c r="AP79" i="402"/>
  <c r="AP80" i="402" l="1"/>
  <c r="AR80" i="402"/>
  <c r="AS80" i="402" s="1"/>
  <c r="AP81" i="402" l="1"/>
  <c r="AR81" i="402"/>
  <c r="AS81" i="402" s="1"/>
  <c r="AP82" i="402" l="1"/>
  <c r="AR82" i="402"/>
  <c r="AS82" i="402" s="1"/>
  <c r="AP83" i="402" l="1"/>
  <c r="AR83" i="402"/>
  <c r="AS83" i="402" s="1"/>
  <c r="AP84" i="402" l="1"/>
  <c r="AR84" i="402"/>
  <c r="AS84" i="402" s="1"/>
  <c r="AP85" i="402" l="1"/>
  <c r="AR85" i="402"/>
  <c r="AS85" i="402" s="1"/>
  <c r="AR86" i="402" l="1"/>
  <c r="AS86" i="402" s="1"/>
  <c r="AP86" i="402"/>
  <c r="AP87" i="402" l="1"/>
  <c r="AR87" i="402"/>
  <c r="AS87" i="402" s="1"/>
  <c r="AR88" i="402" l="1"/>
  <c r="AS88" i="402" s="1"/>
  <c r="AP88" i="402"/>
  <c r="AR89" i="402" l="1"/>
  <c r="AS89" i="402" s="1"/>
  <c r="AP89" i="402"/>
  <c r="AP90" i="402" l="1"/>
  <c r="AR90" i="402"/>
  <c r="AS90" i="402" s="1"/>
  <c r="AP91" i="402" l="1"/>
  <c r="AR91" i="402"/>
  <c r="AS91" i="402" s="1"/>
  <c r="AP92" i="402" l="1"/>
  <c r="AR92" i="402"/>
  <c r="AS92" i="402" s="1"/>
  <c r="AR93" i="402" l="1"/>
  <c r="AS93" i="402" s="1"/>
  <c r="AP93" i="402"/>
  <c r="AR94" i="402" l="1"/>
  <c r="AR95" i="402" l="1"/>
  <c r="AR96" i="402" l="1"/>
  <c r="AR97" i="402" l="1"/>
  <c r="AR98" i="402" l="1"/>
  <c r="AR99" i="402" l="1"/>
  <c r="AR100" i="402" l="1"/>
  <c r="AP24" i="402" l="1"/>
  <c r="AP21" i="402" s="1"/>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6" authorId="0">
      <text>
        <r>
          <rPr>
            <b/>
            <sz val="8"/>
            <color indexed="81"/>
            <rFont val="Tahoma"/>
            <family val="2"/>
          </rPr>
          <t>Greg Slingerland:</t>
        </r>
        <r>
          <rPr>
            <sz val="8"/>
            <color indexed="81"/>
            <rFont val="Tahoma"/>
            <family val="2"/>
          </rPr>
          <t xml:space="preserve">
True if no documents are selected.</t>
        </r>
      </text>
    </comment>
    <comment ref="C127" authorId="0">
      <text>
        <r>
          <rPr>
            <sz val="8"/>
            <color indexed="81"/>
            <rFont val="Tahoma"/>
            <family val="2"/>
          </rPr>
          <t>Documents with "grayed out" titles cannot be used as there is no criteria entered at this time. The entry is a placeholder for the future.</t>
        </r>
      </text>
    </comment>
    <comment ref="G127" authorId="0">
      <text>
        <r>
          <rPr>
            <b/>
            <sz val="8"/>
            <color indexed="81"/>
            <rFont val="Tahoma"/>
            <family val="2"/>
          </rPr>
          <t>Greg Slingerland:</t>
        </r>
        <r>
          <rPr>
            <sz val="8"/>
            <color indexed="81"/>
            <rFont val="Tahoma"/>
            <family val="2"/>
          </rPr>
          <t xml:space="preserve">
True if document is available to be selected (i.e. text has been entered in this file). When FALSE the name will be greyed out.</t>
        </r>
      </text>
    </comment>
    <comment ref="H127" authorId="0">
      <text>
        <r>
          <rPr>
            <b/>
            <sz val="9"/>
            <color indexed="81"/>
            <rFont val="Tahoma"/>
            <family val="2"/>
          </rPr>
          <t>Greg Slingerland:</t>
        </r>
        <r>
          <rPr>
            <sz val="9"/>
            <color indexed="81"/>
            <rFont val="Tahoma"/>
            <family val="2"/>
          </rPr>
          <t xml:space="preserve">
TRUE for each criteria document where the tick box is checked. </t>
        </r>
      </text>
    </comment>
  </commentList>
</comments>
</file>

<file path=xl/comments2.xml><?xml version="1.0" encoding="utf-8"?>
<comments xmlns="http://schemas.openxmlformats.org/spreadsheetml/2006/main">
  <authors>
    <author>Greg Slingerland</author>
  </authors>
  <commentList>
    <comment ref="L1" authorId="0">
      <text>
        <r>
          <rPr>
            <b/>
            <sz val="9"/>
            <color indexed="81"/>
            <rFont val="Tahoma"/>
            <family val="2"/>
          </rPr>
          <t>Greg Slingerland:</t>
        </r>
        <r>
          <rPr>
            <sz val="9"/>
            <color indexed="81"/>
            <rFont val="Tahoma"/>
            <family val="2"/>
          </rPr>
          <t xml:space="preserve">
Maximum number of rows currently available on the agenda. </t>
        </r>
      </text>
    </comment>
    <comment ref="B7" authorId="0">
      <text>
        <r>
          <rPr>
            <sz val="8"/>
            <color indexed="81"/>
            <rFont val="Tahoma"/>
            <family val="2"/>
          </rPr>
          <t>For a one day audit provide only that date in this format. For a multiple day audit provide the range of dates in the format:
yyyy-mm-dd to yyyy-mm-dd</t>
        </r>
      </text>
    </comment>
    <comment ref="L22" authorId="0">
      <text>
        <r>
          <rPr>
            <b/>
            <sz val="8"/>
            <color indexed="81"/>
            <rFont val="Tahoma"/>
            <family val="2"/>
          </rPr>
          <t>Greg Slingerland:</t>
        </r>
        <r>
          <rPr>
            <sz val="8"/>
            <color indexed="81"/>
            <rFont val="Tahoma"/>
            <family val="2"/>
          </rPr>
          <t xml:space="preserve">
Count of number of findings.</t>
        </r>
      </text>
    </comment>
    <comment ref="M22" authorId="0">
      <text>
        <r>
          <rPr>
            <b/>
            <sz val="8"/>
            <color indexed="81"/>
            <rFont val="Tahoma"/>
            <family val="2"/>
          </rPr>
          <t>Greg Slingerland:</t>
        </r>
        <r>
          <rPr>
            <sz val="8"/>
            <color indexed="81"/>
            <rFont val="Tahoma"/>
            <family val="2"/>
          </rPr>
          <t xml:space="preserve">
False if no items have been selected on the agenda.</t>
        </r>
      </text>
    </comment>
    <comment ref="N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P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R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F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G23" authorId="0">
      <text>
        <r>
          <rPr>
            <b/>
            <sz val="8"/>
            <color indexed="81"/>
            <rFont val="Tahoma"/>
            <family val="2"/>
          </rPr>
          <t>Greg Slingerland:</t>
        </r>
        <r>
          <rPr>
            <sz val="8"/>
            <color indexed="81"/>
            <rFont val="Tahoma"/>
            <family val="2"/>
          </rPr>
          <t xml:space="preserve">
True if item on agenda is selected as part of the audit.</t>
        </r>
      </text>
    </comment>
    <comment ref="AH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I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J23" authorId="0">
      <text>
        <r>
          <rPr>
            <b/>
            <sz val="8"/>
            <color indexed="81"/>
            <rFont val="Tahoma"/>
            <family val="2"/>
          </rPr>
          <t>Greg Slingerland:</t>
        </r>
        <r>
          <rPr>
            <sz val="8"/>
            <color indexed="81"/>
            <rFont val="Tahoma"/>
            <family val="2"/>
          </rPr>
          <t xml:space="preserve">
Controls when the cell in column F will go red.</t>
        </r>
      </text>
    </comment>
    <comment ref="AK23" authorId="0">
      <text>
        <r>
          <rPr>
            <b/>
            <sz val="8"/>
            <color indexed="81"/>
            <rFont val="Tahoma"/>
            <family val="2"/>
          </rPr>
          <t>Greg Slingerland:</t>
        </r>
        <r>
          <rPr>
            <sz val="8"/>
            <color indexed="81"/>
            <rFont val="Tahoma"/>
            <family val="2"/>
          </rPr>
          <t xml:space="preserve">
Controls when the cell in column F will go orange.</t>
        </r>
      </text>
    </comment>
    <comment ref="AL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M23" authorId="0">
      <text>
        <r>
          <rPr>
            <b/>
            <sz val="8"/>
            <color indexed="81"/>
            <rFont val="Tahoma"/>
            <family val="2"/>
          </rPr>
          <t>Greg Slingerland:</t>
        </r>
        <r>
          <rPr>
            <sz val="8"/>
            <color indexed="81"/>
            <rFont val="Tahoma"/>
            <family val="2"/>
          </rPr>
          <t xml:space="preserve">
Controls when the cell in column F will go orange.</t>
        </r>
      </text>
    </comment>
    <comment ref="AN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 ref="J1" authorId="0">
      <text>
        <r>
          <rPr>
            <b/>
            <sz val="9"/>
            <color indexed="81"/>
            <rFont val="Tahoma"/>
            <family val="2"/>
          </rPr>
          <t>Greg Slingerland:</t>
        </r>
        <r>
          <rPr>
            <sz val="9"/>
            <color indexed="81"/>
            <rFont val="Tahoma"/>
            <family val="2"/>
          </rPr>
          <t xml:space="preserve">
This is the standard selected from the pull down lists below. </t>
        </r>
      </text>
    </comment>
    <comment ref="K1" authorId="0">
      <text>
        <r>
          <rPr>
            <b/>
            <sz val="9"/>
            <color indexed="81"/>
            <rFont val="Tahoma"/>
            <family val="2"/>
          </rPr>
          <t>Greg Slingerland:</t>
        </r>
        <r>
          <rPr>
            <sz val="9"/>
            <color indexed="81"/>
            <rFont val="Tahoma"/>
            <family val="2"/>
          </rPr>
          <t xml:space="preserve">
This is the tab name to get the text of the standard from</t>
        </r>
      </text>
    </comment>
  </commentList>
</comments>
</file>

<file path=xl/comments4.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<sst xmlns="http://schemas.openxmlformats.org/spreadsheetml/2006/main" count="4258" uniqueCount="250">
  <si>
    <t>insert here the name of the SCC team lead</t>
  </si>
  <si>
    <t>Objective Evidence1</t>
  </si>
  <si>
    <t>Objective Evidence2</t>
  </si>
  <si>
    <t>Surveillance</t>
  </si>
  <si>
    <t>Splash Screen Sentence 1</t>
  </si>
  <si>
    <t>Splash Screen Sentence 2</t>
  </si>
  <si>
    <t>Non-Conformity</t>
  </si>
  <si>
    <t>Opportunity For Improvement</t>
  </si>
  <si>
    <t>Part 1: General Information</t>
  </si>
  <si>
    <t>(all of section 1 information is copied from the Summary tab)</t>
  </si>
  <si>
    <t>G.9</t>
  </si>
  <si>
    <t xml:space="preserve">SCC Program: </t>
  </si>
  <si>
    <t>NOTE: Since findings can be cited against more than one standard or Guidance, a given finding number may appear in this summary more than once.</t>
  </si>
  <si>
    <t>3.4. Submitted by:</t>
  </si>
  <si>
    <t>Is this an OFI?</t>
  </si>
  <si>
    <t>CB</t>
  </si>
  <si>
    <r>
      <t>SITE TOUR</t>
    </r>
    <r>
      <rPr>
        <sz val="10"/>
        <rFont val="Times New Roman"/>
        <family val="1"/>
      </rPr>
      <t>, Offices / plant / lab</t>
    </r>
  </si>
  <si>
    <t>CB, Operations</t>
  </si>
  <si>
    <t>CB, Subcontracting</t>
  </si>
  <si>
    <t>CB, Quality system</t>
  </si>
  <si>
    <t>CB, Conditions and procedures for granting, maintaining, extending, suspending and withdrawing certification</t>
  </si>
  <si>
    <t>4.7.1</t>
  </si>
  <si>
    <t>CB, Internal audits and management reviews</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</si>
  <si>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</si>
  <si>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</si>
  <si>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</si>
  <si>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</si>
  <si>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</si>
  <si>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</si>
  <si>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</si>
  <si>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</si>
  <si>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</si>
  <si>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3.5. Date:</t>
  </si>
  <si>
    <r>
      <t>1.0 General Information</t>
    </r>
    <r>
      <rPr>
        <sz val="12"/>
        <rFont val="Times New Roman"/>
        <family val="1"/>
      </rPr>
      <t xml:space="preserve"> </t>
    </r>
  </si>
  <si>
    <t>ZZ</t>
  </si>
  <si>
    <t>G.4.5</t>
  </si>
  <si>
    <t>G.4.6</t>
  </si>
  <si>
    <t>G.4.7</t>
  </si>
  <si>
    <t>G.4.8</t>
  </si>
  <si>
    <t>Splash Screen Sentence 3</t>
  </si>
  <si>
    <t>CB Personnel</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</si>
  <si>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</si>
  <si>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</si>
  <si>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</si>
  <si>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</si>
  <si>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</si>
  <si>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</si>
  <si>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</si>
  <si>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</si>
  <si>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</si>
  <si>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CB, General provisions</t>
  </si>
  <si>
    <t>CB, Organization</t>
  </si>
  <si>
    <t>G.7</t>
  </si>
  <si>
    <t>When</t>
  </si>
  <si>
    <t>Use of the SCC Accreditation Mark</t>
  </si>
  <si>
    <t>14</t>
  </si>
  <si>
    <t>Appeals, complaints and disputes</t>
  </si>
  <si>
    <t>State of check boxes</t>
  </si>
  <si>
    <t>1.4. Location(s):</t>
  </si>
  <si>
    <t/>
  </si>
  <si>
    <t>Application for certification</t>
  </si>
  <si>
    <t>Audit Dates (yyyy-mm-dd)</t>
  </si>
  <si>
    <t>CB, Documentation</t>
  </si>
  <si>
    <t xml:space="preserve">Physical Location: </t>
  </si>
  <si>
    <t>G.12</t>
  </si>
  <si>
    <t>G.14</t>
  </si>
  <si>
    <t>CAN-P-3G</t>
  </si>
  <si>
    <t>Section</t>
  </si>
  <si>
    <t>Criteria</t>
  </si>
  <si>
    <t>1</t>
  </si>
  <si>
    <t>Scope</t>
  </si>
  <si>
    <t>13</t>
  </si>
  <si>
    <t>Incomplete</t>
  </si>
  <si>
    <t>G.5</t>
  </si>
  <si>
    <t>IAF GD, ISO Guide 65 (GD5:2006)</t>
  </si>
  <si>
    <t>First Day of Audit, 8:30 a.m.</t>
  </si>
  <si>
    <t>Last Day Of Audit, 4:00 p.m.</t>
  </si>
  <si>
    <t>9</t>
  </si>
  <si>
    <t>Preparation for evaluation</t>
  </si>
  <si>
    <t>CAN-P-1500M</t>
  </si>
  <si>
    <r>
      <t>AUDIT PLAN</t>
    </r>
    <r>
      <rPr>
        <sz val="10"/>
        <rFont val="Times New Roman"/>
        <family val="1"/>
      </rPr>
      <t xml:space="preserve"> (may not occur in this order)</t>
    </r>
  </si>
  <si>
    <t>12</t>
  </si>
  <si>
    <t>NCR/OFI Summary (Annex A)</t>
  </si>
  <si>
    <t xml:space="preserve">Other Recognized Documents </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</si>
  <si>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</si>
  <si>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</si>
  <si>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</si>
  <si>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</si>
  <si>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Standards Council of Canada</t>
  </si>
  <si>
    <t>Certification Mark</t>
  </si>
  <si>
    <t>Filename</t>
  </si>
  <si>
    <t>CB, Records</t>
  </si>
  <si>
    <t>4.10</t>
  </si>
  <si>
    <t>CB, Confidentiality</t>
  </si>
  <si>
    <t>Number</t>
  </si>
  <si>
    <t>Sheet</t>
  </si>
  <si>
    <t>Date</t>
  </si>
  <si>
    <t>OPPORTUNITY FOR IMPROVEMENT</t>
  </si>
  <si>
    <t>OFI</t>
  </si>
  <si>
    <t>Reference 1</t>
  </si>
  <si>
    <t>Reference 2</t>
  </si>
  <si>
    <t>Reference 3</t>
  </si>
  <si>
    <t>N</t>
  </si>
  <si>
    <t>Decision on certification</t>
  </si>
  <si>
    <t>G.4.2</t>
  </si>
  <si>
    <t>Participation in the National Standards System</t>
  </si>
  <si>
    <t>Type</t>
  </si>
  <si>
    <t>Assigned Number</t>
  </si>
  <si>
    <t>2.1 Initiated By:</t>
  </si>
  <si>
    <t>Language</t>
  </si>
  <si>
    <t>Testing Capabilities</t>
  </si>
  <si>
    <t>Final Level of Appeals</t>
  </si>
  <si>
    <t>Cycle</t>
  </si>
  <si>
    <t>O</t>
  </si>
  <si>
    <t>G.4.3</t>
  </si>
  <si>
    <t>G.1.1</t>
  </si>
  <si>
    <t>G.4.4</t>
  </si>
  <si>
    <t xml:space="preserve">2.2 Applicable document(s) and reference within that document: </t>
  </si>
  <si>
    <t>Evaluation</t>
  </si>
  <si>
    <t>Evaluation report</t>
  </si>
  <si>
    <t>FY S</t>
  </si>
  <si>
    <t>7</t>
  </si>
  <si>
    <t>5</t>
  </si>
  <si>
    <t>Standard 1</t>
  </si>
  <si>
    <t>Standard 2</t>
  </si>
  <si>
    <t>Standard 3</t>
  </si>
  <si>
    <t>OPENING MEETING</t>
  </si>
  <si>
    <t>CLOSING MEETING</t>
  </si>
  <si>
    <t>The "Summary and Info" tab contains a summary of all NCRs and OFIs found during this assessment. The NCR and OFI sheets contain the details for each.</t>
  </si>
  <si>
    <t>SCC Team Lead Signature</t>
  </si>
  <si>
    <t>Role</t>
  </si>
  <si>
    <t>Prog</t>
  </si>
  <si>
    <t>a</t>
  </si>
  <si>
    <t>Once all appropriate sections are complete, the modified sheet is to be emailed to your contact at the SCC.</t>
  </si>
  <si>
    <t>Once all of Part 3 is complete, the modified sheet is to be emailed to your contact at the SCC who is:</t>
  </si>
  <si>
    <t>Changes in the certification requirements</t>
  </si>
  <si>
    <t>Selected</t>
  </si>
  <si>
    <t>Relationships with Canadian Regulatory Authorities</t>
  </si>
  <si>
    <t>Complaints to suppliers</t>
  </si>
  <si>
    <t>G.4.1</t>
  </si>
  <si>
    <t xml:space="preserve">2.3 Objective Evidence: </t>
  </si>
  <si>
    <t>insert here the name of the representative of the CAB</t>
  </si>
  <si>
    <t>CAB</t>
  </si>
  <si>
    <t>City</t>
  </si>
  <si>
    <t>A</t>
  </si>
  <si>
    <t>Statements of Citations</t>
  </si>
  <si>
    <t>Use of licences, certificates and marks of conformity</t>
  </si>
  <si>
    <t>Standard</t>
  </si>
  <si>
    <t>Part 2: Details of Opportunity For Improvement</t>
  </si>
  <si>
    <t>(all of this section to be completed by the SCC Team Lead or the person who found the Opportunity For Improvement)</t>
  </si>
  <si>
    <t>2.4 Opportunity For Improvement:</t>
  </si>
  <si>
    <t>Certification Standards</t>
  </si>
  <si>
    <t>G.13</t>
  </si>
  <si>
    <t>8</t>
  </si>
  <si>
    <t>Response Eval Options</t>
  </si>
  <si>
    <t>Response Review Options</t>
  </si>
  <si>
    <t xml:space="preserve">Note: The CAB shall provide evidence of corrective action. Evidence shall be included with response email. Please do not imbed it here. </t>
  </si>
  <si>
    <t>Count</t>
  </si>
  <si>
    <t>Plan Due (days)</t>
  </si>
  <si>
    <t>Close Due (days)</t>
  </si>
  <si>
    <t>1.5. Team Lead:</t>
  </si>
  <si>
    <t>Acceptable with evidence that was provided</t>
  </si>
  <si>
    <t>Status</t>
  </si>
  <si>
    <t>Open</t>
  </si>
  <si>
    <t>Closed</t>
  </si>
  <si>
    <t>Acceptable, conditional on evidence to be provided later</t>
  </si>
  <si>
    <t>Incomplete, with evidence that was provided</t>
  </si>
  <si>
    <t>Incomplete, with evidence to be provided later</t>
  </si>
  <si>
    <t>RA</t>
  </si>
  <si>
    <t>Items of Special Note</t>
  </si>
  <si>
    <t>Agenda Criteria</t>
  </si>
  <si>
    <t>Records Criteria</t>
  </si>
  <si>
    <t>Item Seelcted</t>
  </si>
  <si>
    <r>
      <t>1.7. Issue Date:</t>
    </r>
    <r>
      <rPr>
        <sz val="10"/>
        <rFont val="Times New Roman"/>
        <family val="1"/>
      </rPr>
      <t xml:space="preserve"> </t>
    </r>
  </si>
  <si>
    <r>
      <t>1.8. Plan Date:</t>
    </r>
    <r>
      <rPr>
        <sz val="10"/>
        <rFont val="Times New Roman"/>
        <family val="1"/>
      </rPr>
      <t xml:space="preserve"> </t>
    </r>
  </si>
  <si>
    <t xml:space="preserve">1.9. Close Date: </t>
  </si>
  <si>
    <t>1.6. Assessor</t>
  </si>
  <si>
    <t>Citation #1</t>
  </si>
  <si>
    <t>Citation #2</t>
  </si>
  <si>
    <t>Citation #3</t>
  </si>
  <si>
    <t xml:space="preserve">Customer: </t>
  </si>
  <si>
    <t>Customer Representative:</t>
  </si>
  <si>
    <t>Customer Representative Signature</t>
  </si>
  <si>
    <t>Signature above indicates the receipt of all NCRs and OFIs by Customer's representative. Thus the signatures means that this file (which contains this summary and the full details of each finding) was left with the Customer's representative while on-site.</t>
  </si>
  <si>
    <t xml:space="preserve">1.2. Customer: </t>
  </si>
  <si>
    <t xml:space="preserve">1.3. Customer Representative: </t>
  </si>
  <si>
    <t>For each NCR the customer is required to complete Part 3 only (enter your responses in white cells only).</t>
  </si>
  <si>
    <t>This sheet will then be returned to the customer.</t>
  </si>
  <si>
    <t>For each NCR (requiring further action) the customer is required to complete Part 5 only (enter your responses in white cells only).</t>
  </si>
  <si>
    <t>Instructions for Customer to respond to issues in this report.</t>
  </si>
  <si>
    <t>Instructions to Customer</t>
  </si>
  <si>
    <t>The table that controls which documents are selected as default for each program is on the "Standards" tab</t>
  </si>
  <si>
    <t xml:space="preserve">These cells will automatically go yellow when TRUE to make them easier to see. </t>
  </si>
  <si>
    <t>Unsatisfactory</t>
  </si>
  <si>
    <t>Certification</t>
  </si>
  <si>
    <t>UL LLC</t>
  </si>
  <si>
    <t>Satellite Office</t>
  </si>
  <si>
    <t>Reassessment</t>
  </si>
  <si>
    <t>Raleigh, NC</t>
  </si>
  <si>
    <t>John Reimer</t>
  </si>
  <si>
    <t>SCC Palcan</t>
  </si>
  <si>
    <t>Team Lead</t>
  </si>
  <si>
    <t>Y</t>
  </si>
  <si>
    <t>2013-06-24 to 2013-06-25</t>
  </si>
  <si>
    <t>Keith Mowry</t>
  </si>
  <si>
    <t>Internal Audit finding 2012-50-06 reported data was accepted from an unqualified laboratory.  The root cause analysis identified appropriate causes for the specific situation.  UL-LLC initiated actions to address the identified causes and to reinforce the correction through staff training.  The information available in the root cause analysis record did not demonstrate that UL-LLC fully considered the potential for systemic factors contributing to this event.</t>
  </si>
  <si>
    <t>UL-LLC has an opportunity to encourage its root cause analysis activity include an examination of the possibility that systemic factors contributed to a finding.</t>
  </si>
  <si>
    <t>SO</t>
  </si>
  <si>
    <t>ULI</t>
  </si>
  <si>
    <t>RAL</t>
  </si>
  <si>
    <t>2013-ULIRALCB-RASOAnnexA-2013-06-25-SCCOnly.xlsm</t>
  </si>
  <si>
    <t>2013OFI1-ULIRALCB-RASOAnnexA</t>
  </si>
  <si>
    <t>N/A</t>
  </si>
  <si>
    <t>2013OFI1-ULIRALCB-RASOAnnexA is an OFI cited from CAN-P-3G clause 4.7.1</t>
  </si>
  <si>
    <t>v.3.00D, 2013-02-14</t>
  </si>
  <si>
    <t>Agenda &amp; NCR/OFI Summary</t>
  </si>
  <si>
    <t>There are 0 NCRs, There is 1 OFI</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</si>
  <si>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</si>
  <si>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</si>
  <si>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IAF-ILAC A5-03-2011 clause 7.5.</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</si>
  <si>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</si>
  <si>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</si>
  <si>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</si>
  <si>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</si>
  <si>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</si>
  <si>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</si>
  <si>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</si>
  <si>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60/188-32</t>
  </si>
  <si>
    <t>Result</t>
  </si>
  <si>
    <t>Finding Number</t>
  </si>
  <si>
    <t>OFI1</t>
  </si>
  <si>
    <t>IAF GD5, ISO65</t>
  </si>
  <si>
    <t>SCC, Certification Satellite Office findings report of</t>
  </si>
  <si>
    <t>from a Reassessment of its  Raleigh, NC location.</t>
  </si>
  <si>
    <t>There are 0 NCRs</t>
  </si>
  <si>
    <t>There is 1 OFI</t>
  </si>
  <si>
    <t>OFI Status</t>
  </si>
  <si>
    <t>1.1. OFI N° :</t>
  </si>
  <si>
    <t>SCC Palcan Ref.</t>
  </si>
  <si>
    <t>2.2 a) CAN-P-3G Criteria</t>
  </si>
  <si>
    <t>4.7.1 The certification body shall conduct periodic internal audits covering all procedures in a planned and systematic manner, to verify that the quality system is implemented and is effective.
The certification body shall ensure that
a)  personnel responsible for the area audited are informed of the outcome of the audit;
b)  corrective action is taken in a timely and appropriate manner; and
c)  the results of the audit are documented.</t>
  </si>
  <si>
    <t>2.2 b)</t>
  </si>
  <si>
    <t>2.2 c)</t>
  </si>
  <si>
    <t>Part 3: As this is an OFI, entries below this line are not required, but may be provided.</t>
  </si>
  <si>
    <t>3.1 Why did this occur?</t>
  </si>
  <si>
    <t>3.2 Corrections (changes that were implemented to solve the specific issue found)</t>
  </si>
  <si>
    <t>3.3. Proposed Preventative Actions (what long term changes are proposed to ensure that this issue does not become a non-conformity)</t>
  </si>
  <si>
    <t>(Susan Cadorette, )</t>
  </si>
  <si>
    <t>UL-LLC has an opportunity to encourage its root cause analysis activity include an examination of the possibility that systemic factors have also contributed to a finding.</t>
  </si>
  <si>
    <t>Internal Audit finding 2012-50-06 reported data was accepted from an unqualified laboratory.  The UL-LLC root cause analysis identified appropriate causes for the specific situation.  Subsequently, UL-LLC initiated solid actions to address the identified causes and to reinforce the correction through staff training.  The information available in the root cause analysis record did not demonstrate that UL-LLC fully considered the potential for systemic factors contributing to this event.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</si>
</sst>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1" formatCode="_(* #,##0_);_(* \(#,##0\);_(* &quot;-&quot;_);_(@_)"/>
    <numFmt numFmtId="43" formatCode="_(* #,##0.00_);_(* \(#,##0.00\);_(* &quot;-&quot;??_);_(@_)"/>
    <numFmt numFmtId="164" formatCode="yyyy\-mm\-dd"/>
    <numFmt numFmtId="165" formatCode="[$-409]d\-mmm\-yy;@"/>
    <numFmt numFmtId="166" formatCode="0.0%"/>
  </numFmts>
  <fonts count="50">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sz val="10"/>
      <color indexed="8"/>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b/>
      <sz val="10"/>
      <color indexed="10"/>
      <name val="Arial"/>
      <family val="2"/>
    </font>
    <font>
      <b/>
      <sz val="10"/>
      <name val="Arial Narrow"/>
      <family val="2"/>
    </font>
    <font>
      <u/>
      <sz val="10"/>
      <name val="Arial"/>
      <family val="2"/>
    </font>
    <font>
      <sz val="9"/>
      <color indexed="81"/>
      <name val="Tahoma"/>
      <family val="2"/>
    </font>
    <font>
      <b/>
      <sz val="9"/>
      <color indexed="81"/>
      <name val="Tahoma"/>
      <family val="2"/>
    </font>
    <font>
      <sz val="14"/>
      <name val="Arial"/>
      <family val="2"/>
    </font>
    <font>
      <b/>
      <sz val="18"/>
      <name val="Cambria"/>
      <family val="1"/>
    </font>
    <font>
      <sz val="18"/>
      <name val="Cambria"/>
      <family val="1"/>
    </font>
    <font>
      <sz val="10"/>
      <name val="Arial"/>
      <family val="2"/>
    </font>
    <font>
      <sz val="12"/>
      <name val="Tms Rmn"/>
    </font>
    <font>
      <sz val="10"/>
      <name val="TimesNewRomanPS"/>
    </font>
    <font>
      <b/>
      <i/>
      <sz val="12"/>
      <color indexed="12"/>
      <name val="Arial"/>
      <family val="2"/>
    </font>
    <font>
      <b/>
      <sz val="10"/>
      <color indexed="8"/>
      <name val="Arial"/>
      <family val="2"/>
    </font>
    <font>
      <b/>
      <i/>
      <sz val="10"/>
      <color indexed="8"/>
      <name val="Arial"/>
      <family val="2"/>
    </font>
    <font>
      <b/>
      <i/>
      <sz val="12"/>
      <color indexed="8"/>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
      <patternFill patternType="solid">
        <fgColor rgb="FFFFFFCC"/>
        <bgColor indexed="64"/>
      </patternFill>
    </fill>
    <fill>
      <patternFill patternType="solid">
        <fgColor indexed="22"/>
      </patternFill>
    </fill>
  </fills>
  <borders count="56">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s>
  <cellStyleXfs count="26">
    <xf numFmtId="0" fontId="0" fillId="0" borderId="0"/>
    <xf numFmtId="0" fontId="8" fillId="0" borderId="0" applyNumberFormat="0" applyFill="0" applyBorder="0" applyAlignment="0" applyProtection="0">
      <alignment vertical="top"/>
      <protection locked="0"/>
    </xf>
    <xf numFmtId="0" fontId="1" fillId="0" borderId="0"/>
    <xf numFmtId="41" fontId="44" fillId="0" borderId="0" applyFont="0" applyFill="0" applyBorder="0" applyAlignment="0" applyProtection="0"/>
    <xf numFmtId="43" fontId="44" fillId="10" borderId="0" applyFont="0" applyBorder="0" applyAlignment="0" applyProtection="0"/>
    <xf numFmtId="43" fontId="44" fillId="10" borderId="0" applyFont="0" applyBorder="0" applyAlignment="0" applyProtection="0"/>
    <xf numFmtId="43" fontId="44" fillId="10" borderId="0" applyFont="0" applyBorder="0" applyAlignment="0" applyProtection="0"/>
    <xf numFmtId="43" fontId="44" fillId="10" borderId="0" applyFont="0" applyBorder="0" applyAlignment="0" applyProtection="0"/>
    <xf numFmtId="43" fontId="7" fillId="0" borderId="0" applyFont="0" applyBorder="0" applyAlignment="0" applyProtection="0"/>
    <xf numFmtId="43" fontId="44" fillId="0" borderId="0" applyFont="0" applyFill="0" applyBorder="0" applyAlignment="0" applyProtection="0"/>
    <xf numFmtId="166" fontId="44" fillId="0" borderId="0" applyFont="0" applyFill="0" applyBorder="0" applyAlignment="0" applyProtection="0"/>
    <xf numFmtId="0" fontId="7" fillId="0" borderId="0"/>
    <xf numFmtId="0" fontId="7" fillId="0" borderId="0"/>
    <xf numFmtId="0" fontId="7" fillId="0" borderId="0"/>
    <xf numFmtId="0" fontId="7" fillId="0" borderId="0"/>
    <xf numFmtId="37" fontId="45" fillId="10" borderId="0"/>
    <xf numFmtId="37" fontId="45" fillId="0" borderId="0"/>
    <xf numFmtId="10" fontId="44" fillId="0" borderId="0" applyFont="0" applyFill="0" applyBorder="0" applyAlignment="0" applyProtection="0"/>
    <xf numFmtId="9" fontId="44" fillId="0" borderId="0" applyFont="0" applyFill="0" applyBorder="0" applyAlignment="0" applyProtection="0"/>
    <xf numFmtId="0" fontId="26" fillId="0" borderId="0" applyNumberFormat="0" applyBorder="0" applyAlignment="0"/>
    <xf numFmtId="0" fontId="46" fillId="0" borderId="0" applyNumberFormat="0" applyBorder="0" applyAlignment="0"/>
    <xf numFmtId="0" fontId="26" fillId="0" borderId="0" applyNumberFormat="0" applyBorder="0" applyAlignment="0"/>
    <xf numFmtId="0" fontId="47" fillId="0" borderId="0" applyNumberFormat="0" applyBorder="0" applyAlignment="0"/>
    <xf numFmtId="0" fontId="46" fillId="12" borderId="0" applyNumberFormat="0" applyBorder="0" applyAlignment="0"/>
    <xf numFmtId="0" fontId="48" fillId="0" borderId="0" applyNumberFormat="0" applyBorder="0" applyAlignment="0"/>
    <xf numFmtId="0" fontId="49" fillId="0" borderId="0" applyNumberFormat="0" applyBorder="0" applyAlignment="0"/>
  </cellStyleXfs>
  <cellXfs count="384">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1" fillId="2" borderId="0" xfId="0" applyFont="1" applyFill="1" applyAlignment="1">
      <alignment horizontal="center"/>
    </xf>
    <xf numFmtId="0" fontId="22"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5"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7" fillId="6" borderId="8" xfId="0" applyFont="1"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10" fillId="10" borderId="23" xfId="0" applyFont="1" applyFill="1" applyBorder="1" applyAlignment="1" applyProtection="1">
      <alignment horizontal="left" vertical="top" indent="1"/>
      <protection locked="0"/>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5"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6" fillId="2" borderId="0" xfId="0" applyFont="1" applyFill="1" applyBorder="1" applyAlignment="1" applyProtection="1">
      <alignment horizontal="left" vertical="top" indent="1"/>
      <protection hidden="1"/>
    </xf>
    <xf numFmtId="0" fontId="37"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7" fillId="10" borderId="8" xfId="0" applyFont="1" applyFill="1" applyBorder="1" applyAlignment="1" applyProtection="1">
      <alignment horizontal="left"/>
      <protection locked="0"/>
    </xf>
    <xf numFmtId="0" fontId="7" fillId="4" borderId="16" xfId="0" applyFont="1" applyFill="1" applyBorder="1" applyAlignment="1" applyProtection="1">
      <alignment horizontal="right" vertical="center"/>
    </xf>
    <xf numFmtId="0" fontId="1" fillId="0" borderId="9" xfId="0" applyFont="1" applyFill="1" applyBorder="1" applyAlignment="1">
      <alignment horizontal="center" vertical="top"/>
    </xf>
    <xf numFmtId="0" fontId="1" fillId="5" borderId="0" xfId="0" applyFont="1" applyFill="1" applyAlignment="1">
      <alignment horizontal="right"/>
    </xf>
    <xf numFmtId="0" fontId="0" fillId="4" borderId="27" xfId="0" applyFill="1" applyBorder="1" applyAlignment="1">
      <alignment horizontal="right" vertical="top"/>
    </xf>
    <xf numFmtId="0" fontId="4" fillId="3" borderId="3" xfId="0" applyFont="1" applyFill="1" applyBorder="1" applyAlignment="1">
      <alignment vertical="top"/>
    </xf>
    <xf numFmtId="0" fontId="4" fillId="3" borderId="4" xfId="0" applyFont="1" applyFill="1" applyBorder="1" applyAlignment="1">
      <alignment vertical="top" wrapText="1"/>
    </xf>
    <xf numFmtId="0" fontId="4" fillId="3" borderId="6" xfId="0" applyFont="1" applyFill="1" applyBorder="1" applyAlignment="1" applyProtection="1">
      <alignment horizontal="center" vertical="center"/>
    </xf>
    <xf numFmtId="164" fontId="7" fillId="4" borderId="45" xfId="0" applyNumberFormat="1" applyFont="1" applyFill="1" applyBorder="1" applyAlignment="1" applyProtection="1">
      <alignment horizontal="center" vertical="top"/>
    </xf>
    <xf numFmtId="0" fontId="4" fillId="3" borderId="7" xfId="0" applyFont="1" applyFill="1" applyBorder="1" applyAlignment="1" applyProtection="1">
      <alignment vertical="top"/>
    </xf>
    <xf numFmtId="164" fontId="7" fillId="4" borderId="11" xfId="0" applyNumberFormat="1" applyFont="1" applyFill="1" applyBorder="1" applyAlignment="1" applyProtection="1">
      <alignment horizontal="center" vertical="top"/>
    </xf>
    <xf numFmtId="0" fontId="7" fillId="4" borderId="0" xfId="0" applyFont="1" applyFill="1" applyBorder="1" applyAlignment="1" applyProtection="1">
      <alignment horizontal="right" vertical="center"/>
    </xf>
    <xf numFmtId="0" fontId="40" fillId="0" borderId="9" xfId="0" applyFont="1" applyBorder="1" applyAlignment="1" applyProtection="1">
      <alignment horizontal="center" vertical="center"/>
    </xf>
    <xf numFmtId="1" fontId="7" fillId="11" borderId="20" xfId="0" applyNumberFormat="1" applyFont="1" applyFill="1" applyBorder="1" applyAlignment="1" applyProtection="1">
      <alignment horizontal="center" vertical="center"/>
      <protection locked="0"/>
    </xf>
    <xf numFmtId="0" fontId="9" fillId="3" borderId="18" xfId="0" applyFont="1" applyFill="1" applyBorder="1" applyAlignment="1">
      <alignment horizontal="right" vertical="center"/>
    </xf>
    <xf numFmtId="0" fontId="4" fillId="4" borderId="0" xfId="0" applyFont="1" applyFill="1" applyBorder="1" applyAlignment="1" applyProtection="1">
      <alignment horizontal="left" vertical="top"/>
    </xf>
    <xf numFmtId="0" fontId="0" fillId="0" borderId="0" xfId="0" applyAlignment="1">
      <alignment horizontal="center"/>
    </xf>
    <xf numFmtId="0" fontId="0" fillId="0" borderId="0" xfId="0" applyAlignment="1">
      <alignment horizontal="center"/>
    </xf>
    <xf numFmtId="0" fontId="4" fillId="3" borderId="2"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0" borderId="19" xfId="0" applyBorder="1" applyAlignment="1">
      <alignment horizontal="left" vertical="center"/>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1" fillId="10" borderId="29" xfId="0" applyFont="1" applyFill="1" applyBorder="1" applyAlignment="1">
      <alignment vertical="top" wrapText="1"/>
    </xf>
    <xf numFmtId="0" fontId="43" fillId="10" borderId="15" xfId="0" applyFont="1" applyFill="1" applyBorder="1" applyAlignment="1">
      <alignment vertical="top" wrapText="1"/>
    </xf>
    <xf numFmtId="0" fontId="43"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1" fillId="0" borderId="29" xfId="0" applyFont="1" applyBorder="1" applyAlignment="1">
      <alignment horizontal="left" vertical="center"/>
    </xf>
    <xf numFmtId="0" fontId="32" fillId="10" borderId="26" xfId="0" applyFont="1" applyFill="1" applyBorder="1" applyAlignment="1">
      <alignment horizontal="right"/>
    </xf>
    <xf numFmtId="0" fontId="32" fillId="0" borderId="27" xfId="0" applyFont="1" applyBorder="1" applyAlignment="1">
      <alignment horizontal="right"/>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0" fillId="4" borderId="29" xfId="0" applyFill="1" applyBorder="1" applyAlignment="1">
      <alignment vertical="top"/>
    </xf>
    <xf numFmtId="0" fontId="0" fillId="4" borderId="19" xfId="0" applyFill="1" applyBorder="1" applyAlignment="1">
      <alignment vertical="top"/>
    </xf>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4" fillId="3" borderId="9" xfId="0" applyFont="1" applyFill="1" applyBorder="1" applyAlignment="1">
      <alignment horizontal="right" vertical="center"/>
    </xf>
    <xf numFmtId="0" fontId="0" fillId="0" borderId="9" xfId="0" applyBorder="1" applyAlignment="1"/>
    <xf numFmtId="0" fontId="3"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4" fillId="3" borderId="6" xfId="0" applyFont="1" applyFill="1" applyBorder="1" applyAlignment="1">
      <alignment horizontal="right" vertical="center"/>
    </xf>
    <xf numFmtId="0" fontId="0" fillId="0" borderId="6" xfId="0" applyBorder="1" applyAlignment="1"/>
    <xf numFmtId="0" fontId="9" fillId="3" borderId="29" xfId="0" applyFont="1" applyFill="1" applyBorder="1" applyAlignment="1"/>
    <xf numFmtId="0" fontId="9" fillId="3" borderId="19" xfId="0" applyFont="1" applyFill="1" applyBorder="1" applyAlignment="1"/>
    <xf numFmtId="0" fontId="5" fillId="2" borderId="0" xfId="0" applyFont="1" applyFill="1" applyBorder="1" applyAlignment="1">
      <alignment horizontal="center"/>
    </xf>
    <xf numFmtId="0" fontId="1" fillId="0" borderId="0" xfId="0" applyFont="1" applyBorder="1" applyAlignment="1">
      <alignment horizontal="center"/>
    </xf>
    <xf numFmtId="0" fontId="1" fillId="10" borderId="35" xfId="0" applyFont="1" applyFill="1" applyBorder="1" applyAlignment="1" applyProtection="1">
      <alignment horizontal="center"/>
      <protection locked="0"/>
    </xf>
    <xf numFmtId="0" fontId="1" fillId="10" borderId="36" xfId="0" applyFont="1" applyFill="1" applyBorder="1" applyAlignment="1" applyProtection="1">
      <alignment horizontal="center"/>
      <protection locked="0"/>
    </xf>
    <xf numFmtId="0" fontId="1"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6" fillId="3" borderId="43" xfId="0" applyFont="1" applyFill="1" applyBorder="1" applyAlignment="1">
      <alignment vertical="top" wrapText="1"/>
    </xf>
    <xf numFmtId="0" fontId="1" fillId="0" borderId="1" xfId="0" applyFont="1" applyBorder="1" applyAlignment="1">
      <alignment vertical="top" wrapText="1"/>
    </xf>
    <xf numFmtId="0" fontId="41" fillId="3" borderId="28" xfId="0" applyFont="1" applyFill="1" applyBorder="1" applyAlignment="1" applyProtection="1">
      <alignment horizontal="center" vertical="center"/>
    </xf>
    <xf numFmtId="0" fontId="42" fillId="0" borderId="11" xfId="0" applyFont="1" applyBorder="1" applyAlignment="1"/>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53" xfId="0" applyFont="1" applyFill="1" applyBorder="1" applyAlignment="1">
      <alignment vertical="top"/>
    </xf>
    <xf numFmtId="0" fontId="0" fillId="0" borderId="6" xfId="0" applyBorder="1" applyAlignment="1">
      <alignment vertical="top"/>
    </xf>
    <xf numFmtId="0" fontId="4" fillId="3" borderId="6" xfId="0" applyFont="1" applyFill="1" applyBorder="1" applyAlignment="1">
      <alignment horizontal="left" vertical="top"/>
    </xf>
    <xf numFmtId="0" fontId="0" fillId="0" borderId="6" xfId="0" applyBorder="1" applyAlignment="1">
      <alignment horizontal="left" vertical="top"/>
    </xf>
    <xf numFmtId="0" fontId="7" fillId="4" borderId="54" xfId="0" applyFont="1" applyFill="1" applyBorder="1" applyAlignment="1">
      <alignment vertical="top"/>
    </xf>
    <xf numFmtId="0" fontId="0" fillId="0" borderId="55" xfId="0" applyBorder="1" applyAlignment="1">
      <alignment vertical="top"/>
    </xf>
    <xf numFmtId="0" fontId="7" fillId="0" borderId="55" xfId="0" applyFont="1" applyFill="1" applyBorder="1" applyAlignment="1">
      <alignment horizontal="left" vertical="top"/>
    </xf>
    <xf numFmtId="0" fontId="0" fillId="0" borderId="55" xfId="0" applyFill="1" applyBorder="1" applyAlignment="1">
      <alignment horizontal="left" vertical="top"/>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1" fillId="0" borderId="15" xfId="0" applyFont="1" applyBorder="1" applyAlignment="1"/>
    <xf numFmtId="0" fontId="4" fillId="3" borderId="2" xfId="0" applyFont="1" applyFill="1" applyBorder="1" applyAlignment="1">
      <alignment vertical="top"/>
    </xf>
    <xf numFmtId="0" fontId="0" fillId="0" borderId="3" xfId="0" applyBorder="1" applyAlignment="1"/>
    <xf numFmtId="0" fontId="0" fillId="0" borderId="5" xfId="0" applyBorder="1" applyAlignment="1"/>
    <xf numFmtId="0" fontId="7" fillId="4" borderId="14" xfId="0" applyFont="1" applyFill="1" applyBorder="1" applyAlignment="1">
      <alignment vertical="center"/>
    </xf>
    <xf numFmtId="0" fontId="0" fillId="0" borderId="18" xfId="0" applyBorder="1" applyAlignment="1">
      <alignment vertical="center"/>
    </xf>
    <xf numFmtId="0" fontId="0" fillId="0" borderId="27" xfId="0" applyBorder="1" applyAlignment="1">
      <alignment vertical="center"/>
    </xf>
    <xf numFmtId="0" fontId="7" fillId="4" borderId="25" xfId="0" applyFont="1" applyFill="1" applyBorder="1" applyAlignment="1">
      <alignment vertical="top"/>
    </xf>
    <xf numFmtId="0" fontId="0" fillId="0" borderId="0" xfId="0" applyAlignment="1"/>
    <xf numFmtId="0" fontId="0" fillId="0" borderId="31" xfId="0" applyBorder="1" applyAlignment="1"/>
    <xf numFmtId="0" fontId="0" fillId="0" borderId="3" xfId="0" applyBorder="1" applyAlignment="1">
      <alignment vertical="top"/>
    </xf>
    <xf numFmtId="0" fontId="0" fillId="0" borderId="5" xfId="0" applyBorder="1" applyAlignment="1">
      <alignment vertical="top"/>
    </xf>
    <xf numFmtId="0" fontId="7" fillId="4" borderId="14" xfId="0" applyFont="1" applyFill="1" applyBorder="1" applyAlignment="1">
      <alignment vertical="top"/>
    </xf>
    <xf numFmtId="0" fontId="0" fillId="0" borderId="18" xfId="0" applyBorder="1" applyAlignment="1">
      <alignment vertical="top"/>
    </xf>
    <xf numFmtId="0" fontId="0" fillId="0" borderId="27" xfId="0" applyBorder="1" applyAlignment="1">
      <alignment vertical="top"/>
    </xf>
    <xf numFmtId="0" fontId="11" fillId="10" borderId="49" xfId="0" applyFont="1" applyFill="1" applyBorder="1" applyAlignment="1" applyProtection="1">
      <alignment horizontal="left" vertical="top" wrapText="1" inden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11" fillId="10" borderId="46"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5" xfId="0" applyFont="1" applyFill="1" applyBorder="1" applyAlignment="1">
      <alignment horizontal="left" vertical="top" wrapText="1" indent="1" shrinkToFit="1"/>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4" fillId="4" borderId="12" xfId="0" applyFont="1" applyFill="1" applyBorder="1" applyAlignment="1">
      <alignment horizontal="left" vertical="top" wrapText="1"/>
    </xf>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3" fillId="4" borderId="14" xfId="0" applyFont="1" applyFill="1" applyBorder="1" applyAlignment="1">
      <alignment horizontal="left" vertical="top" wrapText="1" indent="1" shrinkToFit="1"/>
    </xf>
    <xf numFmtId="0" fontId="23" fillId="4" borderId="18" xfId="0" applyFont="1" applyFill="1" applyBorder="1" applyAlignment="1">
      <alignment horizontal="left" vertical="top" wrapText="1" indent="1" shrinkToFit="1"/>
    </xf>
    <xf numFmtId="0" fontId="23" fillId="4" borderId="17" xfId="0" applyFont="1" applyFill="1" applyBorder="1" applyAlignment="1">
      <alignment horizontal="left" vertical="top" wrapText="1" indent="1" shrinkToFit="1"/>
    </xf>
    <xf numFmtId="0" fontId="23" fillId="4" borderId="14" xfId="0" applyFont="1" applyFill="1" applyBorder="1" applyAlignment="1">
      <alignment horizontal="left" vertical="top" wrapText="1" indent="1"/>
    </xf>
    <xf numFmtId="0" fontId="24" fillId="0" borderId="18" xfId="0" applyFont="1" applyBorder="1" applyAlignment="1">
      <alignment horizontal="left" vertical="top" wrapText="1" indent="1"/>
    </xf>
    <xf numFmtId="0" fontId="24" fillId="0" borderId="17" xfId="0" applyFont="1" applyBorder="1" applyAlignment="1">
      <alignment horizontal="left" vertical="top" wrapText="1" indent="1"/>
    </xf>
    <xf numFmtId="0" fontId="23" fillId="4" borderId="14" xfId="0" applyFont="1" applyFill="1" applyBorder="1" applyAlignment="1" applyProtection="1">
      <alignment horizontal="left" vertical="top" wrapText="1" indent="1"/>
    </xf>
    <xf numFmtId="0" fontId="24" fillId="0" borderId="18" xfId="0" applyFont="1" applyBorder="1" applyAlignment="1" applyProtection="1">
      <alignment horizontal="left" vertical="top" wrapText="1" indent="1"/>
    </xf>
    <xf numFmtId="0" fontId="24" fillId="0" borderId="17" xfId="0" applyFont="1" applyBorder="1" applyAlignment="1" applyProtection="1">
      <alignment horizontal="left" vertical="top" wrapText="1" indent="1"/>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4" fillId="9" borderId="2" xfId="0" applyFont="1" applyFill="1" applyBorder="1" applyAlignment="1">
      <alignment vertical="top"/>
    </xf>
    <xf numFmtId="0" fontId="1" fillId="0" borderId="3" xfId="0" applyFont="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3" borderId="2" xfId="0" applyFont="1" applyFill="1" applyBorder="1" applyAlignment="1" applyProtection="1">
      <alignment vertical="top"/>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1" fillId="0" borderId="0" xfId="0" applyFont="1" applyAlignment="1" applyProtection="1">
      <alignment horizontal="left" vertical="top" wrapText="1" indent="5"/>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4" fillId="8" borderId="2" xfId="0" applyFont="1" applyFill="1" applyBorder="1" applyAlignment="1" applyProtection="1">
      <alignment vertical="top"/>
    </xf>
    <xf numFmtId="0" fontId="1" fillId="0" borderId="39" xfId="0" applyFont="1" applyBorder="1" applyAlignment="1">
      <alignment horizontal="left" indent="1"/>
    </xf>
    <xf numFmtId="0" fontId="1" fillId="0" borderId="40" xfId="0" applyFont="1" applyBorder="1" applyAlignment="1">
      <alignment horizontal="left" indent="1"/>
    </xf>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7" fillId="4" borderId="52"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xf numFmtId="0" fontId="4" fillId="4" borderId="38" xfId="0" applyFont="1" applyFill="1" applyBorder="1" applyAlignment="1" applyProtection="1">
      <alignment horizontal="left" vertical="top" wrapText="1"/>
    </xf>
    <xf numFmtId="0" fontId="4" fillId="4" borderId="39" xfId="0" applyFont="1" applyFill="1" applyBorder="1" applyAlignment="1" applyProtection="1">
      <alignment horizontal="left" vertical="top" wrapText="1"/>
    </xf>
    <xf numFmtId="0" fontId="4" fillId="4" borderId="45" xfId="0" applyFont="1" applyFill="1" applyBorder="1" applyAlignment="1" applyProtection="1">
      <alignment horizontal="left" vertical="top" wrapText="1"/>
    </xf>
  </cellXfs>
  <cellStyles count="26">
    <cellStyle name="Comma [0] 2" xfId="3"/>
    <cellStyle name="Comma 2 2" xfId="4"/>
    <cellStyle name="Comma 2 3" xfId="5"/>
    <cellStyle name="Comma 2 4" xfId="6"/>
    <cellStyle name="Comma 2 5" xfId="7"/>
    <cellStyle name="Comma 3" xfId="8"/>
    <cellStyle name="Comma 4" xfId="9"/>
    <cellStyle name="Currency 2" xfId="10"/>
    <cellStyle name="Hyperlink" xfId="1" builtinId="8"/>
    <cellStyle name="Normal" xfId="0" builtinId="0"/>
    <cellStyle name="Normal 2" xfId="2"/>
    <cellStyle name="Normal 2 2" xfId="11"/>
    <cellStyle name="Normal 2 3" xfId="12"/>
    <cellStyle name="Normal 2 4" xfId="13"/>
    <cellStyle name="Normal 2 5" xfId="14"/>
    <cellStyle name="Normal 3" xfId="15"/>
    <cellStyle name="Normal 4" xfId="16"/>
    <cellStyle name="Percent 2" xfId="17"/>
    <cellStyle name="Percent 3" xfId="18"/>
    <cellStyle name="STYLE1" xfId="19"/>
    <cellStyle name="STYLE2" xfId="20"/>
    <cellStyle name="STYLE3" xfId="21"/>
    <cellStyle name="STYLE4" xfId="22"/>
    <cellStyle name="STYLE5" xfId="23"/>
    <cellStyle name="STYLE6" xfId="24"/>
    <cellStyle name="STYLE7" xfId="25"/>
  </cellStyles>
  <dxfs count="31">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22"/>
      </font>
    </dxf>
    <dxf>
      <font>
        <condense val="0"/>
        <extend val="0"/>
      </font>
      <fill>
        <patternFill>
          <bgColor indexed="10"/>
        </patternFill>
      </fill>
    </dxf>
    <dxf>
      <font>
        <condense val="0"/>
        <extend val="0"/>
      </font>
      <fill>
        <patternFill>
          <bgColor indexed="10"/>
        </patternFill>
      </fill>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ill>
        <patternFill>
          <bgColor rgb="FFFFFF00"/>
        </patternFill>
      </fill>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colors>
    <mruColors>
      <color rgb="FFFF8080"/>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14.emf"/><Relationship Id="rId18" Type="http://schemas.openxmlformats.org/officeDocument/2006/relationships/image" Target="../media/image9.emf"/><Relationship Id="rId3" Type="http://schemas.openxmlformats.org/officeDocument/2006/relationships/image" Target="../media/image24.emf"/><Relationship Id="rId21" Type="http://schemas.openxmlformats.org/officeDocument/2006/relationships/image" Target="../media/image6.emf"/><Relationship Id="rId7" Type="http://schemas.openxmlformats.org/officeDocument/2006/relationships/image" Target="../media/image20.emf"/><Relationship Id="rId12" Type="http://schemas.openxmlformats.org/officeDocument/2006/relationships/image" Target="../media/image15.emf"/><Relationship Id="rId17" Type="http://schemas.openxmlformats.org/officeDocument/2006/relationships/image" Target="../media/image10.emf"/><Relationship Id="rId2" Type="http://schemas.openxmlformats.org/officeDocument/2006/relationships/image" Target="../media/image25.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24" Type="http://schemas.openxmlformats.org/officeDocument/2006/relationships/image" Target="../media/image3.emf"/><Relationship Id="rId5" Type="http://schemas.openxmlformats.org/officeDocument/2006/relationships/image" Target="../media/image22.emf"/><Relationship Id="rId15" Type="http://schemas.openxmlformats.org/officeDocument/2006/relationships/image" Target="../media/image12.emf"/><Relationship Id="rId23" Type="http://schemas.openxmlformats.org/officeDocument/2006/relationships/image" Target="../media/image4.emf"/><Relationship Id="rId10" Type="http://schemas.openxmlformats.org/officeDocument/2006/relationships/image" Target="../media/image17.emf"/><Relationship Id="rId19" Type="http://schemas.openxmlformats.org/officeDocument/2006/relationships/image" Target="../media/image8.emf"/><Relationship Id="rId4" Type="http://schemas.openxmlformats.org/officeDocument/2006/relationships/image" Target="../media/image23.emf"/><Relationship Id="rId9" Type="http://schemas.openxmlformats.org/officeDocument/2006/relationships/image" Target="../media/image18.emf"/><Relationship Id="rId14" Type="http://schemas.openxmlformats.org/officeDocument/2006/relationships/image" Target="../media/image13.emf"/><Relationship Id="rId22"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137160</xdr:colOff>
          <xdr:row>108</xdr:row>
          <xdr:rowOff>68580</xdr:rowOff>
        </xdr:from>
        <xdr:to>
          <xdr:col>4</xdr:col>
          <xdr:colOff>1280160</xdr:colOff>
          <xdr:row>110</xdr:row>
          <xdr:rowOff>22860</xdr:rowOff>
        </xdr:to>
        <xdr:sp macro="" textlink="">
          <xdr:nvSpPr>
            <xdr:cNvPr id="3297" name="CommandButton5" hidden="1">
              <a:extLst>
                <a:ext uri="{63B3BB69-23CF-44E3-9099-C40C66FF867C}">
                  <a14:compatExt spid="_x0000_s3297"/>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247650</xdr:colOff>
      <xdr:row>15</xdr:row>
      <xdr:rowOff>123825</xdr:rowOff>
    </xdr:from>
    <xdr:to>
      <xdr:col>9</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2" name="CheckBox5" hidden="1">
              <a:extLst>
                <a:ext uri="{63B3BB69-23CF-44E3-9099-C40C66FF867C}">
                  <a14:compatExt spid="_x0000_s10547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3" name="CheckBox6" hidden="1">
              <a:extLst>
                <a:ext uri="{63B3BB69-23CF-44E3-9099-C40C66FF867C}">
                  <a14:compatExt spid="_x0000_s10547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1054724" name="CheckBox7" hidden="1">
              <a:extLst>
                <a:ext uri="{63B3BB69-23CF-44E3-9099-C40C66FF867C}">
                  <a14:compatExt spid="_x0000_s10547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1054725" name="CheckBox8" hidden="1">
              <a:extLst>
                <a:ext uri="{63B3BB69-23CF-44E3-9099-C40C66FF867C}">
                  <a14:compatExt spid="_x0000_s10547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1054726" name="CheckBox9" hidden="1">
              <a:extLst>
                <a:ext uri="{63B3BB69-23CF-44E3-9099-C40C66FF867C}">
                  <a14:compatExt spid="_x0000_s10547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1054727" name="CheckBox10" hidden="1">
              <a:extLst>
                <a:ext uri="{63B3BB69-23CF-44E3-9099-C40C66FF867C}">
                  <a14:compatExt spid="_x0000_s10547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8" name="CheckBox1" hidden="1">
              <a:extLst>
                <a:ext uri="{63B3BB69-23CF-44E3-9099-C40C66FF867C}">
                  <a14:compatExt spid="_x0000_s10547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29" name="CheckBox2" hidden="1">
              <a:extLst>
                <a:ext uri="{63B3BB69-23CF-44E3-9099-C40C66FF867C}">
                  <a14:compatExt spid="_x0000_s10547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1054730" name="CheckBox3" hidden="1">
              <a:extLst>
                <a:ext uri="{63B3BB69-23CF-44E3-9099-C40C66FF867C}">
                  <a14:compatExt spid="_x0000_s10547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1" name="CheckBox4" hidden="1">
              <a:extLst>
                <a:ext uri="{63B3BB69-23CF-44E3-9099-C40C66FF867C}">
                  <a14:compatExt spid="_x0000_s10547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2" name="CheckBox11" hidden="1">
              <a:extLst>
                <a:ext uri="{63B3BB69-23CF-44E3-9099-C40C66FF867C}">
                  <a14:compatExt spid="_x0000_s10547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1054733" name="CheckBox12" hidden="1">
              <a:extLst>
                <a:ext uri="{63B3BB69-23CF-44E3-9099-C40C66FF867C}">
                  <a14:compatExt spid="_x0000_s10547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4" name="CheckBox16" hidden="1">
              <a:extLst>
                <a:ext uri="{63B3BB69-23CF-44E3-9099-C40C66FF867C}">
                  <a14:compatExt spid="_x0000_s10547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5" name="CheckBox17" hidden="1">
              <a:extLst>
                <a:ext uri="{63B3BB69-23CF-44E3-9099-C40C66FF867C}">
                  <a14:compatExt spid="_x0000_s10547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1054736" name="CheckBox18" hidden="1">
              <a:extLst>
                <a:ext uri="{63B3BB69-23CF-44E3-9099-C40C66FF867C}">
                  <a14:compatExt spid="_x0000_s10547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7" name="CheckBox19" hidden="1">
              <a:extLst>
                <a:ext uri="{63B3BB69-23CF-44E3-9099-C40C66FF867C}">
                  <a14:compatExt spid="_x0000_s10547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8" name="CheckBox20" hidden="1">
              <a:extLst>
                <a:ext uri="{63B3BB69-23CF-44E3-9099-C40C66FF867C}">
                  <a14:compatExt spid="_x0000_s10547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1054739" name="CheckBox21" hidden="1">
              <a:extLst>
                <a:ext uri="{63B3BB69-23CF-44E3-9099-C40C66FF867C}">
                  <a14:compatExt spid="_x0000_s10547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0" name="CheckBox22" hidden="1">
              <a:extLst>
                <a:ext uri="{63B3BB69-23CF-44E3-9099-C40C66FF867C}">
                  <a14:compatExt spid="_x0000_s10547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1" name="CheckBox23" hidden="1">
              <a:extLst>
                <a:ext uri="{63B3BB69-23CF-44E3-9099-C40C66FF867C}">
                  <a14:compatExt spid="_x0000_s10547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1054742" name="CheckBox24" hidden="1">
              <a:extLst>
                <a:ext uri="{63B3BB69-23CF-44E3-9099-C40C66FF867C}">
                  <a14:compatExt spid="_x0000_s10547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1054743" name="CheckBox13" hidden="1">
              <a:extLst>
                <a:ext uri="{63B3BB69-23CF-44E3-9099-C40C66FF867C}">
                  <a14:compatExt spid="_x0000_s10547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1054744" name="CheckBox14" hidden="1">
              <a:extLst>
                <a:ext uri="{63B3BB69-23CF-44E3-9099-C40C66FF867C}">
                  <a14:compatExt spid="_x0000_s10547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1054745" name="CheckBox15" hidden="1">
              <a:extLst>
                <a:ext uri="{63B3BB69-23CF-44E3-9099-C40C66FF867C}">
                  <a14:compatExt spid="_x0000_s1054745"/>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3" Type="http://schemas.openxmlformats.org/officeDocument/2006/relationships/vmlDrawing" Target="../drawings/vmlDrawing3.vml"/><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image" Target="../media/image24.emf"/><Relationship Id="rId50" Type="http://schemas.openxmlformats.org/officeDocument/2006/relationships/control" Target="../activeX/activeX25.xml"/><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ntrol" Target="../activeX/activeX23.xml"/><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3.emf"/><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5.emf"/><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2.xml"/><Relationship Id="rId52" Type="http://schemas.openxmlformats.org/officeDocument/2006/relationships/comments" Target="../comments3.xml"/><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4.xml"/><Relationship Id="rId8" Type="http://schemas.openxmlformats.org/officeDocument/2006/relationships/control" Target="../activeX/activeX4.xml"/><Relationship Id="rId51" Type="http://schemas.openxmlformats.org/officeDocument/2006/relationships/image" Target="../media/image26.emf"/></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J1041"/>
  <sheetViews>
    <sheetView showGridLines="0" topLeftCell="A100" zoomScaleNormal="100" zoomScaleSheetLayoutView="100" workbookViewId="0">
      <selection activeCell="B50" sqref="B50"/>
    </sheetView>
  </sheetViews>
  <sheetFormatPr defaultRowHeight="13.2" outlineLevelRow="1"/>
  <cols>
    <col min="1" max="1" width="3.33203125" style="32" customWidth="1"/>
    <col min="2" max="2" width="3.109375" style="32" customWidth="1"/>
    <col min="3" max="3" width="30.109375" customWidth="1"/>
    <col min="4" max="4" width="43.5546875" customWidth="1"/>
    <col min="5" max="5" width="31.33203125" customWidth="1"/>
    <col min="6" max="6" width="5.5546875" customWidth="1"/>
    <col min="7" max="8" width="5.6640625" hidden="1" customWidth="1"/>
    <col min="9" max="9" width="7.33203125" hidden="1" customWidth="1"/>
    <col min="10" max="10" width="10" hidden="1" customWidth="1"/>
  </cols>
  <sheetData>
    <row r="1" spans="1:8" hidden="1" outlineLevel="1">
      <c r="A1" s="51"/>
      <c r="B1" s="29"/>
      <c r="C1" s="145" t="s">
        <v>4</v>
      </c>
      <c r="D1" s="146" t="s">
        <v>232</v>
      </c>
      <c r="E1" s="147"/>
      <c r="F1" s="147"/>
      <c r="G1" s="54"/>
      <c r="H1" s="54"/>
    </row>
    <row r="2" spans="1:8" hidden="1" outlineLevel="1">
      <c r="A2" s="51"/>
      <c r="B2" s="29"/>
      <c r="C2" s="145" t="s">
        <v>5</v>
      </c>
      <c r="D2" s="146" t="s">
        <v>195</v>
      </c>
      <c r="E2" s="147"/>
      <c r="F2" s="147"/>
      <c r="G2" s="54"/>
      <c r="H2" s="54"/>
    </row>
    <row r="3" spans="1:8" hidden="1" outlineLevel="1">
      <c r="A3" s="51"/>
      <c r="B3" s="29"/>
      <c r="C3" s="145" t="s">
        <v>39</v>
      </c>
      <c r="D3" s="146" t="s">
        <v>233</v>
      </c>
      <c r="E3" s="147"/>
      <c r="F3" s="147"/>
      <c r="G3" s="54"/>
      <c r="H3" s="54"/>
    </row>
    <row r="4" spans="1:8" hidden="1" outlineLevel="1">
      <c r="A4"/>
      <c r="B4"/>
    </row>
    <row r="5" spans="1:8" hidden="1" outlineLevel="1">
      <c r="A5"/>
      <c r="B5"/>
    </row>
    <row r="6" spans="1:8" hidden="1" outlineLevel="1">
      <c r="A6"/>
      <c r="B6"/>
    </row>
    <row r="7" spans="1:8" hidden="1" outlineLevel="1">
      <c r="A7"/>
      <c r="B7"/>
    </row>
    <row r="8" spans="1:8" hidden="1" outlineLevel="1">
      <c r="A8"/>
      <c r="B8"/>
    </row>
    <row r="9" spans="1:8" hidden="1" outlineLevel="1">
      <c r="A9"/>
      <c r="B9"/>
    </row>
    <row r="10" spans="1:8" hidden="1" outlineLevel="1">
      <c r="A10"/>
      <c r="B10"/>
    </row>
    <row r="11" spans="1:8" hidden="1" outlineLevel="1">
      <c r="A11"/>
      <c r="B11"/>
    </row>
    <row r="12" spans="1:8" hidden="1" outlineLevel="1">
      <c r="A12"/>
      <c r="B12"/>
    </row>
    <row r="13" spans="1:8" hidden="1" outlineLevel="1">
      <c r="A13"/>
      <c r="B13"/>
    </row>
    <row r="14" spans="1:8" hidden="1" outlineLevel="1">
      <c r="A14"/>
      <c r="B14"/>
    </row>
    <row r="15" spans="1:8" hidden="1" outlineLevel="1">
      <c r="A15"/>
      <c r="B15"/>
    </row>
    <row r="16" spans="1:8" hidden="1" outlineLevel="1">
      <c r="A16"/>
      <c r="B16"/>
    </row>
    <row r="17" spans="1:2" hidden="1" outlineLevel="1">
      <c r="A17"/>
      <c r="B17"/>
    </row>
    <row r="18" spans="1:2" hidden="1" outlineLevel="1">
      <c r="A18"/>
      <c r="B18"/>
    </row>
    <row r="19" spans="1:2" hidden="1" outlineLevel="1">
      <c r="A19"/>
      <c r="B19"/>
    </row>
    <row r="20" spans="1:2" hidden="1" outlineLevel="1">
      <c r="A20"/>
      <c r="B20"/>
    </row>
    <row r="21" spans="1:2" hidden="1" outlineLevel="1">
      <c r="A21"/>
      <c r="B21"/>
    </row>
    <row r="22" spans="1:2" hidden="1" outlineLevel="1">
      <c r="A22"/>
      <c r="B22"/>
    </row>
    <row r="23" spans="1:2" hidden="1" outlineLevel="1">
      <c r="A23"/>
      <c r="B23"/>
    </row>
    <row r="24" spans="1:2" hidden="1" outlineLevel="1">
      <c r="A24"/>
      <c r="B24"/>
    </row>
    <row r="25" spans="1:2" hidden="1" outlineLevel="1">
      <c r="A25"/>
      <c r="B25"/>
    </row>
    <row r="26" spans="1:2" hidden="1" outlineLevel="1">
      <c r="A26"/>
      <c r="B26"/>
    </row>
    <row r="27" spans="1:2" hidden="1" outlineLevel="1">
      <c r="A27"/>
      <c r="B27"/>
    </row>
    <row r="28" spans="1:2" hidden="1" outlineLevel="1">
      <c r="A28"/>
      <c r="B28"/>
    </row>
    <row r="29" spans="1:2" hidden="1" outlineLevel="1">
      <c r="A29"/>
      <c r="B29"/>
    </row>
    <row r="30" spans="1:2" hidden="1" outlineLevel="1">
      <c r="A30"/>
      <c r="B30"/>
    </row>
    <row r="31" spans="1:2" hidden="1" outlineLevel="1">
      <c r="A31"/>
      <c r="B31"/>
    </row>
    <row r="32" spans="1:2" hidden="1" outlineLevel="1">
      <c r="A32"/>
      <c r="B32"/>
    </row>
    <row r="33" spans="1:8" hidden="1" outlineLevel="1">
      <c r="A33"/>
      <c r="B33"/>
    </row>
    <row r="34" spans="1:8" hidden="1" outlineLevel="1">
      <c r="A34"/>
      <c r="B34"/>
    </row>
    <row r="35" spans="1:8" hidden="1" outlineLevel="1">
      <c r="A35"/>
      <c r="B35"/>
    </row>
    <row r="36" spans="1:8" hidden="1" outlineLevel="1">
      <c r="A36"/>
      <c r="B36"/>
    </row>
    <row r="37" spans="1:8" hidden="1" outlineLevel="1">
      <c r="A37"/>
      <c r="B37"/>
    </row>
    <row r="38" spans="1:8" hidden="1" outlineLevel="1">
      <c r="A38"/>
      <c r="B38"/>
    </row>
    <row r="39" spans="1:8" hidden="1" outlineLevel="1">
      <c r="A39"/>
      <c r="B39"/>
    </row>
    <row r="40" spans="1:8" hidden="1" outlineLevel="1">
      <c r="A40"/>
      <c r="B40"/>
    </row>
    <row r="41" spans="1:8" hidden="1" outlineLevel="1">
      <c r="A41"/>
      <c r="B41"/>
    </row>
    <row r="42" spans="1:8" hidden="1" outlineLevel="1">
      <c r="A42"/>
      <c r="B42"/>
    </row>
    <row r="43" spans="1:8" hidden="1" outlineLevel="1">
      <c r="A43"/>
      <c r="B43"/>
    </row>
    <row r="44" spans="1:8" hidden="1" outlineLevel="1">
      <c r="A44"/>
      <c r="B44"/>
    </row>
    <row r="45" spans="1:8" hidden="1" outlineLevel="1">
      <c r="A45" s="51"/>
      <c r="B45" s="29"/>
      <c r="C45" s="54"/>
      <c r="D45" s="54"/>
      <c r="E45" s="54"/>
      <c r="F45" s="54"/>
      <c r="G45" s="54"/>
      <c r="H45" s="54"/>
    </row>
    <row r="46" spans="1:8" hidden="1" outlineLevel="1">
      <c r="A46" s="51"/>
      <c r="B46" s="29"/>
      <c r="C46" s="69" t="s">
        <v>154</v>
      </c>
      <c r="D46" s="69" t="s">
        <v>155</v>
      </c>
      <c r="E46" s="54"/>
      <c r="F46" s="54"/>
      <c r="G46" s="54"/>
      <c r="H46" s="54"/>
    </row>
    <row r="47" spans="1:8" hidden="1" outlineLevel="1">
      <c r="A47" s="51"/>
      <c r="B47" s="29"/>
      <c r="C47" s="172" t="s">
        <v>161</v>
      </c>
      <c r="D47" s="172" t="s">
        <v>27</v>
      </c>
      <c r="E47" s="54"/>
      <c r="F47" s="54"/>
      <c r="G47" s="54"/>
      <c r="H47" s="54"/>
    </row>
    <row r="48" spans="1:8" hidden="1" outlineLevel="1">
      <c r="A48" s="51"/>
      <c r="B48" s="29"/>
      <c r="C48" s="172" t="s">
        <v>165</v>
      </c>
      <c r="D48" s="172" t="s">
        <v>72</v>
      </c>
      <c r="E48" s="54"/>
      <c r="F48" s="54"/>
      <c r="G48" s="54"/>
      <c r="H48" s="54"/>
    </row>
    <row r="49" spans="1:8" hidden="1" outlineLevel="1">
      <c r="A49" s="29"/>
      <c r="B49" s="29"/>
      <c r="C49" s="172" t="s">
        <v>166</v>
      </c>
      <c r="D49" s="172" t="s">
        <v>45</v>
      </c>
      <c r="E49" s="54"/>
      <c r="F49" s="54"/>
      <c r="G49" s="54"/>
      <c r="H49" s="54"/>
    </row>
    <row r="50" spans="1:8" hidden="1" outlineLevel="1">
      <c r="A50" s="53"/>
      <c r="B50" s="53"/>
      <c r="C50" s="172" t="s">
        <v>167</v>
      </c>
      <c r="D50" s="172" t="s">
        <v>28</v>
      </c>
      <c r="E50" s="54"/>
      <c r="F50" s="54"/>
      <c r="G50" s="54"/>
      <c r="H50" s="54"/>
    </row>
    <row r="51" spans="1:8" hidden="1" outlineLevel="1">
      <c r="A51" s="53"/>
      <c r="B51" s="53"/>
      <c r="C51" s="172" t="s">
        <v>193</v>
      </c>
      <c r="D51" s="172"/>
      <c r="E51" s="54"/>
      <c r="F51" s="54"/>
      <c r="G51" s="54"/>
      <c r="H51" s="54"/>
    </row>
    <row r="52" spans="1:8" hidden="1" outlineLevel="1">
      <c r="A52" s="53"/>
      <c r="B52" s="53"/>
      <c r="C52" s="54"/>
      <c r="D52" s="54"/>
      <c r="E52" s="54"/>
      <c r="F52" s="54"/>
      <c r="G52" s="54"/>
      <c r="H52" s="54"/>
    </row>
    <row r="53" spans="1:8" hidden="1" outlineLevel="1">
      <c r="A53" s="53"/>
      <c r="B53" s="53"/>
      <c r="C53" s="54"/>
      <c r="D53" s="54"/>
      <c r="E53" s="54"/>
      <c r="F53" s="54"/>
      <c r="G53" s="54"/>
      <c r="H53" s="54"/>
    </row>
    <row r="54" spans="1:8" hidden="1" outlineLevel="1">
      <c r="A54" s="53"/>
      <c r="B54" s="53"/>
      <c r="C54" s="54"/>
      <c r="D54" s="54"/>
      <c r="E54" s="54"/>
      <c r="F54" s="54"/>
      <c r="G54" s="54"/>
      <c r="H54" s="54"/>
    </row>
    <row r="55" spans="1:8" hidden="1" outlineLevel="1">
      <c r="A55"/>
      <c r="B55"/>
    </row>
    <row r="56" spans="1:8" hidden="1" outlineLevel="1">
      <c r="A56"/>
      <c r="B56"/>
    </row>
    <row r="57" spans="1:8" hidden="1" outlineLevel="1">
      <c r="A57"/>
      <c r="B57"/>
    </row>
    <row r="58" spans="1:8" hidden="1" outlineLevel="1">
      <c r="A58"/>
      <c r="B58"/>
    </row>
    <row r="59" spans="1:8" hidden="1" outlineLevel="1">
      <c r="A59"/>
      <c r="B59"/>
    </row>
    <row r="60" spans="1:8" hidden="1" outlineLevel="1">
      <c r="A60"/>
      <c r="B60"/>
    </row>
    <row r="61" spans="1:8" hidden="1" outlineLevel="1">
      <c r="A61"/>
      <c r="B61"/>
    </row>
    <row r="62" spans="1:8" hidden="1" outlineLevel="1">
      <c r="A62"/>
      <c r="B62"/>
    </row>
    <row r="63" spans="1:8" hidden="1" outlineLevel="1">
      <c r="A63"/>
      <c r="B63"/>
    </row>
    <row r="64" spans="1:8" hidden="1" outlineLevel="1">
      <c r="A64"/>
      <c r="B64"/>
    </row>
    <row r="65" spans="1:2" hidden="1" outlineLevel="1">
      <c r="A65"/>
      <c r="B65"/>
    </row>
    <row r="66" spans="1:2" hidden="1" outlineLevel="1">
      <c r="A66"/>
      <c r="B66"/>
    </row>
    <row r="67" spans="1:2" hidden="1" outlineLevel="1">
      <c r="A67"/>
      <c r="B67"/>
    </row>
    <row r="68" spans="1:2" hidden="1" outlineLevel="1">
      <c r="A68"/>
      <c r="B68"/>
    </row>
    <row r="69" spans="1:2" hidden="1" outlineLevel="1">
      <c r="A69"/>
      <c r="B69"/>
    </row>
    <row r="70" spans="1:2" hidden="1" outlineLevel="1">
      <c r="A70"/>
      <c r="B70"/>
    </row>
    <row r="71" spans="1:2" hidden="1" outlineLevel="1">
      <c r="A71"/>
      <c r="B71"/>
    </row>
    <row r="72" spans="1:2" hidden="1" outlineLevel="1">
      <c r="A72"/>
      <c r="B72"/>
    </row>
    <row r="73" spans="1:2" hidden="1" outlineLevel="1">
      <c r="A73"/>
      <c r="B73"/>
    </row>
    <row r="74" spans="1:2" hidden="1" outlineLevel="1">
      <c r="A74"/>
      <c r="B74"/>
    </row>
    <row r="75" spans="1:2" hidden="1" outlineLevel="1">
      <c r="A75"/>
      <c r="B75"/>
    </row>
    <row r="76" spans="1:2" hidden="1" outlineLevel="1">
      <c r="A76"/>
      <c r="B76"/>
    </row>
    <row r="77" spans="1:2" hidden="1" outlineLevel="1">
      <c r="A77"/>
      <c r="B77"/>
    </row>
    <row r="78" spans="1:2" hidden="1" outlineLevel="1">
      <c r="A78"/>
      <c r="B78"/>
    </row>
    <row r="79" spans="1:2" hidden="1" outlineLevel="1">
      <c r="A79"/>
      <c r="B79"/>
    </row>
    <row r="80" spans="1:2" hidden="1" outlineLevel="1">
      <c r="A80"/>
      <c r="B80"/>
    </row>
    <row r="81" spans="1:2" hidden="1" outlineLevel="1">
      <c r="A81"/>
      <c r="B81"/>
    </row>
    <row r="82" spans="1:2" hidden="1" outlineLevel="1">
      <c r="A82"/>
      <c r="B82"/>
    </row>
    <row r="83" spans="1:2" hidden="1" outlineLevel="1">
      <c r="A83"/>
      <c r="B83"/>
    </row>
    <row r="84" spans="1:2" hidden="1" outlineLevel="1">
      <c r="A84"/>
      <c r="B84"/>
    </row>
    <row r="85" spans="1:2" hidden="1" outlineLevel="1">
      <c r="A85"/>
      <c r="B85"/>
    </row>
    <row r="86" spans="1:2" hidden="1" outlineLevel="1">
      <c r="A86"/>
      <c r="B86"/>
    </row>
    <row r="87" spans="1:2" hidden="1" outlineLevel="1">
      <c r="A87"/>
      <c r="B87"/>
    </row>
    <row r="88" spans="1:2" hidden="1" outlineLevel="1">
      <c r="A88"/>
      <c r="B88"/>
    </row>
    <row r="89" spans="1:2" hidden="1" outlineLevel="1">
      <c r="A89"/>
      <c r="B89"/>
    </row>
    <row r="90" spans="1:2" hidden="1" outlineLevel="1">
      <c r="A90"/>
      <c r="B90"/>
    </row>
    <row r="91" spans="1:2" hidden="1" outlineLevel="1">
      <c r="A91"/>
      <c r="B91"/>
    </row>
    <row r="92" spans="1:2" hidden="1" outlineLevel="1">
      <c r="A92"/>
      <c r="B92"/>
    </row>
    <row r="93" spans="1:2" hidden="1" outlineLevel="1">
      <c r="A93"/>
      <c r="B93"/>
    </row>
    <row r="94" spans="1:2" hidden="1" outlineLevel="1">
      <c r="A94"/>
      <c r="B94"/>
    </row>
    <row r="95" spans="1:2" hidden="1" outlineLevel="1">
      <c r="A95"/>
      <c r="B95"/>
    </row>
    <row r="96" spans="1:2" hidden="1" outlineLevel="1">
      <c r="A96"/>
      <c r="B96"/>
    </row>
    <row r="97" spans="1:8" hidden="1" outlineLevel="1">
      <c r="A97"/>
      <c r="B97"/>
    </row>
    <row r="98" spans="1:8" hidden="1" outlineLevel="1">
      <c r="A98"/>
      <c r="B98"/>
    </row>
    <row r="99" spans="1:8" hidden="1" outlineLevel="1">
      <c r="A99"/>
      <c r="B99"/>
    </row>
    <row r="100" spans="1:8" ht="21" collapsed="1" thickBot="1">
      <c r="A100" s="71"/>
      <c r="B100" s="72">
        <v>100</v>
      </c>
      <c r="C100" s="49"/>
      <c r="D100" s="3"/>
      <c r="E100" s="3"/>
      <c r="F100" s="3"/>
      <c r="G100" s="2"/>
      <c r="H100" s="2"/>
    </row>
    <row r="101" spans="1:8" ht="16.2" thickBot="1">
      <c r="A101" s="28"/>
      <c r="B101" s="30"/>
      <c r="C101" s="2"/>
      <c r="D101" s="102" t="s">
        <v>82</v>
      </c>
      <c r="E101" s="20"/>
      <c r="F101" s="4"/>
      <c r="G101" s="2"/>
      <c r="H101" s="2"/>
    </row>
    <row r="102" spans="1:8" ht="15.6">
      <c r="A102" s="28"/>
      <c r="B102" s="30"/>
      <c r="C102" s="2"/>
      <c r="D102" s="20"/>
      <c r="E102" s="4"/>
      <c r="F102" s="5"/>
      <c r="G102" s="2"/>
      <c r="H102" s="2"/>
    </row>
    <row r="103" spans="1:8">
      <c r="A103" s="28"/>
      <c r="B103" s="28"/>
      <c r="C103" s="201" t="s">
        <v>59</v>
      </c>
      <c r="D103" s="202"/>
      <c r="E103" s="202"/>
      <c r="F103" s="2"/>
      <c r="G103" s="2"/>
      <c r="H103" s="2"/>
    </row>
    <row r="104" spans="1:8" ht="16.5" customHeight="1">
      <c r="A104" s="28"/>
      <c r="B104" s="28"/>
      <c r="C104" s="203" t="s">
        <v>33</v>
      </c>
      <c r="D104" s="204"/>
      <c r="E104" s="83" t="s">
        <v>214</v>
      </c>
      <c r="F104" s="2"/>
      <c r="G104" s="2"/>
      <c r="H104" s="2"/>
    </row>
    <row r="105" spans="1:8" ht="12.75" customHeight="1">
      <c r="A105" s="28"/>
      <c r="B105" s="28"/>
      <c r="C105" s="159" t="s">
        <v>11</v>
      </c>
      <c r="D105" s="66" t="s">
        <v>194</v>
      </c>
      <c r="E105" s="86"/>
      <c r="F105" s="2"/>
      <c r="G105" s="2"/>
      <c r="H105" s="2"/>
    </row>
    <row r="106" spans="1:8" ht="12.75" customHeight="1">
      <c r="A106" s="28"/>
      <c r="B106" s="28"/>
      <c r="C106" s="159" t="s">
        <v>180</v>
      </c>
      <c r="D106" s="205" t="s">
        <v>195</v>
      </c>
      <c r="E106" s="206"/>
      <c r="F106" s="2"/>
      <c r="G106" s="2"/>
      <c r="H106" s="2"/>
    </row>
    <row r="107" spans="1:8">
      <c r="A107" s="28"/>
      <c r="B107" s="28"/>
      <c r="C107" s="159" t="s">
        <v>23</v>
      </c>
      <c r="D107" s="66" t="s">
        <v>196</v>
      </c>
      <c r="E107" s="78" t="s">
        <v>234</v>
      </c>
      <c r="F107" s="2"/>
      <c r="G107" s="2"/>
      <c r="H107" s="2"/>
    </row>
    <row r="108" spans="1:8" ht="12.75" customHeight="1">
      <c r="A108" s="28"/>
      <c r="B108" s="28"/>
      <c r="C108" s="159" t="s">
        <v>24</v>
      </c>
      <c r="D108" s="66" t="s">
        <v>197</v>
      </c>
      <c r="E108" s="78" t="s">
        <v>235</v>
      </c>
      <c r="F108" s="2"/>
      <c r="G108" s="2"/>
      <c r="H108" s="2"/>
    </row>
    <row r="109" spans="1:8" ht="12.75" customHeight="1">
      <c r="A109" s="28"/>
      <c r="B109" s="28"/>
      <c r="C109" s="159" t="s">
        <v>63</v>
      </c>
      <c r="D109" s="66" t="s">
        <v>198</v>
      </c>
      <c r="E109" s="2"/>
      <c r="F109" s="2"/>
      <c r="G109" s="2"/>
      <c r="H109" s="2"/>
    </row>
    <row r="110" spans="1:8" ht="12.75" customHeight="1">
      <c r="A110" s="28"/>
      <c r="B110" s="28"/>
      <c r="C110" s="159" t="s">
        <v>25</v>
      </c>
      <c r="D110" s="66" t="s">
        <v>200</v>
      </c>
      <c r="E110" s="2"/>
      <c r="F110" s="2"/>
      <c r="G110" s="2"/>
      <c r="H110" s="2"/>
    </row>
    <row r="111" spans="1:8" ht="12.75" customHeight="1">
      <c r="A111" s="28"/>
      <c r="B111" s="28"/>
      <c r="C111" s="159" t="s">
        <v>26</v>
      </c>
      <c r="D111" s="67">
        <v>41450.639079976849</v>
      </c>
      <c r="E111" s="2"/>
      <c r="F111" s="2"/>
      <c r="G111" s="2"/>
      <c r="H111" s="2"/>
    </row>
    <row r="112" spans="1:8" ht="12.75" customHeight="1">
      <c r="A112" s="28"/>
      <c r="B112" s="28"/>
      <c r="C112" s="116" t="s">
        <v>59</v>
      </c>
      <c r="D112" s="28"/>
      <c r="E112" s="20"/>
      <c r="F112" s="2"/>
      <c r="G112" s="2"/>
      <c r="H112" s="2"/>
    </row>
    <row r="113" spans="1:8" ht="16.2" thickBot="1">
      <c r="A113" s="28"/>
      <c r="B113" s="28"/>
      <c r="C113" s="129" t="s">
        <v>31</v>
      </c>
      <c r="D113" s="128" t="s">
        <v>130</v>
      </c>
      <c r="E113" s="2"/>
      <c r="F113" s="2"/>
      <c r="G113" s="2"/>
      <c r="H113" s="2"/>
    </row>
    <row r="114" spans="1:8" ht="12.75" customHeight="1" thickBot="1">
      <c r="A114" s="28"/>
      <c r="B114" s="28"/>
      <c r="C114" s="85" t="s">
        <v>199</v>
      </c>
      <c r="D114" s="127" t="s">
        <v>201</v>
      </c>
      <c r="E114" s="2"/>
      <c r="F114" s="28"/>
      <c r="G114" s="2"/>
      <c r="H114" s="2"/>
    </row>
    <row r="115" spans="1:8" ht="12.75" customHeight="1">
      <c r="A115" s="28"/>
      <c r="B115" s="28"/>
      <c r="C115" s="84"/>
      <c r="D115" s="68"/>
      <c r="E115" s="2"/>
      <c r="F115" s="2"/>
      <c r="G115" s="2"/>
      <c r="H115" s="2"/>
    </row>
    <row r="116" spans="1:8" ht="12.75" customHeight="1">
      <c r="A116" s="28"/>
      <c r="B116" s="28"/>
      <c r="C116" s="84"/>
      <c r="D116" s="68"/>
      <c r="E116" s="2"/>
      <c r="F116" s="2"/>
      <c r="G116" s="2"/>
      <c r="H116" s="2"/>
    </row>
    <row r="117" spans="1:8" ht="12.75" customHeight="1">
      <c r="A117" s="28"/>
      <c r="B117" s="28"/>
      <c r="C117" s="84"/>
      <c r="D117" s="68"/>
      <c r="E117" s="2"/>
      <c r="F117" s="2"/>
      <c r="G117" s="2"/>
      <c r="H117" s="2"/>
    </row>
    <row r="118" spans="1:8" ht="12.75" customHeight="1">
      <c r="A118" s="28"/>
      <c r="B118" s="28"/>
      <c r="C118" s="84"/>
      <c r="D118" s="68"/>
      <c r="E118" s="2"/>
      <c r="F118" s="2"/>
      <c r="G118" s="2"/>
      <c r="H118" s="2"/>
    </row>
    <row r="119" spans="1:8" ht="12.75" customHeight="1">
      <c r="A119" s="28"/>
      <c r="B119" s="28"/>
      <c r="C119" s="33"/>
      <c r="D119" s="68"/>
      <c r="E119" s="2"/>
      <c r="F119" s="2"/>
      <c r="G119" s="2"/>
      <c r="H119" s="2"/>
    </row>
    <row r="120" spans="1:8" ht="12.75" customHeight="1">
      <c r="A120" s="28"/>
      <c r="B120" s="28"/>
      <c r="C120" s="33"/>
      <c r="D120" s="68"/>
      <c r="E120" s="91"/>
      <c r="F120" s="2"/>
      <c r="G120" s="2"/>
      <c r="H120" s="2"/>
    </row>
    <row r="121" spans="1:8" ht="12.75" customHeight="1">
      <c r="A121" s="28"/>
      <c r="B121" s="28"/>
      <c r="C121" s="84"/>
      <c r="D121" s="68"/>
      <c r="E121" s="2"/>
      <c r="F121" s="2"/>
      <c r="G121" s="2"/>
      <c r="H121" s="2"/>
    </row>
    <row r="122" spans="1:8" ht="12.75" customHeight="1">
      <c r="A122" s="28"/>
      <c r="B122" s="28"/>
      <c r="C122" s="84"/>
      <c r="D122" s="68"/>
      <c r="E122" s="2"/>
      <c r="F122" s="2"/>
      <c r="G122" s="2"/>
      <c r="H122" s="2"/>
    </row>
    <row r="123" spans="1:8" ht="12.75" customHeight="1">
      <c r="A123" s="28"/>
      <c r="B123" s="28"/>
      <c r="C123" s="33"/>
      <c r="D123" s="68"/>
      <c r="E123" s="2"/>
      <c r="F123" s="2"/>
      <c r="G123" s="2"/>
      <c r="H123" s="2"/>
    </row>
    <row r="124" spans="1:8" ht="12.75" customHeight="1">
      <c r="A124" s="28"/>
      <c r="B124" s="28"/>
      <c r="C124" s="33"/>
      <c r="D124" s="68"/>
      <c r="E124" s="91"/>
      <c r="F124" s="2"/>
      <c r="G124" s="78" t="s">
        <v>191</v>
      </c>
      <c r="H124" s="2"/>
    </row>
    <row r="125" spans="1:8" ht="12.75" customHeight="1">
      <c r="A125" s="28"/>
      <c r="B125" s="28"/>
      <c r="C125" s="33"/>
      <c r="D125" s="68"/>
      <c r="E125" s="91"/>
      <c r="F125" s="2"/>
      <c r="G125" s="78" t="s">
        <v>192</v>
      </c>
      <c r="H125" s="2"/>
    </row>
    <row r="126" spans="1:8" ht="12.75" customHeight="1">
      <c r="A126" s="28"/>
      <c r="B126" s="28"/>
      <c r="C126" s="116" t="s">
        <v>59</v>
      </c>
      <c r="D126" s="28"/>
      <c r="E126" s="2"/>
      <c r="F126" s="2"/>
      <c r="G126" s="2"/>
      <c r="H126" s="133" t="b">
        <v>0</v>
      </c>
    </row>
    <row r="127" spans="1:8" ht="15.6">
      <c r="A127" s="28"/>
      <c r="B127" s="90"/>
      <c r="C127" s="207" t="s">
        <v>42</v>
      </c>
      <c r="D127" s="208"/>
      <c r="E127" s="134" t="s">
        <v>59</v>
      </c>
      <c r="F127" s="2"/>
      <c r="G127" s="111" t="s">
        <v>68</v>
      </c>
      <c r="H127" s="111" t="s">
        <v>136</v>
      </c>
    </row>
    <row r="128" spans="1:8" ht="12.75" customHeight="1">
      <c r="A128" s="28"/>
      <c r="B128" s="90"/>
      <c r="C128" s="209" t="s">
        <v>66</v>
      </c>
      <c r="D128" s="210"/>
      <c r="E128" s="126" t="s">
        <v>59</v>
      </c>
      <c r="F128" s="2"/>
      <c r="G128" s="107" t="b">
        <v>1</v>
      </c>
      <c r="H128" s="107" t="b">
        <v>1</v>
      </c>
    </row>
    <row r="129" spans="1:8" ht="12.75" customHeight="1">
      <c r="A129" s="28"/>
      <c r="B129" s="90"/>
      <c r="C129" s="209" t="s">
        <v>79</v>
      </c>
      <c r="D129" s="210"/>
      <c r="E129" s="126" t="s">
        <v>59</v>
      </c>
      <c r="F129" s="2"/>
      <c r="G129" s="107" t="b">
        <v>1</v>
      </c>
      <c r="H129" s="107" t="b">
        <v>1</v>
      </c>
    </row>
    <row r="130" spans="1:8" ht="12.75" customHeight="1">
      <c r="A130" s="28"/>
      <c r="B130" s="90"/>
      <c r="C130" s="209" t="s">
        <v>74</v>
      </c>
      <c r="D130" s="210"/>
      <c r="E130" s="126" t="s">
        <v>59</v>
      </c>
      <c r="F130" s="2"/>
      <c r="G130" s="107" t="b">
        <v>1</v>
      </c>
      <c r="H130" s="107" t="b">
        <v>1</v>
      </c>
    </row>
    <row r="131" spans="1:8">
      <c r="A131" s="28"/>
      <c r="B131" s="90"/>
      <c r="C131" s="28"/>
      <c r="D131" s="28"/>
      <c r="E131" s="2"/>
      <c r="F131" s="2"/>
      <c r="G131" s="2"/>
      <c r="H131" s="2"/>
    </row>
    <row r="132" spans="1:8" ht="12.75" customHeight="1">
      <c r="A132" s="28"/>
      <c r="B132" s="28"/>
      <c r="C132" s="130" t="s">
        <v>169</v>
      </c>
      <c r="D132" s="131"/>
      <c r="E132" s="132"/>
      <c r="F132" s="2"/>
      <c r="G132" s="2"/>
      <c r="H132" s="2"/>
    </row>
    <row r="133" spans="1:8" ht="79.5" customHeight="1">
      <c r="A133" s="28"/>
      <c r="B133" s="28"/>
      <c r="C133" s="211">
        <v>0</v>
      </c>
      <c r="D133" s="212"/>
      <c r="E133" s="213"/>
      <c r="F133" s="2"/>
      <c r="G133" s="2"/>
      <c r="H133" s="2"/>
    </row>
    <row r="134" spans="1:8" ht="12.75" customHeight="1">
      <c r="A134" s="28"/>
      <c r="B134" s="28"/>
      <c r="C134" s="28"/>
      <c r="D134" s="28"/>
      <c r="E134" s="2"/>
      <c r="F134" s="2"/>
      <c r="G134" s="2"/>
      <c r="H134" s="2"/>
    </row>
    <row r="135" spans="1:8">
      <c r="A135" s="28"/>
      <c r="B135" s="90"/>
      <c r="C135" s="65" t="s">
        <v>181</v>
      </c>
      <c r="D135" s="216" t="s">
        <v>204</v>
      </c>
      <c r="E135" s="206"/>
      <c r="F135" s="2"/>
      <c r="G135" s="2"/>
      <c r="H135" s="2"/>
    </row>
    <row r="136" spans="1:8">
      <c r="A136" s="28"/>
      <c r="B136" s="90"/>
      <c r="C136" s="130" t="s">
        <v>182</v>
      </c>
      <c r="D136" s="15"/>
      <c r="E136" s="16" t="s">
        <v>96</v>
      </c>
      <c r="F136" s="2"/>
      <c r="G136" s="2"/>
      <c r="H136" s="2"/>
    </row>
    <row r="137" spans="1:8" ht="27.75" customHeight="1">
      <c r="A137" s="28"/>
      <c r="B137" s="90"/>
      <c r="C137" s="217"/>
      <c r="D137" s="218"/>
      <c r="E137" s="110"/>
      <c r="F137" s="2"/>
      <c r="G137" s="2"/>
      <c r="H137" s="2"/>
    </row>
    <row r="138" spans="1:8">
      <c r="A138" s="28"/>
      <c r="B138" s="90"/>
      <c r="C138" s="130" t="s">
        <v>129</v>
      </c>
      <c r="D138" s="15"/>
      <c r="E138" s="16" t="s">
        <v>96</v>
      </c>
      <c r="F138" s="2"/>
      <c r="G138" s="2"/>
      <c r="H138" s="2"/>
    </row>
    <row r="139" spans="1:8" ht="27.75" customHeight="1">
      <c r="A139" s="28"/>
      <c r="B139" s="90"/>
      <c r="C139" s="217" t="s">
        <v>199</v>
      </c>
      <c r="D139" s="218"/>
      <c r="E139" s="110"/>
      <c r="F139" s="2"/>
      <c r="G139" s="2"/>
      <c r="H139" s="2"/>
    </row>
    <row r="140" spans="1:8" ht="28.5" customHeight="1">
      <c r="A140" s="28"/>
      <c r="B140" s="90"/>
      <c r="C140" s="214" t="s">
        <v>183</v>
      </c>
      <c r="D140" s="215"/>
      <c r="E140" s="215"/>
      <c r="F140" s="2"/>
      <c r="G140" s="2"/>
      <c r="H140" s="2"/>
    </row>
    <row r="141" spans="1:8" ht="15.75" customHeight="1">
      <c r="A141" s="28"/>
      <c r="B141" s="70">
        <v>161</v>
      </c>
      <c r="C141" s="70"/>
      <c r="D141" s="70"/>
      <c r="E141" s="70"/>
      <c r="F141" s="2"/>
      <c r="G141" s="2"/>
      <c r="H141" s="2"/>
    </row>
    <row r="142" spans="1:8" ht="15.75" customHeight="1">
      <c r="A142" s="31">
        <v>1</v>
      </c>
      <c r="B142" s="74" t="b">
        <v>1</v>
      </c>
      <c r="C142" s="73" t="s">
        <v>94</v>
      </c>
      <c r="D142" s="75" t="s">
        <v>211</v>
      </c>
      <c r="E142" s="76"/>
      <c r="F142" s="2"/>
    </row>
    <row r="143" spans="1:8" ht="15.75" customHeight="1">
      <c r="A143" s="31"/>
      <c r="B143" s="74" t="b">
        <v>1</v>
      </c>
      <c r="C143" s="73" t="s">
        <v>44</v>
      </c>
      <c r="D143" s="101" t="s">
        <v>230</v>
      </c>
      <c r="E143" s="76"/>
      <c r="F143" s="2"/>
    </row>
    <row r="144" spans="1:8" ht="13.8">
      <c r="A144" s="31"/>
      <c r="B144" s="74" t="b">
        <v>1</v>
      </c>
      <c r="C144" s="73" t="s">
        <v>66</v>
      </c>
      <c r="D144" s="75" t="s">
        <v>21</v>
      </c>
      <c r="E144" s="76"/>
      <c r="F144" s="2"/>
    </row>
    <row r="145" spans="1:6" ht="13.8">
      <c r="A145" s="31"/>
      <c r="B145" s="74" t="b">
        <v>1</v>
      </c>
      <c r="C145" s="73" t="s">
        <v>59</v>
      </c>
      <c r="D145" s="75" t="s">
        <v>59</v>
      </c>
      <c r="E145" s="76"/>
      <c r="F145" s="2"/>
    </row>
    <row r="146" spans="1:6" ht="13.8">
      <c r="A146" s="31"/>
      <c r="B146" s="74" t="b">
        <v>1</v>
      </c>
      <c r="C146" s="73" t="s">
        <v>59</v>
      </c>
      <c r="D146" s="75" t="s">
        <v>59</v>
      </c>
      <c r="E146" s="76"/>
      <c r="F146" s="2"/>
    </row>
    <row r="147" spans="1:6" ht="13.8">
      <c r="A147" s="31"/>
      <c r="B147" s="74" t="b">
        <v>1</v>
      </c>
      <c r="C147" s="73" t="s">
        <v>43</v>
      </c>
      <c r="D147" s="89" t="s">
        <v>212</v>
      </c>
      <c r="E147" s="76"/>
      <c r="F147" s="2"/>
    </row>
    <row r="148" spans="1:6" ht="13.8">
      <c r="A148" s="31"/>
      <c r="B148" s="74" t="b">
        <v>1</v>
      </c>
      <c r="C148" s="195" t="s">
        <v>7</v>
      </c>
      <c r="D148" s="196"/>
      <c r="E148" s="197"/>
      <c r="F148" s="2"/>
    </row>
    <row r="149" spans="1:6" ht="75" customHeight="1">
      <c r="A149" s="31"/>
      <c r="B149" s="74" t="b">
        <v>1</v>
      </c>
      <c r="C149" s="198" t="s">
        <v>206</v>
      </c>
      <c r="D149" s="199"/>
      <c r="E149" s="200"/>
      <c r="F149" s="2"/>
    </row>
    <row r="150" spans="1:6" ht="13.8">
      <c r="A150" s="31"/>
      <c r="B150" s="74" t="b">
        <v>1</v>
      </c>
      <c r="C150" s="77"/>
      <c r="D150" s="77"/>
      <c r="E150" s="77"/>
      <c r="F150" s="2"/>
    </row>
    <row r="151" spans="1:6" ht="13.8">
      <c r="A151" s="31">
        <v>2</v>
      </c>
      <c r="B151" s="74" t="b">
        <v>0</v>
      </c>
      <c r="C151" s="73" t="s">
        <v>94</v>
      </c>
      <c r="D151" s="75" t="s">
        <v>59</v>
      </c>
      <c r="E151" s="76"/>
      <c r="F151" s="2"/>
    </row>
    <row r="152" spans="1:6" ht="13.8">
      <c r="A152" s="31"/>
      <c r="B152" s="74" t="b">
        <v>0</v>
      </c>
      <c r="C152" s="73" t="s">
        <v>44</v>
      </c>
      <c r="D152" s="101" t="s">
        <v>59</v>
      </c>
      <c r="E152" s="76"/>
      <c r="F152" s="2"/>
    </row>
    <row r="153" spans="1:6" ht="13.8">
      <c r="A153" s="31"/>
      <c r="B153" s="74" t="b">
        <v>0</v>
      </c>
      <c r="C153" s="73" t="s">
        <v>59</v>
      </c>
      <c r="D153" s="75" t="s">
        <v>59</v>
      </c>
      <c r="E153" s="76"/>
      <c r="F153" s="2"/>
    </row>
    <row r="154" spans="1:6" ht="13.8">
      <c r="A154" s="31"/>
      <c r="B154" s="74" t="b">
        <v>0</v>
      </c>
      <c r="C154" s="73" t="s">
        <v>59</v>
      </c>
      <c r="D154" s="75" t="s">
        <v>59</v>
      </c>
      <c r="E154" s="76"/>
      <c r="F154" s="2"/>
    </row>
    <row r="155" spans="1:6" ht="13.8">
      <c r="A155" s="31"/>
      <c r="B155" s="74" t="b">
        <v>0</v>
      </c>
      <c r="C155" s="73" t="s">
        <v>59</v>
      </c>
      <c r="D155" s="75" t="s">
        <v>59</v>
      </c>
      <c r="E155" s="76"/>
      <c r="F155" s="2"/>
    </row>
    <row r="156" spans="1:6" ht="13.8">
      <c r="A156" s="31"/>
      <c r="B156" s="74" t="b">
        <v>0</v>
      </c>
      <c r="C156" s="73" t="s">
        <v>43</v>
      </c>
      <c r="D156" s="89" t="s">
        <v>59</v>
      </c>
      <c r="E156" s="76"/>
      <c r="F156" s="2"/>
    </row>
    <row r="157" spans="1:6" ht="13.8">
      <c r="A157" s="31"/>
      <c r="B157" s="74" t="b">
        <v>0</v>
      </c>
      <c r="C157" s="195" t="s">
        <v>59</v>
      </c>
      <c r="D157" s="196"/>
      <c r="E157" s="197"/>
      <c r="F157" s="2"/>
    </row>
    <row r="158" spans="1:6" ht="75" customHeight="1">
      <c r="A158" s="31"/>
      <c r="B158" s="74" t="b">
        <v>0</v>
      </c>
      <c r="C158" s="198" t="s">
        <v>59</v>
      </c>
      <c r="D158" s="199"/>
      <c r="E158" s="200"/>
      <c r="F158" s="2"/>
    </row>
    <row r="159" spans="1:6" ht="13.8">
      <c r="A159" s="31"/>
      <c r="B159" s="74" t="b">
        <v>0</v>
      </c>
      <c r="C159" s="77"/>
      <c r="D159" s="77"/>
      <c r="E159" s="77"/>
      <c r="F159" s="2"/>
    </row>
    <row r="160" spans="1:6" ht="13.8">
      <c r="A160" s="31">
        <v>3</v>
      </c>
      <c r="B160" s="74" t="b">
        <v>0</v>
      </c>
      <c r="C160" s="73" t="s">
        <v>94</v>
      </c>
      <c r="D160" s="75" t="s">
        <v>59</v>
      </c>
      <c r="E160" s="76"/>
      <c r="F160" s="2"/>
    </row>
    <row r="161" spans="1:6" ht="13.8">
      <c r="A161" s="31"/>
      <c r="B161" s="74" t="b">
        <v>0</v>
      </c>
      <c r="C161" s="73" t="s">
        <v>44</v>
      </c>
      <c r="D161" s="101" t="s">
        <v>59</v>
      </c>
      <c r="E161" s="76"/>
      <c r="F161" s="2"/>
    </row>
    <row r="162" spans="1:6" ht="13.8">
      <c r="A162" s="31"/>
      <c r="B162" s="74" t="b">
        <v>0</v>
      </c>
      <c r="C162" s="73" t="s">
        <v>59</v>
      </c>
      <c r="D162" s="75" t="s">
        <v>59</v>
      </c>
      <c r="E162" s="76"/>
      <c r="F162" s="2"/>
    </row>
    <row r="163" spans="1:6" ht="13.8">
      <c r="A163" s="31"/>
      <c r="B163" s="74" t="b">
        <v>0</v>
      </c>
      <c r="C163" s="73" t="s">
        <v>59</v>
      </c>
      <c r="D163" s="75" t="s">
        <v>59</v>
      </c>
      <c r="E163" s="76"/>
      <c r="F163" s="2"/>
    </row>
    <row r="164" spans="1:6" ht="13.8">
      <c r="A164" s="31"/>
      <c r="B164" s="74" t="b">
        <v>0</v>
      </c>
      <c r="C164" s="73" t="s">
        <v>59</v>
      </c>
      <c r="D164" s="75" t="s">
        <v>59</v>
      </c>
      <c r="E164" s="76"/>
      <c r="F164" s="2"/>
    </row>
    <row r="165" spans="1:6" ht="13.8">
      <c r="A165" s="31"/>
      <c r="B165" s="74" t="b">
        <v>0</v>
      </c>
      <c r="C165" s="73" t="s">
        <v>43</v>
      </c>
      <c r="D165" s="89" t="s">
        <v>59</v>
      </c>
      <c r="E165" s="76"/>
      <c r="F165" s="2"/>
    </row>
    <row r="166" spans="1:6" ht="13.8">
      <c r="A166" s="31"/>
      <c r="B166" s="74" t="b">
        <v>0</v>
      </c>
      <c r="C166" s="195" t="s">
        <v>59</v>
      </c>
      <c r="D166" s="196"/>
      <c r="E166" s="197"/>
      <c r="F166" s="2"/>
    </row>
    <row r="167" spans="1:6" ht="75" customHeight="1">
      <c r="A167" s="31"/>
      <c r="B167" s="74" t="b">
        <v>0</v>
      </c>
      <c r="C167" s="198" t="s">
        <v>59</v>
      </c>
      <c r="D167" s="199"/>
      <c r="E167" s="200"/>
      <c r="F167" s="2"/>
    </row>
    <row r="168" spans="1:6" ht="13.8">
      <c r="A168" s="31"/>
      <c r="B168" s="74" t="b">
        <v>0</v>
      </c>
      <c r="C168" s="77"/>
      <c r="D168" s="77"/>
      <c r="E168" s="77"/>
      <c r="F168" s="2"/>
    </row>
    <row r="169" spans="1:6" ht="13.8">
      <c r="A169" s="31">
        <v>4</v>
      </c>
      <c r="B169" s="74" t="b">
        <v>0</v>
      </c>
      <c r="C169" s="73" t="s">
        <v>94</v>
      </c>
      <c r="D169" s="75" t="s">
        <v>59</v>
      </c>
      <c r="E169" s="76"/>
      <c r="F169" s="2"/>
    </row>
    <row r="170" spans="1:6" ht="13.8">
      <c r="A170" s="31"/>
      <c r="B170" s="74" t="b">
        <v>0</v>
      </c>
      <c r="C170" s="73" t="s">
        <v>44</v>
      </c>
      <c r="D170" s="101" t="s">
        <v>59</v>
      </c>
      <c r="E170" s="76"/>
      <c r="F170" s="2"/>
    </row>
    <row r="171" spans="1:6" ht="13.8">
      <c r="A171" s="31"/>
      <c r="B171" s="74" t="b">
        <v>0</v>
      </c>
      <c r="C171" s="73" t="s">
        <v>59</v>
      </c>
      <c r="D171" s="75" t="s">
        <v>59</v>
      </c>
      <c r="E171" s="76"/>
      <c r="F171" s="2"/>
    </row>
    <row r="172" spans="1:6" ht="13.8">
      <c r="A172" s="31"/>
      <c r="B172" s="74" t="b">
        <v>0</v>
      </c>
      <c r="C172" s="73" t="s">
        <v>59</v>
      </c>
      <c r="D172" s="75" t="s">
        <v>59</v>
      </c>
      <c r="E172" s="76"/>
      <c r="F172" s="2"/>
    </row>
    <row r="173" spans="1:6" ht="13.8">
      <c r="A173" s="31"/>
      <c r="B173" s="74" t="b">
        <v>0</v>
      </c>
      <c r="C173" s="73" t="s">
        <v>59</v>
      </c>
      <c r="D173" s="75" t="s">
        <v>59</v>
      </c>
      <c r="E173" s="76"/>
      <c r="F173" s="2"/>
    </row>
    <row r="174" spans="1:6" ht="13.8">
      <c r="A174" s="31"/>
      <c r="B174" s="74" t="b">
        <v>0</v>
      </c>
      <c r="C174" s="73" t="s">
        <v>43</v>
      </c>
      <c r="D174" s="89" t="s">
        <v>59</v>
      </c>
      <c r="E174" s="76"/>
      <c r="F174" s="2"/>
    </row>
    <row r="175" spans="1:6" ht="13.8">
      <c r="A175" s="31"/>
      <c r="B175" s="74" t="b">
        <v>0</v>
      </c>
      <c r="C175" s="195" t="s">
        <v>59</v>
      </c>
      <c r="D175" s="196"/>
      <c r="E175" s="197"/>
      <c r="F175" s="2"/>
    </row>
    <row r="176" spans="1:6" ht="75" customHeight="1">
      <c r="A176" s="31"/>
      <c r="B176" s="74" t="b">
        <v>0</v>
      </c>
      <c r="C176" s="198" t="s">
        <v>59</v>
      </c>
      <c r="D176" s="199"/>
      <c r="E176" s="200"/>
      <c r="F176" s="2"/>
    </row>
    <row r="177" spans="1:6" ht="13.8">
      <c r="A177" s="31"/>
      <c r="B177" s="74" t="b">
        <v>0</v>
      </c>
      <c r="C177" s="77"/>
      <c r="D177" s="77"/>
      <c r="E177" s="77"/>
      <c r="F177" s="2"/>
    </row>
    <row r="178" spans="1:6" ht="13.8">
      <c r="A178" s="31">
        <v>5</v>
      </c>
      <c r="B178" s="74" t="b">
        <v>0</v>
      </c>
      <c r="C178" s="73" t="s">
        <v>94</v>
      </c>
      <c r="D178" s="75" t="s">
        <v>59</v>
      </c>
      <c r="E178" s="76"/>
      <c r="F178" s="2"/>
    </row>
    <row r="179" spans="1:6" ht="13.8">
      <c r="A179" s="31"/>
      <c r="B179" s="74" t="b">
        <v>0</v>
      </c>
      <c r="C179" s="73" t="s">
        <v>44</v>
      </c>
      <c r="D179" s="101" t="s">
        <v>59</v>
      </c>
      <c r="E179" s="76"/>
      <c r="F179" s="2"/>
    </row>
    <row r="180" spans="1:6" ht="13.8">
      <c r="A180" s="31"/>
      <c r="B180" s="74" t="b">
        <v>0</v>
      </c>
      <c r="C180" s="73" t="s">
        <v>59</v>
      </c>
      <c r="D180" s="75" t="s">
        <v>59</v>
      </c>
      <c r="E180" s="76"/>
      <c r="F180" s="2"/>
    </row>
    <row r="181" spans="1:6" ht="13.8">
      <c r="A181" s="31"/>
      <c r="B181" s="74" t="b">
        <v>0</v>
      </c>
      <c r="C181" s="73" t="s">
        <v>59</v>
      </c>
      <c r="D181" s="75" t="s">
        <v>59</v>
      </c>
      <c r="E181" s="76"/>
      <c r="F181" s="2"/>
    </row>
    <row r="182" spans="1:6" ht="13.8">
      <c r="A182" s="31"/>
      <c r="B182" s="74" t="b">
        <v>0</v>
      </c>
      <c r="C182" s="73" t="s">
        <v>59</v>
      </c>
      <c r="D182" s="75" t="s">
        <v>59</v>
      </c>
      <c r="E182" s="76"/>
      <c r="F182" s="2"/>
    </row>
    <row r="183" spans="1:6" ht="13.8">
      <c r="A183" s="31"/>
      <c r="B183" s="74" t="b">
        <v>0</v>
      </c>
      <c r="C183" s="73" t="s">
        <v>43</v>
      </c>
      <c r="D183" s="89" t="s">
        <v>59</v>
      </c>
      <c r="E183" s="76"/>
      <c r="F183" s="2"/>
    </row>
    <row r="184" spans="1:6" ht="13.8">
      <c r="A184" s="31"/>
      <c r="B184" s="74" t="b">
        <v>0</v>
      </c>
      <c r="C184" s="195" t="s">
        <v>59</v>
      </c>
      <c r="D184" s="196"/>
      <c r="E184" s="197"/>
      <c r="F184" s="2"/>
    </row>
    <row r="185" spans="1:6" ht="75" customHeight="1">
      <c r="A185" s="31"/>
      <c r="B185" s="74" t="b">
        <v>0</v>
      </c>
      <c r="C185" s="198" t="s">
        <v>59</v>
      </c>
      <c r="D185" s="199"/>
      <c r="E185" s="200"/>
      <c r="F185" s="2"/>
    </row>
    <row r="186" spans="1:6" ht="13.8">
      <c r="A186" s="31"/>
      <c r="B186" s="74" t="b">
        <v>0</v>
      </c>
      <c r="C186" s="77"/>
      <c r="D186" s="77"/>
      <c r="E186" s="77"/>
      <c r="F186" s="2"/>
    </row>
    <row r="187" spans="1:6" ht="13.8">
      <c r="A187" s="31">
        <v>6</v>
      </c>
      <c r="B187" s="74" t="b">
        <v>0</v>
      </c>
      <c r="C187" s="73" t="s">
        <v>94</v>
      </c>
      <c r="D187" s="75" t="s">
        <v>59</v>
      </c>
      <c r="E187" s="76"/>
      <c r="F187" s="2"/>
    </row>
    <row r="188" spans="1:6" ht="13.8">
      <c r="A188" s="31"/>
      <c r="B188" s="74" t="b">
        <v>0</v>
      </c>
      <c r="C188" s="73" t="s">
        <v>44</v>
      </c>
      <c r="D188" s="101" t="s">
        <v>59</v>
      </c>
      <c r="E188" s="76"/>
      <c r="F188" s="2"/>
    </row>
    <row r="189" spans="1:6" ht="13.8">
      <c r="A189" s="31"/>
      <c r="B189" s="74" t="b">
        <v>0</v>
      </c>
      <c r="C189" s="73" t="s">
        <v>59</v>
      </c>
      <c r="D189" s="75" t="s">
        <v>59</v>
      </c>
      <c r="E189" s="76"/>
      <c r="F189" s="2"/>
    </row>
    <row r="190" spans="1:6" ht="13.8">
      <c r="A190" s="31"/>
      <c r="B190" s="74" t="b">
        <v>0</v>
      </c>
      <c r="C190" s="73" t="s">
        <v>59</v>
      </c>
      <c r="D190" s="75" t="s">
        <v>59</v>
      </c>
      <c r="E190" s="76"/>
      <c r="F190" s="2"/>
    </row>
    <row r="191" spans="1:6" ht="13.8">
      <c r="A191" s="31"/>
      <c r="B191" s="74" t="b">
        <v>0</v>
      </c>
      <c r="C191" s="73" t="s">
        <v>59</v>
      </c>
      <c r="D191" s="75" t="s">
        <v>59</v>
      </c>
      <c r="E191" s="76"/>
      <c r="F191" s="2"/>
    </row>
    <row r="192" spans="1:6" ht="13.8">
      <c r="A192" s="31"/>
      <c r="B192" s="74" t="b">
        <v>0</v>
      </c>
      <c r="C192" s="73" t="s">
        <v>43</v>
      </c>
      <c r="D192" s="89" t="s">
        <v>59</v>
      </c>
      <c r="E192" s="76"/>
      <c r="F192" s="2"/>
    </row>
    <row r="193" spans="1:6" ht="13.8">
      <c r="A193" s="31"/>
      <c r="B193" s="74" t="b">
        <v>0</v>
      </c>
      <c r="C193" s="195" t="s">
        <v>59</v>
      </c>
      <c r="D193" s="196"/>
      <c r="E193" s="197"/>
      <c r="F193" s="2"/>
    </row>
    <row r="194" spans="1:6" ht="75" customHeight="1">
      <c r="A194" s="31"/>
      <c r="B194" s="74" t="b">
        <v>0</v>
      </c>
      <c r="C194" s="198" t="s">
        <v>59</v>
      </c>
      <c r="D194" s="199"/>
      <c r="E194" s="200"/>
      <c r="F194" s="2"/>
    </row>
    <row r="195" spans="1:6" ht="13.8">
      <c r="A195" s="31"/>
      <c r="B195" s="74" t="b">
        <v>0</v>
      </c>
      <c r="C195" s="77"/>
      <c r="D195" s="77"/>
      <c r="E195" s="77"/>
      <c r="F195" s="2"/>
    </row>
    <row r="196" spans="1:6" ht="13.8">
      <c r="A196" s="31">
        <v>7</v>
      </c>
      <c r="B196" s="74" t="b">
        <v>0</v>
      </c>
      <c r="C196" s="73" t="s">
        <v>94</v>
      </c>
      <c r="D196" s="75" t="s">
        <v>59</v>
      </c>
      <c r="E196" s="76"/>
      <c r="F196" s="2"/>
    </row>
    <row r="197" spans="1:6" ht="13.8">
      <c r="A197" s="31"/>
      <c r="B197" s="74" t="b">
        <v>0</v>
      </c>
      <c r="C197" s="73" t="s">
        <v>44</v>
      </c>
      <c r="D197" s="101" t="s">
        <v>59</v>
      </c>
      <c r="E197" s="76"/>
      <c r="F197" s="2"/>
    </row>
    <row r="198" spans="1:6" ht="13.8">
      <c r="A198" s="31"/>
      <c r="B198" s="74" t="b">
        <v>0</v>
      </c>
      <c r="C198" s="73" t="s">
        <v>59</v>
      </c>
      <c r="D198" s="75" t="s">
        <v>59</v>
      </c>
      <c r="E198" s="76"/>
      <c r="F198" s="2"/>
    </row>
    <row r="199" spans="1:6" ht="13.8">
      <c r="A199" s="31"/>
      <c r="B199" s="74" t="b">
        <v>0</v>
      </c>
      <c r="C199" s="73" t="s">
        <v>59</v>
      </c>
      <c r="D199" s="75" t="s">
        <v>59</v>
      </c>
      <c r="E199" s="76"/>
      <c r="F199" s="2"/>
    </row>
    <row r="200" spans="1:6" ht="13.8">
      <c r="A200" s="31"/>
      <c r="B200" s="74" t="b">
        <v>0</v>
      </c>
      <c r="C200" s="73" t="s">
        <v>59</v>
      </c>
      <c r="D200" s="75" t="s">
        <v>59</v>
      </c>
      <c r="E200" s="76"/>
      <c r="F200" s="2"/>
    </row>
    <row r="201" spans="1:6" ht="13.8">
      <c r="A201" s="31"/>
      <c r="B201" s="74" t="b">
        <v>0</v>
      </c>
      <c r="C201" s="73" t="s">
        <v>43</v>
      </c>
      <c r="D201" s="89" t="s">
        <v>59</v>
      </c>
      <c r="E201" s="76"/>
      <c r="F201" s="2"/>
    </row>
    <row r="202" spans="1:6" ht="13.8">
      <c r="A202" s="31"/>
      <c r="B202" s="74" t="b">
        <v>0</v>
      </c>
      <c r="C202" s="195" t="s">
        <v>59</v>
      </c>
      <c r="D202" s="196"/>
      <c r="E202" s="197"/>
      <c r="F202" s="2"/>
    </row>
    <row r="203" spans="1:6" ht="75" customHeight="1">
      <c r="A203" s="31"/>
      <c r="B203" s="74" t="b">
        <v>0</v>
      </c>
      <c r="C203" s="198" t="s">
        <v>59</v>
      </c>
      <c r="D203" s="199"/>
      <c r="E203" s="200"/>
      <c r="F203" s="2"/>
    </row>
    <row r="204" spans="1:6" ht="13.8">
      <c r="A204" s="31"/>
      <c r="B204" s="74" t="b">
        <v>0</v>
      </c>
      <c r="C204" s="77"/>
      <c r="D204" s="77"/>
      <c r="E204" s="77"/>
      <c r="F204" s="2"/>
    </row>
    <row r="205" spans="1:6" ht="13.8">
      <c r="A205" s="31">
        <v>8</v>
      </c>
      <c r="B205" s="74" t="b">
        <v>0</v>
      </c>
      <c r="C205" s="73" t="s">
        <v>94</v>
      </c>
      <c r="D205" s="75" t="s">
        <v>59</v>
      </c>
      <c r="E205" s="76"/>
      <c r="F205" s="2"/>
    </row>
    <row r="206" spans="1:6" ht="13.8">
      <c r="A206" s="31"/>
      <c r="B206" s="74" t="b">
        <v>0</v>
      </c>
      <c r="C206" s="73" t="s">
        <v>44</v>
      </c>
      <c r="D206" s="101" t="s">
        <v>59</v>
      </c>
      <c r="E206" s="76"/>
      <c r="F206" s="2"/>
    </row>
    <row r="207" spans="1:6" ht="13.8">
      <c r="A207" s="31"/>
      <c r="B207" s="74" t="b">
        <v>0</v>
      </c>
      <c r="C207" s="73" t="s">
        <v>59</v>
      </c>
      <c r="D207" s="75" t="s">
        <v>59</v>
      </c>
      <c r="E207" s="76"/>
      <c r="F207" s="2"/>
    </row>
    <row r="208" spans="1:6" ht="13.8">
      <c r="A208" s="31"/>
      <c r="B208" s="74" t="b">
        <v>0</v>
      </c>
      <c r="C208" s="73" t="s">
        <v>59</v>
      </c>
      <c r="D208" s="75" t="s">
        <v>59</v>
      </c>
      <c r="E208" s="76"/>
      <c r="F208" s="2"/>
    </row>
    <row r="209" spans="1:6" ht="13.8">
      <c r="A209" s="31"/>
      <c r="B209" s="74" t="b">
        <v>0</v>
      </c>
      <c r="C209" s="73" t="s">
        <v>59</v>
      </c>
      <c r="D209" s="75" t="s">
        <v>59</v>
      </c>
      <c r="E209" s="76"/>
      <c r="F209" s="2"/>
    </row>
    <row r="210" spans="1:6" ht="13.8">
      <c r="A210" s="31"/>
      <c r="B210" s="74" t="b">
        <v>0</v>
      </c>
      <c r="C210" s="73" t="s">
        <v>43</v>
      </c>
      <c r="D210" s="89" t="s">
        <v>59</v>
      </c>
      <c r="E210" s="76"/>
      <c r="F210" s="2"/>
    </row>
    <row r="211" spans="1:6" ht="13.8">
      <c r="A211" s="31"/>
      <c r="B211" s="74" t="b">
        <v>0</v>
      </c>
      <c r="C211" s="195" t="s">
        <v>59</v>
      </c>
      <c r="D211" s="196"/>
      <c r="E211" s="197"/>
      <c r="F211" s="2"/>
    </row>
    <row r="212" spans="1:6" ht="75" customHeight="1">
      <c r="A212" s="31"/>
      <c r="B212" s="74" t="b">
        <v>0</v>
      </c>
      <c r="C212" s="198" t="s">
        <v>59</v>
      </c>
      <c r="D212" s="199"/>
      <c r="E212" s="200"/>
      <c r="F212" s="2"/>
    </row>
    <row r="213" spans="1:6" ht="13.8">
      <c r="A213" s="31"/>
      <c r="B213" s="74" t="b">
        <v>0</v>
      </c>
      <c r="C213" s="77"/>
      <c r="D213" s="77"/>
      <c r="E213" s="77"/>
      <c r="F213" s="2"/>
    </row>
    <row r="214" spans="1:6" ht="13.8">
      <c r="A214" s="31">
        <v>9</v>
      </c>
      <c r="B214" s="74" t="b">
        <v>0</v>
      </c>
      <c r="C214" s="73" t="s">
        <v>94</v>
      </c>
      <c r="D214" s="75" t="s">
        <v>59</v>
      </c>
      <c r="E214" s="76"/>
      <c r="F214" s="2"/>
    </row>
    <row r="215" spans="1:6" ht="13.8">
      <c r="A215" s="31"/>
      <c r="B215" s="74" t="b">
        <v>0</v>
      </c>
      <c r="C215" s="73" t="s">
        <v>44</v>
      </c>
      <c r="D215" s="101" t="s">
        <v>59</v>
      </c>
      <c r="E215" s="76"/>
      <c r="F215" s="2"/>
    </row>
    <row r="216" spans="1:6" ht="13.8">
      <c r="A216" s="31"/>
      <c r="B216" s="74" t="b">
        <v>0</v>
      </c>
      <c r="C216" s="73" t="s">
        <v>59</v>
      </c>
      <c r="D216" s="75" t="s">
        <v>59</v>
      </c>
      <c r="E216" s="76"/>
      <c r="F216" s="2"/>
    </row>
    <row r="217" spans="1:6" ht="13.8">
      <c r="A217" s="31"/>
      <c r="B217" s="74" t="b">
        <v>0</v>
      </c>
      <c r="C217" s="73" t="s">
        <v>59</v>
      </c>
      <c r="D217" s="75" t="s">
        <v>59</v>
      </c>
      <c r="E217" s="76"/>
      <c r="F217" s="2"/>
    </row>
    <row r="218" spans="1:6" ht="13.8">
      <c r="A218" s="31"/>
      <c r="B218" s="74" t="b">
        <v>0</v>
      </c>
      <c r="C218" s="73" t="s">
        <v>59</v>
      </c>
      <c r="D218" s="75" t="s">
        <v>59</v>
      </c>
      <c r="E218" s="76"/>
      <c r="F218" s="2"/>
    </row>
    <row r="219" spans="1:6" ht="13.8">
      <c r="A219" s="31"/>
      <c r="B219" s="74" t="b">
        <v>0</v>
      </c>
      <c r="C219" s="73" t="s">
        <v>43</v>
      </c>
      <c r="D219" s="89" t="s">
        <v>59</v>
      </c>
      <c r="E219" s="76"/>
      <c r="F219" s="2"/>
    </row>
    <row r="220" spans="1:6" ht="13.8">
      <c r="A220" s="31"/>
      <c r="B220" s="74" t="b">
        <v>0</v>
      </c>
      <c r="C220" s="195" t="s">
        <v>59</v>
      </c>
      <c r="D220" s="196"/>
      <c r="E220" s="197"/>
      <c r="F220" s="2"/>
    </row>
    <row r="221" spans="1:6" ht="75" customHeight="1">
      <c r="A221" s="31"/>
      <c r="B221" s="74" t="b">
        <v>0</v>
      </c>
      <c r="C221" s="198" t="s">
        <v>59</v>
      </c>
      <c r="D221" s="199"/>
      <c r="E221" s="200"/>
      <c r="F221" s="2"/>
    </row>
    <row r="222" spans="1:6" ht="13.8">
      <c r="A222" s="31"/>
      <c r="B222" s="74" t="b">
        <v>0</v>
      </c>
      <c r="C222" s="77"/>
      <c r="D222" s="77"/>
      <c r="E222" s="77"/>
      <c r="F222" s="2"/>
    </row>
    <row r="223" spans="1:6" ht="13.8">
      <c r="A223" s="31">
        <v>10</v>
      </c>
      <c r="B223" s="74" t="b">
        <v>0</v>
      </c>
      <c r="C223" s="73" t="s">
        <v>94</v>
      </c>
      <c r="D223" s="75" t="s">
        <v>59</v>
      </c>
      <c r="E223" s="76"/>
      <c r="F223" s="2"/>
    </row>
    <row r="224" spans="1:6" ht="13.8">
      <c r="A224" s="31"/>
      <c r="B224" s="74" t="b">
        <v>0</v>
      </c>
      <c r="C224" s="73" t="s">
        <v>44</v>
      </c>
      <c r="D224" s="101" t="s">
        <v>59</v>
      </c>
      <c r="E224" s="76"/>
      <c r="F224" s="2"/>
    </row>
    <row r="225" spans="1:6" ht="13.8">
      <c r="A225" s="31"/>
      <c r="B225" s="74" t="b">
        <v>0</v>
      </c>
      <c r="C225" s="73" t="s">
        <v>59</v>
      </c>
      <c r="D225" s="75" t="s">
        <v>59</v>
      </c>
      <c r="E225" s="76"/>
      <c r="F225" s="2"/>
    </row>
    <row r="226" spans="1:6" ht="13.8">
      <c r="A226" s="31"/>
      <c r="B226" s="74" t="b">
        <v>0</v>
      </c>
      <c r="C226" s="73" t="s">
        <v>59</v>
      </c>
      <c r="D226" s="75" t="s">
        <v>59</v>
      </c>
      <c r="E226" s="76"/>
      <c r="F226" s="2"/>
    </row>
    <row r="227" spans="1:6" ht="13.8">
      <c r="A227" s="31"/>
      <c r="B227" s="74" t="b">
        <v>0</v>
      </c>
      <c r="C227" s="73" t="s">
        <v>59</v>
      </c>
      <c r="D227" s="75" t="s">
        <v>59</v>
      </c>
      <c r="E227" s="76"/>
      <c r="F227" s="2"/>
    </row>
    <row r="228" spans="1:6" ht="13.8">
      <c r="A228" s="31"/>
      <c r="B228" s="74" t="b">
        <v>0</v>
      </c>
      <c r="C228" s="73" t="s">
        <v>43</v>
      </c>
      <c r="D228" s="89" t="s">
        <v>59</v>
      </c>
      <c r="E228" s="76"/>
      <c r="F228" s="2"/>
    </row>
    <row r="229" spans="1:6" ht="13.8">
      <c r="A229" s="31"/>
      <c r="B229" s="74" t="b">
        <v>0</v>
      </c>
      <c r="C229" s="195" t="s">
        <v>59</v>
      </c>
      <c r="D229" s="196"/>
      <c r="E229" s="197"/>
      <c r="F229" s="2"/>
    </row>
    <row r="230" spans="1:6" ht="75" customHeight="1">
      <c r="A230" s="31"/>
      <c r="B230" s="74" t="b">
        <v>0</v>
      </c>
      <c r="C230" s="198" t="s">
        <v>59</v>
      </c>
      <c r="D230" s="199"/>
      <c r="E230" s="200"/>
      <c r="F230" s="2"/>
    </row>
    <row r="231" spans="1:6" ht="13.8">
      <c r="A231" s="31"/>
      <c r="B231" s="74" t="b">
        <v>0</v>
      </c>
      <c r="C231" s="77"/>
      <c r="D231" s="77"/>
      <c r="E231" s="77"/>
      <c r="F231" s="2"/>
    </row>
    <row r="232" spans="1:6" ht="13.8">
      <c r="A232" s="31">
        <v>11</v>
      </c>
      <c r="B232" s="74" t="b">
        <v>0</v>
      </c>
      <c r="C232" s="73" t="s">
        <v>94</v>
      </c>
      <c r="D232" s="75" t="s">
        <v>59</v>
      </c>
      <c r="E232" s="76"/>
      <c r="F232" s="2"/>
    </row>
    <row r="233" spans="1:6" ht="13.8">
      <c r="A233" s="31"/>
      <c r="B233" s="74" t="b">
        <v>0</v>
      </c>
      <c r="C233" s="73" t="s">
        <v>44</v>
      </c>
      <c r="D233" s="101" t="s">
        <v>59</v>
      </c>
      <c r="E233" s="76"/>
      <c r="F233" s="2"/>
    </row>
    <row r="234" spans="1:6" ht="13.8">
      <c r="A234" s="31"/>
      <c r="B234" s="74" t="b">
        <v>0</v>
      </c>
      <c r="C234" s="73" t="s">
        <v>59</v>
      </c>
      <c r="D234" s="75" t="s">
        <v>59</v>
      </c>
      <c r="E234" s="76"/>
      <c r="F234" s="2"/>
    </row>
    <row r="235" spans="1:6" ht="13.8">
      <c r="A235" s="31"/>
      <c r="B235" s="74" t="b">
        <v>0</v>
      </c>
      <c r="C235" s="73" t="s">
        <v>59</v>
      </c>
      <c r="D235" s="75" t="s">
        <v>59</v>
      </c>
      <c r="E235" s="76"/>
      <c r="F235" s="2"/>
    </row>
    <row r="236" spans="1:6" ht="13.8">
      <c r="A236" s="31"/>
      <c r="B236" s="74" t="b">
        <v>0</v>
      </c>
      <c r="C236" s="73" t="s">
        <v>59</v>
      </c>
      <c r="D236" s="75" t="s">
        <v>59</v>
      </c>
      <c r="E236" s="76"/>
      <c r="F236" s="2"/>
    </row>
    <row r="237" spans="1:6" ht="13.8">
      <c r="A237" s="31"/>
      <c r="B237" s="74" t="b">
        <v>0</v>
      </c>
      <c r="C237" s="73" t="s">
        <v>43</v>
      </c>
      <c r="D237" s="89" t="s">
        <v>59</v>
      </c>
      <c r="E237" s="76"/>
      <c r="F237" s="2"/>
    </row>
    <row r="238" spans="1:6" ht="13.8">
      <c r="A238" s="31"/>
      <c r="B238" s="74" t="b">
        <v>0</v>
      </c>
      <c r="C238" s="195" t="s">
        <v>59</v>
      </c>
      <c r="D238" s="196"/>
      <c r="E238" s="197"/>
      <c r="F238" s="2"/>
    </row>
    <row r="239" spans="1:6" ht="75" customHeight="1">
      <c r="A239" s="31"/>
      <c r="B239" s="74" t="b">
        <v>0</v>
      </c>
      <c r="C239" s="198" t="s">
        <v>59</v>
      </c>
      <c r="D239" s="199"/>
      <c r="E239" s="200"/>
      <c r="F239" s="2"/>
    </row>
    <row r="240" spans="1:6" ht="13.8">
      <c r="A240" s="31"/>
      <c r="B240" s="74" t="b">
        <v>0</v>
      </c>
      <c r="C240" s="77"/>
      <c r="D240" s="77"/>
      <c r="E240" s="77"/>
      <c r="F240" s="2"/>
    </row>
    <row r="241" spans="1:6" ht="13.8">
      <c r="A241" s="31">
        <v>12</v>
      </c>
      <c r="B241" s="74" t="b">
        <v>0</v>
      </c>
      <c r="C241" s="73" t="s">
        <v>94</v>
      </c>
      <c r="D241" s="75" t="s">
        <v>59</v>
      </c>
      <c r="E241" s="76"/>
      <c r="F241" s="2"/>
    </row>
    <row r="242" spans="1:6" ht="13.8">
      <c r="A242" s="31"/>
      <c r="B242" s="74" t="b">
        <v>0</v>
      </c>
      <c r="C242" s="73" t="s">
        <v>44</v>
      </c>
      <c r="D242" s="101" t="s">
        <v>59</v>
      </c>
      <c r="E242" s="76"/>
      <c r="F242" s="2"/>
    </row>
    <row r="243" spans="1:6" ht="13.8">
      <c r="A243" s="31"/>
      <c r="B243" s="74" t="b">
        <v>0</v>
      </c>
      <c r="C243" s="73" t="s">
        <v>59</v>
      </c>
      <c r="D243" s="75" t="s">
        <v>59</v>
      </c>
      <c r="E243" s="76"/>
      <c r="F243" s="2"/>
    </row>
    <row r="244" spans="1:6" ht="13.8">
      <c r="A244" s="31"/>
      <c r="B244" s="74" t="b">
        <v>0</v>
      </c>
      <c r="C244" s="73" t="s">
        <v>59</v>
      </c>
      <c r="D244" s="75" t="s">
        <v>59</v>
      </c>
      <c r="E244" s="76"/>
      <c r="F244" s="2"/>
    </row>
    <row r="245" spans="1:6" ht="13.8">
      <c r="A245" s="31"/>
      <c r="B245" s="74" t="b">
        <v>0</v>
      </c>
      <c r="C245" s="73" t="s">
        <v>59</v>
      </c>
      <c r="D245" s="75" t="s">
        <v>59</v>
      </c>
      <c r="E245" s="76"/>
      <c r="F245" s="2"/>
    </row>
    <row r="246" spans="1:6" ht="13.8">
      <c r="A246" s="31"/>
      <c r="B246" s="74" t="b">
        <v>0</v>
      </c>
      <c r="C246" s="73" t="s">
        <v>43</v>
      </c>
      <c r="D246" s="89" t="s">
        <v>59</v>
      </c>
      <c r="E246" s="76"/>
      <c r="F246" s="2"/>
    </row>
    <row r="247" spans="1:6" ht="13.8">
      <c r="A247" s="31"/>
      <c r="B247" s="74" t="b">
        <v>0</v>
      </c>
      <c r="C247" s="195" t="s">
        <v>59</v>
      </c>
      <c r="D247" s="196"/>
      <c r="E247" s="197"/>
      <c r="F247" s="2"/>
    </row>
    <row r="248" spans="1:6" ht="75" customHeight="1">
      <c r="A248" s="31"/>
      <c r="B248" s="74" t="b">
        <v>0</v>
      </c>
      <c r="C248" s="198" t="s">
        <v>59</v>
      </c>
      <c r="D248" s="199"/>
      <c r="E248" s="200"/>
      <c r="F248" s="2"/>
    </row>
    <row r="249" spans="1:6" ht="13.8">
      <c r="A249" s="31"/>
      <c r="B249" s="74" t="b">
        <v>0</v>
      </c>
      <c r="C249" s="77"/>
      <c r="D249" s="77"/>
      <c r="E249" s="77"/>
      <c r="F249" s="2"/>
    </row>
    <row r="250" spans="1:6" ht="13.8">
      <c r="A250" s="31">
        <v>13</v>
      </c>
      <c r="B250" s="74" t="b">
        <v>0</v>
      </c>
      <c r="C250" s="73" t="s">
        <v>94</v>
      </c>
      <c r="D250" s="75" t="s">
        <v>59</v>
      </c>
      <c r="E250" s="76"/>
      <c r="F250" s="2"/>
    </row>
    <row r="251" spans="1:6" ht="13.8">
      <c r="A251" s="31"/>
      <c r="B251" s="74" t="b">
        <v>0</v>
      </c>
      <c r="C251" s="73" t="s">
        <v>44</v>
      </c>
      <c r="D251" s="101" t="s">
        <v>59</v>
      </c>
      <c r="E251" s="76"/>
      <c r="F251" s="2"/>
    </row>
    <row r="252" spans="1:6" ht="13.8">
      <c r="A252" s="31"/>
      <c r="B252" s="74" t="b">
        <v>0</v>
      </c>
      <c r="C252" s="73" t="s">
        <v>59</v>
      </c>
      <c r="D252" s="75" t="s">
        <v>59</v>
      </c>
      <c r="E252" s="76"/>
      <c r="F252" s="2"/>
    </row>
    <row r="253" spans="1:6" ht="13.8">
      <c r="A253" s="31"/>
      <c r="B253" s="74" t="b">
        <v>0</v>
      </c>
      <c r="C253" s="73" t="s">
        <v>59</v>
      </c>
      <c r="D253" s="75" t="s">
        <v>59</v>
      </c>
      <c r="E253" s="76"/>
      <c r="F253" s="2"/>
    </row>
    <row r="254" spans="1:6" ht="13.8">
      <c r="A254" s="31"/>
      <c r="B254" s="74" t="b">
        <v>0</v>
      </c>
      <c r="C254" s="73" t="s">
        <v>59</v>
      </c>
      <c r="D254" s="75" t="s">
        <v>59</v>
      </c>
      <c r="E254" s="76"/>
      <c r="F254" s="2"/>
    </row>
    <row r="255" spans="1:6" ht="13.8">
      <c r="A255" s="31"/>
      <c r="B255" s="74" t="b">
        <v>0</v>
      </c>
      <c r="C255" s="73" t="s">
        <v>43</v>
      </c>
      <c r="D255" s="89" t="s">
        <v>59</v>
      </c>
      <c r="E255" s="76"/>
      <c r="F255" s="2"/>
    </row>
    <row r="256" spans="1:6" ht="13.8">
      <c r="A256" s="31"/>
      <c r="B256" s="74" t="b">
        <v>0</v>
      </c>
      <c r="C256" s="195" t="s">
        <v>59</v>
      </c>
      <c r="D256" s="196"/>
      <c r="E256" s="197"/>
      <c r="F256" s="2"/>
    </row>
    <row r="257" spans="1:6" ht="75" customHeight="1">
      <c r="A257" s="31"/>
      <c r="B257" s="74" t="b">
        <v>0</v>
      </c>
      <c r="C257" s="198" t="s">
        <v>59</v>
      </c>
      <c r="D257" s="199"/>
      <c r="E257" s="200"/>
      <c r="F257" s="2"/>
    </row>
    <row r="258" spans="1:6" ht="13.8">
      <c r="A258" s="31"/>
      <c r="B258" s="74" t="b">
        <v>0</v>
      </c>
      <c r="C258" s="77"/>
      <c r="D258" s="77"/>
      <c r="E258" s="77"/>
      <c r="F258" s="2"/>
    </row>
    <row r="259" spans="1:6" ht="13.8">
      <c r="A259" s="31">
        <v>14</v>
      </c>
      <c r="B259" s="74" t="b">
        <v>0</v>
      </c>
      <c r="C259" s="73" t="s">
        <v>94</v>
      </c>
      <c r="D259" s="75" t="s">
        <v>59</v>
      </c>
      <c r="E259" s="76"/>
      <c r="F259" s="2"/>
    </row>
    <row r="260" spans="1:6" ht="13.8">
      <c r="A260" s="31"/>
      <c r="B260" s="74" t="b">
        <v>0</v>
      </c>
      <c r="C260" s="73" t="s">
        <v>44</v>
      </c>
      <c r="D260" s="101" t="s">
        <v>59</v>
      </c>
      <c r="E260" s="76"/>
      <c r="F260" s="2"/>
    </row>
    <row r="261" spans="1:6" ht="13.8">
      <c r="A261" s="31"/>
      <c r="B261" s="74" t="b">
        <v>0</v>
      </c>
      <c r="C261" s="73" t="s">
        <v>59</v>
      </c>
      <c r="D261" s="75" t="s">
        <v>59</v>
      </c>
      <c r="E261" s="76"/>
      <c r="F261" s="2"/>
    </row>
    <row r="262" spans="1:6" ht="13.8">
      <c r="A262" s="31"/>
      <c r="B262" s="74" t="b">
        <v>0</v>
      </c>
      <c r="C262" s="73" t="s">
        <v>59</v>
      </c>
      <c r="D262" s="75" t="s">
        <v>59</v>
      </c>
      <c r="E262" s="76"/>
      <c r="F262" s="2"/>
    </row>
    <row r="263" spans="1:6" ht="13.8">
      <c r="A263" s="31"/>
      <c r="B263" s="74" t="b">
        <v>0</v>
      </c>
      <c r="C263" s="73" t="s">
        <v>59</v>
      </c>
      <c r="D263" s="75" t="s">
        <v>59</v>
      </c>
      <c r="E263" s="76"/>
      <c r="F263" s="2"/>
    </row>
    <row r="264" spans="1:6" ht="13.8">
      <c r="A264" s="31"/>
      <c r="B264" s="74" t="b">
        <v>0</v>
      </c>
      <c r="C264" s="73" t="s">
        <v>43</v>
      </c>
      <c r="D264" s="89" t="s">
        <v>59</v>
      </c>
      <c r="E264" s="76"/>
      <c r="F264" s="2"/>
    </row>
    <row r="265" spans="1:6" ht="13.8">
      <c r="A265" s="31"/>
      <c r="B265" s="74" t="b">
        <v>0</v>
      </c>
      <c r="C265" s="195" t="s">
        <v>59</v>
      </c>
      <c r="D265" s="196"/>
      <c r="E265" s="197"/>
      <c r="F265" s="2"/>
    </row>
    <row r="266" spans="1:6" ht="75" customHeight="1">
      <c r="A266" s="31"/>
      <c r="B266" s="74" t="b">
        <v>0</v>
      </c>
      <c r="C266" s="198" t="s">
        <v>59</v>
      </c>
      <c r="D266" s="199"/>
      <c r="E266" s="200"/>
      <c r="F266" s="2"/>
    </row>
    <row r="267" spans="1:6" ht="13.8">
      <c r="A267" s="31"/>
      <c r="B267" s="74" t="b">
        <v>0</v>
      </c>
      <c r="C267" s="77"/>
      <c r="D267" s="77"/>
      <c r="E267" s="77"/>
      <c r="F267" s="2"/>
    </row>
    <row r="268" spans="1:6" ht="13.8">
      <c r="A268" s="31">
        <v>15</v>
      </c>
      <c r="B268" s="74" t="b">
        <v>0</v>
      </c>
      <c r="C268" s="73" t="s">
        <v>94</v>
      </c>
      <c r="D268" s="75" t="s">
        <v>59</v>
      </c>
      <c r="E268" s="76"/>
      <c r="F268" s="2"/>
    </row>
    <row r="269" spans="1:6" ht="13.8">
      <c r="A269" s="31"/>
      <c r="B269" s="74" t="b">
        <v>0</v>
      </c>
      <c r="C269" s="73" t="s">
        <v>44</v>
      </c>
      <c r="D269" s="101" t="s">
        <v>59</v>
      </c>
      <c r="E269" s="76"/>
      <c r="F269" s="2"/>
    </row>
    <row r="270" spans="1:6" ht="13.8">
      <c r="A270" s="31"/>
      <c r="B270" s="74" t="b">
        <v>0</v>
      </c>
      <c r="C270" s="73" t="s">
        <v>59</v>
      </c>
      <c r="D270" s="75" t="s">
        <v>59</v>
      </c>
      <c r="E270" s="76"/>
      <c r="F270" s="2"/>
    </row>
    <row r="271" spans="1:6" ht="13.8">
      <c r="A271" s="31"/>
      <c r="B271" s="74" t="b">
        <v>0</v>
      </c>
      <c r="C271" s="73" t="s">
        <v>59</v>
      </c>
      <c r="D271" s="75" t="s">
        <v>59</v>
      </c>
      <c r="E271" s="76"/>
      <c r="F271" s="2"/>
    </row>
    <row r="272" spans="1:6" ht="13.8">
      <c r="A272" s="31"/>
      <c r="B272" s="74" t="b">
        <v>0</v>
      </c>
      <c r="C272" s="73" t="s">
        <v>59</v>
      </c>
      <c r="D272" s="75" t="s">
        <v>59</v>
      </c>
      <c r="E272" s="76"/>
      <c r="F272" s="2"/>
    </row>
    <row r="273" spans="1:6" ht="13.8">
      <c r="A273" s="31"/>
      <c r="B273" s="74" t="b">
        <v>0</v>
      </c>
      <c r="C273" s="73" t="s">
        <v>43</v>
      </c>
      <c r="D273" s="89" t="s">
        <v>59</v>
      </c>
      <c r="E273" s="76"/>
      <c r="F273" s="2"/>
    </row>
    <row r="274" spans="1:6" ht="13.8">
      <c r="A274" s="31"/>
      <c r="B274" s="74" t="b">
        <v>0</v>
      </c>
      <c r="C274" s="195" t="s">
        <v>59</v>
      </c>
      <c r="D274" s="196"/>
      <c r="E274" s="197"/>
      <c r="F274" s="2"/>
    </row>
    <row r="275" spans="1:6" ht="75" customHeight="1">
      <c r="A275" s="31"/>
      <c r="B275" s="74" t="b">
        <v>0</v>
      </c>
      <c r="C275" s="198" t="s">
        <v>59</v>
      </c>
      <c r="D275" s="199"/>
      <c r="E275" s="200"/>
      <c r="F275" s="2"/>
    </row>
    <row r="276" spans="1:6" ht="13.8">
      <c r="A276" s="31"/>
      <c r="B276" s="74" t="b">
        <v>0</v>
      </c>
      <c r="C276" s="77"/>
      <c r="D276" s="77"/>
      <c r="E276" s="77"/>
      <c r="F276" s="2"/>
    </row>
    <row r="277" spans="1:6" ht="13.8">
      <c r="A277" s="31">
        <v>16</v>
      </c>
      <c r="B277" s="74" t="b">
        <v>0</v>
      </c>
      <c r="C277" s="73" t="s">
        <v>94</v>
      </c>
      <c r="D277" s="75" t="s">
        <v>59</v>
      </c>
      <c r="E277" s="76"/>
      <c r="F277" s="2"/>
    </row>
    <row r="278" spans="1:6" ht="13.8">
      <c r="A278" s="31"/>
      <c r="B278" s="74" t="b">
        <v>0</v>
      </c>
      <c r="C278" s="73" t="s">
        <v>44</v>
      </c>
      <c r="D278" s="101" t="s">
        <v>59</v>
      </c>
      <c r="E278" s="76"/>
      <c r="F278" s="2"/>
    </row>
    <row r="279" spans="1:6" ht="13.8">
      <c r="A279" s="31"/>
      <c r="B279" s="74" t="b">
        <v>0</v>
      </c>
      <c r="C279" s="73" t="s">
        <v>59</v>
      </c>
      <c r="D279" s="75" t="s">
        <v>59</v>
      </c>
      <c r="E279" s="76"/>
      <c r="F279" s="2"/>
    </row>
    <row r="280" spans="1:6" ht="13.8">
      <c r="A280" s="31"/>
      <c r="B280" s="74" t="b">
        <v>0</v>
      </c>
      <c r="C280" s="73" t="s">
        <v>59</v>
      </c>
      <c r="D280" s="75" t="s">
        <v>59</v>
      </c>
      <c r="E280" s="76"/>
      <c r="F280" s="2"/>
    </row>
    <row r="281" spans="1:6" ht="13.8">
      <c r="A281" s="31"/>
      <c r="B281" s="74" t="b">
        <v>0</v>
      </c>
      <c r="C281" s="73" t="s">
        <v>59</v>
      </c>
      <c r="D281" s="75" t="s">
        <v>59</v>
      </c>
      <c r="E281" s="76"/>
      <c r="F281" s="2"/>
    </row>
    <row r="282" spans="1:6" ht="13.8">
      <c r="A282" s="31"/>
      <c r="B282" s="74" t="b">
        <v>0</v>
      </c>
      <c r="C282" s="73" t="s">
        <v>43</v>
      </c>
      <c r="D282" s="89" t="s">
        <v>59</v>
      </c>
      <c r="E282" s="76"/>
      <c r="F282" s="2"/>
    </row>
    <row r="283" spans="1:6" ht="13.8">
      <c r="A283" s="31"/>
      <c r="B283" s="74" t="b">
        <v>0</v>
      </c>
      <c r="C283" s="195" t="s">
        <v>59</v>
      </c>
      <c r="D283" s="196"/>
      <c r="E283" s="197"/>
      <c r="F283" s="2"/>
    </row>
    <row r="284" spans="1:6" ht="75" customHeight="1">
      <c r="A284" s="31"/>
      <c r="B284" s="74" t="b">
        <v>0</v>
      </c>
      <c r="C284" s="198" t="s">
        <v>59</v>
      </c>
      <c r="D284" s="199"/>
      <c r="E284" s="200"/>
      <c r="F284" s="2"/>
    </row>
    <row r="285" spans="1:6" ht="13.8">
      <c r="A285" s="31"/>
      <c r="B285" s="74" t="b">
        <v>0</v>
      </c>
      <c r="C285" s="77"/>
      <c r="D285" s="77"/>
      <c r="E285" s="77"/>
      <c r="F285" s="2"/>
    </row>
    <row r="286" spans="1:6" ht="13.8">
      <c r="A286" s="31">
        <v>17</v>
      </c>
      <c r="B286" s="74" t="b">
        <v>0</v>
      </c>
      <c r="C286" s="73" t="s">
        <v>94</v>
      </c>
      <c r="D286" s="75" t="s">
        <v>59</v>
      </c>
      <c r="E286" s="76"/>
      <c r="F286" s="2"/>
    </row>
    <row r="287" spans="1:6" ht="13.8">
      <c r="A287" s="31"/>
      <c r="B287" s="74" t="b">
        <v>0</v>
      </c>
      <c r="C287" s="73" t="s">
        <v>44</v>
      </c>
      <c r="D287" s="101" t="s">
        <v>59</v>
      </c>
      <c r="E287" s="76"/>
      <c r="F287" s="2"/>
    </row>
    <row r="288" spans="1:6" ht="13.8">
      <c r="A288" s="31"/>
      <c r="B288" s="74" t="b">
        <v>0</v>
      </c>
      <c r="C288" s="73" t="s">
        <v>59</v>
      </c>
      <c r="D288" s="75" t="s">
        <v>59</v>
      </c>
      <c r="E288" s="76"/>
      <c r="F288" s="2"/>
    </row>
    <row r="289" spans="1:6" ht="13.8">
      <c r="A289" s="31"/>
      <c r="B289" s="74" t="b">
        <v>0</v>
      </c>
      <c r="C289" s="73" t="s">
        <v>59</v>
      </c>
      <c r="D289" s="75" t="s">
        <v>59</v>
      </c>
      <c r="E289" s="76"/>
      <c r="F289" s="2"/>
    </row>
    <row r="290" spans="1:6" ht="13.8">
      <c r="A290" s="31"/>
      <c r="B290" s="74" t="b">
        <v>0</v>
      </c>
      <c r="C290" s="73" t="s">
        <v>59</v>
      </c>
      <c r="D290" s="75" t="s">
        <v>59</v>
      </c>
      <c r="E290" s="76"/>
      <c r="F290" s="2"/>
    </row>
    <row r="291" spans="1:6" ht="13.8">
      <c r="A291" s="31"/>
      <c r="B291" s="74" t="b">
        <v>0</v>
      </c>
      <c r="C291" s="73" t="s">
        <v>43</v>
      </c>
      <c r="D291" s="89" t="s">
        <v>59</v>
      </c>
      <c r="E291" s="76"/>
      <c r="F291" s="2"/>
    </row>
    <row r="292" spans="1:6" ht="13.8">
      <c r="A292" s="31"/>
      <c r="B292" s="74" t="b">
        <v>0</v>
      </c>
      <c r="C292" s="195" t="s">
        <v>59</v>
      </c>
      <c r="D292" s="196"/>
      <c r="E292" s="197"/>
      <c r="F292" s="2"/>
    </row>
    <row r="293" spans="1:6" ht="75" customHeight="1">
      <c r="A293" s="31"/>
      <c r="B293" s="74" t="b">
        <v>0</v>
      </c>
      <c r="C293" s="198" t="s">
        <v>59</v>
      </c>
      <c r="D293" s="199"/>
      <c r="E293" s="200"/>
      <c r="F293" s="2"/>
    </row>
    <row r="294" spans="1:6" ht="13.8">
      <c r="A294" s="31"/>
      <c r="B294" s="74" t="b">
        <v>0</v>
      </c>
      <c r="C294" s="77"/>
      <c r="D294" s="77"/>
      <c r="E294" s="77"/>
      <c r="F294" s="2"/>
    </row>
    <row r="295" spans="1:6" ht="13.8">
      <c r="A295" s="31">
        <v>18</v>
      </c>
      <c r="B295" s="74" t="b">
        <v>0</v>
      </c>
      <c r="C295" s="73" t="s">
        <v>94</v>
      </c>
      <c r="D295" s="75" t="s">
        <v>59</v>
      </c>
      <c r="E295" s="76"/>
      <c r="F295" s="2"/>
    </row>
    <row r="296" spans="1:6" ht="13.8">
      <c r="A296" s="31"/>
      <c r="B296" s="74" t="b">
        <v>0</v>
      </c>
      <c r="C296" s="73" t="s">
        <v>44</v>
      </c>
      <c r="D296" s="101" t="s">
        <v>59</v>
      </c>
      <c r="E296" s="76"/>
      <c r="F296" s="2"/>
    </row>
    <row r="297" spans="1:6" ht="13.8">
      <c r="A297" s="31"/>
      <c r="B297" s="74" t="b">
        <v>0</v>
      </c>
      <c r="C297" s="73" t="s">
        <v>59</v>
      </c>
      <c r="D297" s="75" t="s">
        <v>59</v>
      </c>
      <c r="E297" s="76"/>
      <c r="F297" s="2"/>
    </row>
    <row r="298" spans="1:6" ht="13.8">
      <c r="A298" s="31"/>
      <c r="B298" s="74" t="b">
        <v>0</v>
      </c>
      <c r="C298" s="73" t="s">
        <v>59</v>
      </c>
      <c r="D298" s="75" t="s">
        <v>59</v>
      </c>
      <c r="E298" s="76"/>
      <c r="F298" s="2"/>
    </row>
    <row r="299" spans="1:6" ht="13.8">
      <c r="A299" s="31"/>
      <c r="B299" s="74" t="b">
        <v>0</v>
      </c>
      <c r="C299" s="73" t="s">
        <v>59</v>
      </c>
      <c r="D299" s="75" t="s">
        <v>59</v>
      </c>
      <c r="E299" s="76"/>
      <c r="F299" s="2"/>
    </row>
    <row r="300" spans="1:6" ht="13.8">
      <c r="A300" s="31"/>
      <c r="B300" s="74" t="b">
        <v>0</v>
      </c>
      <c r="C300" s="73" t="s">
        <v>43</v>
      </c>
      <c r="D300" s="89" t="s">
        <v>59</v>
      </c>
      <c r="E300" s="76"/>
      <c r="F300" s="2"/>
    </row>
    <row r="301" spans="1:6" ht="13.8">
      <c r="A301" s="31"/>
      <c r="B301" s="74" t="b">
        <v>0</v>
      </c>
      <c r="C301" s="195" t="s">
        <v>59</v>
      </c>
      <c r="D301" s="196"/>
      <c r="E301" s="197"/>
      <c r="F301" s="2"/>
    </row>
    <row r="302" spans="1:6" ht="75" customHeight="1">
      <c r="A302" s="31"/>
      <c r="B302" s="74" t="b">
        <v>0</v>
      </c>
      <c r="C302" s="198" t="s">
        <v>59</v>
      </c>
      <c r="D302" s="199"/>
      <c r="E302" s="200"/>
      <c r="F302" s="2"/>
    </row>
    <row r="303" spans="1:6" ht="13.8">
      <c r="A303" s="31"/>
      <c r="B303" s="74" t="b">
        <v>0</v>
      </c>
      <c r="C303" s="77"/>
      <c r="D303" s="77"/>
      <c r="E303" s="77"/>
      <c r="F303" s="2"/>
    </row>
    <row r="304" spans="1:6" ht="13.8">
      <c r="A304" s="31">
        <v>19</v>
      </c>
      <c r="B304" s="74" t="b">
        <v>0</v>
      </c>
      <c r="C304" s="73" t="s">
        <v>94</v>
      </c>
      <c r="D304" s="75" t="s">
        <v>59</v>
      </c>
      <c r="E304" s="76"/>
      <c r="F304" s="2"/>
    </row>
    <row r="305" spans="1:6" ht="13.8">
      <c r="A305" s="31"/>
      <c r="B305" s="74" t="b">
        <v>0</v>
      </c>
      <c r="C305" s="73" t="s">
        <v>44</v>
      </c>
      <c r="D305" s="101" t="s">
        <v>59</v>
      </c>
      <c r="E305" s="76"/>
      <c r="F305" s="2"/>
    </row>
    <row r="306" spans="1:6" ht="13.8">
      <c r="A306" s="31"/>
      <c r="B306" s="74" t="b">
        <v>0</v>
      </c>
      <c r="C306" s="73" t="s">
        <v>59</v>
      </c>
      <c r="D306" s="75" t="s">
        <v>59</v>
      </c>
      <c r="E306" s="76"/>
      <c r="F306" s="2"/>
    </row>
    <row r="307" spans="1:6" ht="13.8">
      <c r="A307" s="31"/>
      <c r="B307" s="74" t="b">
        <v>0</v>
      </c>
      <c r="C307" s="73" t="s">
        <v>59</v>
      </c>
      <c r="D307" s="75" t="s">
        <v>59</v>
      </c>
      <c r="E307" s="76"/>
      <c r="F307" s="2"/>
    </row>
    <row r="308" spans="1:6" ht="13.8">
      <c r="A308" s="31"/>
      <c r="B308" s="74" t="b">
        <v>0</v>
      </c>
      <c r="C308" s="73" t="s">
        <v>59</v>
      </c>
      <c r="D308" s="75" t="s">
        <v>59</v>
      </c>
      <c r="E308" s="76"/>
      <c r="F308" s="2"/>
    </row>
    <row r="309" spans="1:6" ht="13.8">
      <c r="A309" s="31"/>
      <c r="B309" s="74" t="b">
        <v>0</v>
      </c>
      <c r="C309" s="73" t="s">
        <v>43</v>
      </c>
      <c r="D309" s="89" t="s">
        <v>59</v>
      </c>
      <c r="E309" s="76"/>
      <c r="F309" s="2"/>
    </row>
    <row r="310" spans="1:6" ht="13.8">
      <c r="A310" s="31"/>
      <c r="B310" s="74" t="b">
        <v>0</v>
      </c>
      <c r="C310" s="195" t="s">
        <v>59</v>
      </c>
      <c r="D310" s="196"/>
      <c r="E310" s="197"/>
      <c r="F310" s="2"/>
    </row>
    <row r="311" spans="1:6" ht="75" customHeight="1">
      <c r="A311" s="31"/>
      <c r="B311" s="74" t="b">
        <v>0</v>
      </c>
      <c r="C311" s="198" t="s">
        <v>59</v>
      </c>
      <c r="D311" s="199"/>
      <c r="E311" s="200"/>
      <c r="F311" s="2"/>
    </row>
    <row r="312" spans="1:6" ht="13.8">
      <c r="A312" s="31"/>
      <c r="B312" s="74" t="b">
        <v>0</v>
      </c>
      <c r="C312" s="77"/>
      <c r="D312" s="77"/>
      <c r="E312" s="77"/>
      <c r="F312" s="2"/>
    </row>
    <row r="313" spans="1:6" ht="13.8">
      <c r="A313" s="31">
        <v>20</v>
      </c>
      <c r="B313" s="74" t="b">
        <v>0</v>
      </c>
      <c r="C313" s="73" t="s">
        <v>94</v>
      </c>
      <c r="D313" s="75" t="s">
        <v>59</v>
      </c>
      <c r="E313" s="76"/>
      <c r="F313" s="2"/>
    </row>
    <row r="314" spans="1:6" ht="13.8">
      <c r="A314" s="31"/>
      <c r="B314" s="74" t="b">
        <v>0</v>
      </c>
      <c r="C314" s="73" t="s">
        <v>44</v>
      </c>
      <c r="D314" s="101" t="s">
        <v>59</v>
      </c>
      <c r="E314" s="76"/>
      <c r="F314" s="2"/>
    </row>
    <row r="315" spans="1:6" ht="13.8">
      <c r="A315" s="31"/>
      <c r="B315" s="74" t="b">
        <v>0</v>
      </c>
      <c r="C315" s="73" t="s">
        <v>59</v>
      </c>
      <c r="D315" s="75" t="s">
        <v>59</v>
      </c>
      <c r="E315" s="76"/>
      <c r="F315" s="2"/>
    </row>
    <row r="316" spans="1:6" ht="13.8">
      <c r="A316" s="31"/>
      <c r="B316" s="74" t="b">
        <v>0</v>
      </c>
      <c r="C316" s="73" t="s">
        <v>59</v>
      </c>
      <c r="D316" s="75" t="s">
        <v>59</v>
      </c>
      <c r="E316" s="76"/>
      <c r="F316" s="2"/>
    </row>
    <row r="317" spans="1:6" ht="13.8">
      <c r="A317" s="31"/>
      <c r="B317" s="74" t="b">
        <v>0</v>
      </c>
      <c r="C317" s="73" t="s">
        <v>59</v>
      </c>
      <c r="D317" s="75" t="s">
        <v>59</v>
      </c>
      <c r="E317" s="76"/>
      <c r="F317" s="2"/>
    </row>
    <row r="318" spans="1:6" ht="13.8">
      <c r="A318" s="31"/>
      <c r="B318" s="74" t="b">
        <v>0</v>
      </c>
      <c r="C318" s="73" t="s">
        <v>43</v>
      </c>
      <c r="D318" s="89" t="s">
        <v>59</v>
      </c>
      <c r="E318" s="76"/>
      <c r="F318" s="2"/>
    </row>
    <row r="319" spans="1:6" ht="13.8">
      <c r="A319" s="31"/>
      <c r="B319" s="74" t="b">
        <v>0</v>
      </c>
      <c r="C319" s="195" t="s">
        <v>59</v>
      </c>
      <c r="D319" s="196"/>
      <c r="E319" s="197"/>
      <c r="F319" s="2"/>
    </row>
    <row r="320" spans="1:6" ht="75" customHeight="1">
      <c r="A320" s="31"/>
      <c r="B320" s="74" t="b">
        <v>0</v>
      </c>
      <c r="C320" s="198" t="s">
        <v>59</v>
      </c>
      <c r="D320" s="199"/>
      <c r="E320" s="200"/>
      <c r="F320" s="2"/>
    </row>
    <row r="321" spans="1:6" ht="13.8">
      <c r="A321" s="31"/>
      <c r="B321" s="74" t="b">
        <v>0</v>
      </c>
      <c r="C321" s="77"/>
      <c r="D321" s="77"/>
      <c r="E321" s="77"/>
      <c r="F321" s="2"/>
    </row>
    <row r="322" spans="1:6" ht="13.8">
      <c r="A322" s="31">
        <v>21</v>
      </c>
      <c r="B322" s="74" t="b">
        <v>0</v>
      </c>
      <c r="C322" s="73" t="s">
        <v>94</v>
      </c>
      <c r="D322" s="75" t="s">
        <v>59</v>
      </c>
      <c r="E322" s="76"/>
      <c r="F322" s="2"/>
    </row>
    <row r="323" spans="1:6" ht="13.8">
      <c r="A323" s="31"/>
      <c r="B323" s="74" t="b">
        <v>0</v>
      </c>
      <c r="C323" s="73" t="s">
        <v>44</v>
      </c>
      <c r="D323" s="101" t="s">
        <v>59</v>
      </c>
      <c r="E323" s="76"/>
      <c r="F323" s="2"/>
    </row>
    <row r="324" spans="1:6" ht="13.8">
      <c r="A324" s="31"/>
      <c r="B324" s="74" t="b">
        <v>0</v>
      </c>
      <c r="C324" s="73" t="s">
        <v>59</v>
      </c>
      <c r="D324" s="75" t="s">
        <v>59</v>
      </c>
      <c r="E324" s="76"/>
      <c r="F324" s="2"/>
    </row>
    <row r="325" spans="1:6" ht="13.8">
      <c r="A325" s="31"/>
      <c r="B325" s="74" t="b">
        <v>0</v>
      </c>
      <c r="C325" s="73" t="s">
        <v>59</v>
      </c>
      <c r="D325" s="75" t="s">
        <v>59</v>
      </c>
      <c r="E325" s="76"/>
      <c r="F325" s="2"/>
    </row>
    <row r="326" spans="1:6" ht="13.8">
      <c r="A326" s="31"/>
      <c r="B326" s="74" t="b">
        <v>0</v>
      </c>
      <c r="C326" s="73" t="s">
        <v>59</v>
      </c>
      <c r="D326" s="75" t="s">
        <v>59</v>
      </c>
      <c r="E326" s="76"/>
      <c r="F326" s="2"/>
    </row>
    <row r="327" spans="1:6" ht="13.8">
      <c r="A327" s="31"/>
      <c r="B327" s="74" t="b">
        <v>0</v>
      </c>
      <c r="C327" s="73" t="s">
        <v>43</v>
      </c>
      <c r="D327" s="89" t="s">
        <v>59</v>
      </c>
      <c r="E327" s="76"/>
      <c r="F327" s="2"/>
    </row>
    <row r="328" spans="1:6" ht="13.8">
      <c r="A328" s="31"/>
      <c r="B328" s="74" t="b">
        <v>0</v>
      </c>
      <c r="C328" s="195" t="s">
        <v>59</v>
      </c>
      <c r="D328" s="196"/>
      <c r="E328" s="197"/>
      <c r="F328" s="2"/>
    </row>
    <row r="329" spans="1:6" ht="75" customHeight="1">
      <c r="A329" s="31"/>
      <c r="B329" s="74" t="b">
        <v>0</v>
      </c>
      <c r="C329" s="198" t="s">
        <v>59</v>
      </c>
      <c r="D329" s="199"/>
      <c r="E329" s="200"/>
      <c r="F329" s="2"/>
    </row>
    <row r="330" spans="1:6" ht="13.8">
      <c r="A330" s="31"/>
      <c r="B330" s="74" t="b">
        <v>0</v>
      </c>
      <c r="C330" s="77"/>
      <c r="D330" s="77"/>
      <c r="E330" s="77"/>
      <c r="F330" s="2"/>
    </row>
    <row r="331" spans="1:6" ht="13.8">
      <c r="A331" s="31">
        <v>22</v>
      </c>
      <c r="B331" s="74" t="b">
        <v>0</v>
      </c>
      <c r="C331" s="73" t="s">
        <v>94</v>
      </c>
      <c r="D331" s="75" t="s">
        <v>59</v>
      </c>
      <c r="E331" s="76"/>
      <c r="F331" s="2"/>
    </row>
    <row r="332" spans="1:6" ht="13.8">
      <c r="A332" s="31"/>
      <c r="B332" s="74" t="b">
        <v>0</v>
      </c>
      <c r="C332" s="73" t="s">
        <v>44</v>
      </c>
      <c r="D332" s="101" t="s">
        <v>59</v>
      </c>
      <c r="E332" s="76"/>
      <c r="F332" s="2"/>
    </row>
    <row r="333" spans="1:6" ht="13.8">
      <c r="A333" s="31"/>
      <c r="B333" s="74" t="b">
        <v>0</v>
      </c>
      <c r="C333" s="73" t="s">
        <v>59</v>
      </c>
      <c r="D333" s="75" t="s">
        <v>59</v>
      </c>
      <c r="E333" s="76"/>
      <c r="F333" s="2"/>
    </row>
    <row r="334" spans="1:6" ht="13.8">
      <c r="A334" s="31"/>
      <c r="B334" s="74" t="b">
        <v>0</v>
      </c>
      <c r="C334" s="73" t="s">
        <v>59</v>
      </c>
      <c r="D334" s="75" t="s">
        <v>59</v>
      </c>
      <c r="E334" s="76"/>
      <c r="F334" s="2"/>
    </row>
    <row r="335" spans="1:6" ht="13.8">
      <c r="A335" s="31"/>
      <c r="B335" s="74" t="b">
        <v>0</v>
      </c>
      <c r="C335" s="73" t="s">
        <v>59</v>
      </c>
      <c r="D335" s="75" t="s">
        <v>59</v>
      </c>
      <c r="E335" s="76"/>
      <c r="F335" s="2"/>
    </row>
    <row r="336" spans="1:6" ht="13.8">
      <c r="A336" s="31"/>
      <c r="B336" s="74" t="b">
        <v>0</v>
      </c>
      <c r="C336" s="73" t="s">
        <v>43</v>
      </c>
      <c r="D336" s="89" t="s">
        <v>59</v>
      </c>
      <c r="E336" s="76"/>
      <c r="F336" s="2"/>
    </row>
    <row r="337" spans="1:6" ht="13.8">
      <c r="A337" s="31"/>
      <c r="B337" s="74" t="b">
        <v>0</v>
      </c>
      <c r="C337" s="195" t="s">
        <v>59</v>
      </c>
      <c r="D337" s="196"/>
      <c r="E337" s="197"/>
      <c r="F337" s="2"/>
    </row>
    <row r="338" spans="1:6" ht="75" customHeight="1">
      <c r="A338" s="31"/>
      <c r="B338" s="74" t="b">
        <v>0</v>
      </c>
      <c r="C338" s="198" t="s">
        <v>59</v>
      </c>
      <c r="D338" s="199"/>
      <c r="E338" s="200"/>
      <c r="F338" s="2"/>
    </row>
    <row r="339" spans="1:6" ht="13.8">
      <c r="A339" s="31"/>
      <c r="B339" s="74" t="b">
        <v>0</v>
      </c>
      <c r="C339" s="77"/>
      <c r="D339" s="77"/>
      <c r="E339" s="77"/>
      <c r="F339" s="2"/>
    </row>
    <row r="340" spans="1:6" ht="13.8">
      <c r="A340" s="31">
        <v>23</v>
      </c>
      <c r="B340" s="74" t="b">
        <v>0</v>
      </c>
      <c r="C340" s="73" t="s">
        <v>94</v>
      </c>
      <c r="D340" s="75" t="s">
        <v>59</v>
      </c>
      <c r="E340" s="76"/>
      <c r="F340" s="2"/>
    </row>
    <row r="341" spans="1:6" ht="13.8">
      <c r="A341" s="31"/>
      <c r="B341" s="74" t="b">
        <v>0</v>
      </c>
      <c r="C341" s="73" t="s">
        <v>44</v>
      </c>
      <c r="D341" s="101" t="s">
        <v>59</v>
      </c>
      <c r="E341" s="76"/>
      <c r="F341" s="2"/>
    </row>
    <row r="342" spans="1:6" ht="13.8">
      <c r="A342" s="31"/>
      <c r="B342" s="74" t="b">
        <v>0</v>
      </c>
      <c r="C342" s="73" t="s">
        <v>59</v>
      </c>
      <c r="D342" s="75" t="s">
        <v>59</v>
      </c>
      <c r="E342" s="76"/>
      <c r="F342" s="2"/>
    </row>
    <row r="343" spans="1:6" ht="13.8">
      <c r="A343" s="31"/>
      <c r="B343" s="74" t="b">
        <v>0</v>
      </c>
      <c r="C343" s="73" t="s">
        <v>59</v>
      </c>
      <c r="D343" s="75" t="s">
        <v>59</v>
      </c>
      <c r="E343" s="76"/>
      <c r="F343" s="2"/>
    </row>
    <row r="344" spans="1:6" ht="13.8">
      <c r="A344" s="31"/>
      <c r="B344" s="74" t="b">
        <v>0</v>
      </c>
      <c r="C344" s="73" t="s">
        <v>59</v>
      </c>
      <c r="D344" s="75" t="s">
        <v>59</v>
      </c>
      <c r="E344" s="76"/>
      <c r="F344" s="2"/>
    </row>
    <row r="345" spans="1:6" ht="13.8">
      <c r="A345" s="31"/>
      <c r="B345" s="74" t="b">
        <v>0</v>
      </c>
      <c r="C345" s="73" t="s">
        <v>43</v>
      </c>
      <c r="D345" s="89" t="s">
        <v>59</v>
      </c>
      <c r="E345" s="76"/>
      <c r="F345" s="2"/>
    </row>
    <row r="346" spans="1:6" ht="13.8">
      <c r="A346" s="31"/>
      <c r="B346" s="74" t="b">
        <v>0</v>
      </c>
      <c r="C346" s="195" t="s">
        <v>59</v>
      </c>
      <c r="D346" s="196"/>
      <c r="E346" s="197"/>
      <c r="F346" s="2"/>
    </row>
    <row r="347" spans="1:6" ht="75" customHeight="1">
      <c r="A347" s="31"/>
      <c r="B347" s="74" t="b">
        <v>0</v>
      </c>
      <c r="C347" s="198" t="s">
        <v>59</v>
      </c>
      <c r="D347" s="199"/>
      <c r="E347" s="200"/>
      <c r="F347" s="2"/>
    </row>
    <row r="348" spans="1:6" ht="13.8">
      <c r="A348" s="31"/>
      <c r="B348" s="74" t="b">
        <v>0</v>
      </c>
      <c r="C348" s="77"/>
      <c r="D348" s="77"/>
      <c r="E348" s="77"/>
      <c r="F348" s="2"/>
    </row>
    <row r="349" spans="1:6" ht="13.8">
      <c r="A349" s="31">
        <v>24</v>
      </c>
      <c r="B349" s="74" t="b">
        <v>0</v>
      </c>
      <c r="C349" s="73" t="s">
        <v>94</v>
      </c>
      <c r="D349" s="75" t="s">
        <v>59</v>
      </c>
      <c r="E349" s="76"/>
      <c r="F349" s="2"/>
    </row>
    <row r="350" spans="1:6" ht="13.8">
      <c r="A350" s="31"/>
      <c r="B350" s="74" t="b">
        <v>0</v>
      </c>
      <c r="C350" s="73" t="s">
        <v>44</v>
      </c>
      <c r="D350" s="101" t="s">
        <v>59</v>
      </c>
      <c r="E350" s="76"/>
      <c r="F350" s="2"/>
    </row>
    <row r="351" spans="1:6" ht="13.8">
      <c r="A351" s="31"/>
      <c r="B351" s="74" t="b">
        <v>0</v>
      </c>
      <c r="C351" s="73" t="s">
        <v>59</v>
      </c>
      <c r="D351" s="75" t="s">
        <v>59</v>
      </c>
      <c r="E351" s="76"/>
      <c r="F351" s="2"/>
    </row>
    <row r="352" spans="1:6" ht="13.8">
      <c r="A352" s="31"/>
      <c r="B352" s="74" t="b">
        <v>0</v>
      </c>
      <c r="C352" s="73" t="s">
        <v>59</v>
      </c>
      <c r="D352" s="75" t="s">
        <v>59</v>
      </c>
      <c r="E352" s="76"/>
      <c r="F352" s="2"/>
    </row>
    <row r="353" spans="1:6" ht="13.8">
      <c r="A353" s="31"/>
      <c r="B353" s="74" t="b">
        <v>0</v>
      </c>
      <c r="C353" s="73" t="s">
        <v>59</v>
      </c>
      <c r="D353" s="75" t="s">
        <v>59</v>
      </c>
      <c r="E353" s="76"/>
      <c r="F353" s="2"/>
    </row>
    <row r="354" spans="1:6" ht="13.8">
      <c r="A354" s="31"/>
      <c r="B354" s="74" t="b">
        <v>0</v>
      </c>
      <c r="C354" s="73" t="s">
        <v>43</v>
      </c>
      <c r="D354" s="89" t="s">
        <v>59</v>
      </c>
      <c r="E354" s="76"/>
      <c r="F354" s="2"/>
    </row>
    <row r="355" spans="1:6" ht="13.8">
      <c r="A355" s="31"/>
      <c r="B355" s="74" t="b">
        <v>0</v>
      </c>
      <c r="C355" s="195" t="s">
        <v>59</v>
      </c>
      <c r="D355" s="196"/>
      <c r="E355" s="197"/>
      <c r="F355" s="2"/>
    </row>
    <row r="356" spans="1:6" ht="75" customHeight="1">
      <c r="A356" s="31"/>
      <c r="B356" s="74" t="b">
        <v>0</v>
      </c>
      <c r="C356" s="198" t="s">
        <v>59</v>
      </c>
      <c r="D356" s="199"/>
      <c r="E356" s="200"/>
      <c r="F356" s="2"/>
    </row>
    <row r="357" spans="1:6" ht="13.8">
      <c r="A357" s="31"/>
      <c r="B357" s="74" t="b">
        <v>0</v>
      </c>
      <c r="C357" s="77"/>
      <c r="D357" s="77"/>
      <c r="E357" s="77"/>
      <c r="F357" s="2"/>
    </row>
    <row r="358" spans="1:6" ht="13.8">
      <c r="A358" s="31">
        <v>25</v>
      </c>
      <c r="B358" s="74" t="b">
        <v>0</v>
      </c>
      <c r="C358" s="73" t="s">
        <v>94</v>
      </c>
      <c r="D358" s="75" t="s">
        <v>59</v>
      </c>
      <c r="E358" s="76"/>
      <c r="F358" s="2"/>
    </row>
    <row r="359" spans="1:6" ht="13.8">
      <c r="A359" s="31"/>
      <c r="B359" s="74" t="b">
        <v>0</v>
      </c>
      <c r="C359" s="73" t="s">
        <v>44</v>
      </c>
      <c r="D359" s="101" t="s">
        <v>59</v>
      </c>
      <c r="E359" s="76"/>
      <c r="F359" s="2"/>
    </row>
    <row r="360" spans="1:6" ht="13.8">
      <c r="A360" s="31"/>
      <c r="B360" s="74" t="b">
        <v>0</v>
      </c>
      <c r="C360" s="73" t="s">
        <v>59</v>
      </c>
      <c r="D360" s="75" t="s">
        <v>59</v>
      </c>
      <c r="E360" s="76"/>
      <c r="F360" s="2"/>
    </row>
    <row r="361" spans="1:6" ht="13.8">
      <c r="A361" s="31"/>
      <c r="B361" s="74" t="b">
        <v>0</v>
      </c>
      <c r="C361" s="73" t="s">
        <v>59</v>
      </c>
      <c r="D361" s="75" t="s">
        <v>59</v>
      </c>
      <c r="E361" s="76"/>
      <c r="F361" s="2"/>
    </row>
    <row r="362" spans="1:6" ht="13.8">
      <c r="A362" s="31"/>
      <c r="B362" s="74" t="b">
        <v>0</v>
      </c>
      <c r="C362" s="73" t="s">
        <v>59</v>
      </c>
      <c r="D362" s="75" t="s">
        <v>59</v>
      </c>
      <c r="E362" s="76"/>
      <c r="F362" s="2"/>
    </row>
    <row r="363" spans="1:6" ht="13.8">
      <c r="A363" s="31"/>
      <c r="B363" s="74" t="b">
        <v>0</v>
      </c>
      <c r="C363" s="73" t="s">
        <v>43</v>
      </c>
      <c r="D363" s="89" t="s">
        <v>59</v>
      </c>
      <c r="E363" s="76"/>
      <c r="F363" s="2"/>
    </row>
    <row r="364" spans="1:6" ht="13.8">
      <c r="A364" s="31"/>
      <c r="B364" s="74" t="b">
        <v>0</v>
      </c>
      <c r="C364" s="195" t="s">
        <v>59</v>
      </c>
      <c r="D364" s="196"/>
      <c r="E364" s="197"/>
      <c r="F364" s="2"/>
    </row>
    <row r="365" spans="1:6" ht="75" customHeight="1">
      <c r="A365" s="31"/>
      <c r="B365" s="74" t="b">
        <v>0</v>
      </c>
      <c r="C365" s="198" t="s">
        <v>59</v>
      </c>
      <c r="D365" s="199"/>
      <c r="E365" s="200"/>
      <c r="F365" s="2"/>
    </row>
    <row r="366" spans="1:6" ht="13.8">
      <c r="A366" s="31"/>
      <c r="B366" s="74" t="b">
        <v>0</v>
      </c>
      <c r="C366" s="77"/>
      <c r="D366" s="77"/>
      <c r="E366" s="77"/>
      <c r="F366" s="2"/>
    </row>
    <row r="367" spans="1:6" ht="13.8">
      <c r="A367" s="31">
        <v>26</v>
      </c>
      <c r="B367" s="74" t="b">
        <v>0</v>
      </c>
      <c r="C367" s="73" t="s">
        <v>94</v>
      </c>
      <c r="D367" s="75" t="s">
        <v>59</v>
      </c>
      <c r="E367" s="76"/>
      <c r="F367" s="2"/>
    </row>
    <row r="368" spans="1:6" ht="13.8">
      <c r="A368" s="31"/>
      <c r="B368" s="74" t="b">
        <v>0</v>
      </c>
      <c r="C368" s="73" t="s">
        <v>44</v>
      </c>
      <c r="D368" s="101" t="s">
        <v>59</v>
      </c>
      <c r="E368" s="76"/>
      <c r="F368" s="2"/>
    </row>
    <row r="369" spans="1:6" ht="13.8">
      <c r="A369" s="31"/>
      <c r="B369" s="74" t="b">
        <v>0</v>
      </c>
      <c r="C369" s="73" t="s">
        <v>59</v>
      </c>
      <c r="D369" s="75" t="s">
        <v>59</v>
      </c>
      <c r="E369" s="76"/>
      <c r="F369" s="2"/>
    </row>
    <row r="370" spans="1:6" ht="13.8">
      <c r="A370" s="31"/>
      <c r="B370" s="74" t="b">
        <v>0</v>
      </c>
      <c r="C370" s="73" t="s">
        <v>59</v>
      </c>
      <c r="D370" s="75" t="s">
        <v>59</v>
      </c>
      <c r="E370" s="76"/>
      <c r="F370" s="2"/>
    </row>
    <row r="371" spans="1:6" ht="13.8">
      <c r="A371" s="31"/>
      <c r="B371" s="74" t="b">
        <v>0</v>
      </c>
      <c r="C371" s="73" t="s">
        <v>59</v>
      </c>
      <c r="D371" s="75" t="s">
        <v>59</v>
      </c>
      <c r="E371" s="76"/>
      <c r="F371" s="2"/>
    </row>
    <row r="372" spans="1:6" ht="13.8">
      <c r="A372" s="31"/>
      <c r="B372" s="74" t="b">
        <v>0</v>
      </c>
      <c r="C372" s="73" t="s">
        <v>43</v>
      </c>
      <c r="D372" s="89" t="s">
        <v>59</v>
      </c>
      <c r="E372" s="76"/>
      <c r="F372" s="2"/>
    </row>
    <row r="373" spans="1:6" ht="13.8">
      <c r="A373" s="31"/>
      <c r="B373" s="74" t="b">
        <v>0</v>
      </c>
      <c r="C373" s="195" t="s">
        <v>59</v>
      </c>
      <c r="D373" s="196"/>
      <c r="E373" s="197"/>
      <c r="F373" s="2"/>
    </row>
    <row r="374" spans="1:6" ht="75" customHeight="1">
      <c r="A374" s="31"/>
      <c r="B374" s="74" t="b">
        <v>0</v>
      </c>
      <c r="C374" s="198" t="s">
        <v>59</v>
      </c>
      <c r="D374" s="199"/>
      <c r="E374" s="200"/>
      <c r="F374" s="2"/>
    </row>
    <row r="375" spans="1:6" ht="13.8">
      <c r="A375" s="31"/>
      <c r="B375" s="74" t="b">
        <v>0</v>
      </c>
      <c r="C375" s="77"/>
      <c r="D375" s="77"/>
      <c r="E375" s="77"/>
      <c r="F375" s="2"/>
    </row>
    <row r="376" spans="1:6" ht="13.8">
      <c r="A376" s="31">
        <v>27</v>
      </c>
      <c r="B376" s="74" t="b">
        <v>0</v>
      </c>
      <c r="C376" s="73" t="s">
        <v>94</v>
      </c>
      <c r="D376" s="75" t="s">
        <v>59</v>
      </c>
      <c r="E376" s="76"/>
      <c r="F376" s="2"/>
    </row>
    <row r="377" spans="1:6" ht="13.8">
      <c r="A377" s="31"/>
      <c r="B377" s="74" t="b">
        <v>0</v>
      </c>
      <c r="C377" s="73" t="s">
        <v>44</v>
      </c>
      <c r="D377" s="101" t="s">
        <v>59</v>
      </c>
      <c r="E377" s="76"/>
      <c r="F377" s="2"/>
    </row>
    <row r="378" spans="1:6" ht="13.8">
      <c r="A378" s="31"/>
      <c r="B378" s="74" t="b">
        <v>0</v>
      </c>
      <c r="C378" s="73" t="s">
        <v>59</v>
      </c>
      <c r="D378" s="75" t="s">
        <v>59</v>
      </c>
      <c r="E378" s="76"/>
      <c r="F378" s="2"/>
    </row>
    <row r="379" spans="1:6" ht="13.8">
      <c r="A379" s="31"/>
      <c r="B379" s="74" t="b">
        <v>0</v>
      </c>
      <c r="C379" s="73" t="s">
        <v>59</v>
      </c>
      <c r="D379" s="75" t="s">
        <v>59</v>
      </c>
      <c r="E379" s="76"/>
      <c r="F379" s="2"/>
    </row>
    <row r="380" spans="1:6" ht="13.8">
      <c r="A380" s="31"/>
      <c r="B380" s="74" t="b">
        <v>0</v>
      </c>
      <c r="C380" s="73" t="s">
        <v>59</v>
      </c>
      <c r="D380" s="75" t="s">
        <v>59</v>
      </c>
      <c r="E380" s="76"/>
      <c r="F380" s="2"/>
    </row>
    <row r="381" spans="1:6" ht="13.8">
      <c r="A381" s="31"/>
      <c r="B381" s="74" t="b">
        <v>0</v>
      </c>
      <c r="C381" s="73" t="s">
        <v>43</v>
      </c>
      <c r="D381" s="89" t="s">
        <v>59</v>
      </c>
      <c r="E381" s="76"/>
      <c r="F381" s="2"/>
    </row>
    <row r="382" spans="1:6" ht="13.8">
      <c r="A382" s="31"/>
      <c r="B382" s="74" t="b">
        <v>0</v>
      </c>
      <c r="C382" s="195" t="s">
        <v>59</v>
      </c>
      <c r="D382" s="196"/>
      <c r="E382" s="197"/>
      <c r="F382" s="2"/>
    </row>
    <row r="383" spans="1:6" ht="75" customHeight="1">
      <c r="A383" s="31"/>
      <c r="B383" s="74" t="b">
        <v>0</v>
      </c>
      <c r="C383" s="198" t="s">
        <v>59</v>
      </c>
      <c r="D383" s="199"/>
      <c r="E383" s="200"/>
      <c r="F383" s="2"/>
    </row>
    <row r="384" spans="1:6" ht="13.8">
      <c r="A384" s="31"/>
      <c r="B384" s="74" t="b">
        <v>0</v>
      </c>
      <c r="C384" s="77"/>
      <c r="D384" s="77"/>
      <c r="E384" s="77"/>
      <c r="F384" s="2"/>
    </row>
    <row r="385" spans="1:6" ht="13.8">
      <c r="A385" s="31">
        <v>28</v>
      </c>
      <c r="B385" s="74" t="b">
        <v>0</v>
      </c>
      <c r="C385" s="73" t="s">
        <v>94</v>
      </c>
      <c r="D385" s="75" t="s">
        <v>59</v>
      </c>
      <c r="E385" s="76"/>
      <c r="F385" s="2"/>
    </row>
    <row r="386" spans="1:6" ht="13.8">
      <c r="A386" s="31"/>
      <c r="B386" s="74" t="b">
        <v>0</v>
      </c>
      <c r="C386" s="73" t="s">
        <v>44</v>
      </c>
      <c r="D386" s="101" t="s">
        <v>59</v>
      </c>
      <c r="E386" s="76"/>
      <c r="F386" s="2"/>
    </row>
    <row r="387" spans="1:6" ht="13.8">
      <c r="A387" s="31"/>
      <c r="B387" s="74" t="b">
        <v>0</v>
      </c>
      <c r="C387" s="73" t="s">
        <v>59</v>
      </c>
      <c r="D387" s="75" t="s">
        <v>59</v>
      </c>
      <c r="E387" s="76"/>
      <c r="F387" s="2"/>
    </row>
    <row r="388" spans="1:6" ht="13.8">
      <c r="A388" s="31"/>
      <c r="B388" s="74" t="b">
        <v>0</v>
      </c>
      <c r="C388" s="73" t="s">
        <v>59</v>
      </c>
      <c r="D388" s="75" t="s">
        <v>59</v>
      </c>
      <c r="E388" s="76"/>
      <c r="F388" s="2"/>
    </row>
    <row r="389" spans="1:6" ht="13.8">
      <c r="A389" s="31"/>
      <c r="B389" s="74" t="b">
        <v>0</v>
      </c>
      <c r="C389" s="73" t="s">
        <v>59</v>
      </c>
      <c r="D389" s="75" t="s">
        <v>59</v>
      </c>
      <c r="E389" s="76"/>
      <c r="F389" s="2"/>
    </row>
    <row r="390" spans="1:6" ht="13.8">
      <c r="A390" s="31"/>
      <c r="B390" s="74" t="b">
        <v>0</v>
      </c>
      <c r="C390" s="73" t="s">
        <v>43</v>
      </c>
      <c r="D390" s="89" t="s">
        <v>59</v>
      </c>
      <c r="E390" s="76"/>
      <c r="F390" s="2"/>
    </row>
    <row r="391" spans="1:6" ht="13.8">
      <c r="A391" s="31"/>
      <c r="B391" s="74" t="b">
        <v>0</v>
      </c>
      <c r="C391" s="195" t="s">
        <v>59</v>
      </c>
      <c r="D391" s="196"/>
      <c r="E391" s="197"/>
      <c r="F391" s="2"/>
    </row>
    <row r="392" spans="1:6" ht="75" customHeight="1">
      <c r="A392" s="31"/>
      <c r="B392" s="74" t="b">
        <v>0</v>
      </c>
      <c r="C392" s="198" t="s">
        <v>59</v>
      </c>
      <c r="D392" s="199"/>
      <c r="E392" s="200"/>
      <c r="F392" s="2"/>
    </row>
    <row r="393" spans="1:6" ht="13.8">
      <c r="A393" s="31"/>
      <c r="B393" s="74" t="b">
        <v>0</v>
      </c>
      <c r="C393" s="77"/>
      <c r="D393" s="77"/>
      <c r="E393" s="77"/>
      <c r="F393" s="2"/>
    </row>
    <row r="394" spans="1:6" ht="13.8">
      <c r="A394" s="31">
        <v>29</v>
      </c>
      <c r="B394" s="74" t="b">
        <v>0</v>
      </c>
      <c r="C394" s="73" t="s">
        <v>94</v>
      </c>
      <c r="D394" s="75" t="s">
        <v>59</v>
      </c>
      <c r="E394" s="76"/>
      <c r="F394" s="2"/>
    </row>
    <row r="395" spans="1:6" ht="13.8">
      <c r="A395" s="31"/>
      <c r="B395" s="74" t="b">
        <v>0</v>
      </c>
      <c r="C395" s="73" t="s">
        <v>44</v>
      </c>
      <c r="D395" s="101" t="s">
        <v>59</v>
      </c>
      <c r="E395" s="76"/>
      <c r="F395" s="2"/>
    </row>
    <row r="396" spans="1:6" ht="13.8">
      <c r="A396" s="31"/>
      <c r="B396" s="74" t="b">
        <v>0</v>
      </c>
      <c r="C396" s="73" t="s">
        <v>59</v>
      </c>
      <c r="D396" s="75" t="s">
        <v>59</v>
      </c>
      <c r="E396" s="76"/>
      <c r="F396" s="2"/>
    </row>
    <row r="397" spans="1:6" ht="13.8">
      <c r="A397" s="31"/>
      <c r="B397" s="74" t="b">
        <v>0</v>
      </c>
      <c r="C397" s="73" t="s">
        <v>59</v>
      </c>
      <c r="D397" s="75" t="s">
        <v>59</v>
      </c>
      <c r="E397" s="76"/>
      <c r="F397" s="2"/>
    </row>
    <row r="398" spans="1:6" ht="13.8">
      <c r="A398" s="31"/>
      <c r="B398" s="74" t="b">
        <v>0</v>
      </c>
      <c r="C398" s="73" t="s">
        <v>59</v>
      </c>
      <c r="D398" s="75" t="s">
        <v>59</v>
      </c>
      <c r="E398" s="76"/>
      <c r="F398" s="2"/>
    </row>
    <row r="399" spans="1:6" ht="13.8">
      <c r="A399" s="31"/>
      <c r="B399" s="74" t="b">
        <v>0</v>
      </c>
      <c r="C399" s="73" t="s">
        <v>43</v>
      </c>
      <c r="D399" s="89" t="s">
        <v>59</v>
      </c>
      <c r="E399" s="76"/>
      <c r="F399" s="2"/>
    </row>
    <row r="400" spans="1:6" ht="13.8">
      <c r="A400" s="31"/>
      <c r="B400" s="74" t="b">
        <v>0</v>
      </c>
      <c r="C400" s="195" t="s">
        <v>59</v>
      </c>
      <c r="D400" s="196"/>
      <c r="E400" s="197"/>
      <c r="F400" s="2"/>
    </row>
    <row r="401" spans="1:6" ht="75" customHeight="1">
      <c r="A401" s="31"/>
      <c r="B401" s="74" t="b">
        <v>0</v>
      </c>
      <c r="C401" s="198" t="s">
        <v>59</v>
      </c>
      <c r="D401" s="199"/>
      <c r="E401" s="200"/>
      <c r="F401" s="2"/>
    </row>
    <row r="402" spans="1:6" ht="13.8">
      <c r="A402" s="31"/>
      <c r="B402" s="74" t="b">
        <v>0</v>
      </c>
      <c r="C402" s="77"/>
      <c r="D402" s="77"/>
      <c r="E402" s="77"/>
      <c r="F402" s="2"/>
    </row>
    <row r="403" spans="1:6" ht="13.8">
      <c r="A403" s="31">
        <v>30</v>
      </c>
      <c r="B403" s="74" t="b">
        <v>0</v>
      </c>
      <c r="C403" s="73" t="s">
        <v>94</v>
      </c>
      <c r="D403" s="75" t="s">
        <v>59</v>
      </c>
      <c r="E403" s="76"/>
      <c r="F403" s="2"/>
    </row>
    <row r="404" spans="1:6" ht="13.8">
      <c r="A404" s="31"/>
      <c r="B404" s="74" t="b">
        <v>0</v>
      </c>
      <c r="C404" s="73" t="s">
        <v>44</v>
      </c>
      <c r="D404" s="101" t="s">
        <v>59</v>
      </c>
      <c r="E404" s="76"/>
      <c r="F404" s="2"/>
    </row>
    <row r="405" spans="1:6" ht="13.8">
      <c r="A405" s="31"/>
      <c r="B405" s="74" t="b">
        <v>0</v>
      </c>
      <c r="C405" s="73" t="s">
        <v>59</v>
      </c>
      <c r="D405" s="75" t="s">
        <v>59</v>
      </c>
      <c r="E405" s="76"/>
      <c r="F405" s="2"/>
    </row>
    <row r="406" spans="1:6" ht="13.8">
      <c r="A406" s="31"/>
      <c r="B406" s="74" t="b">
        <v>0</v>
      </c>
      <c r="C406" s="73" t="s">
        <v>59</v>
      </c>
      <c r="D406" s="75" t="s">
        <v>59</v>
      </c>
      <c r="E406" s="76"/>
      <c r="F406" s="2"/>
    </row>
    <row r="407" spans="1:6" ht="13.8">
      <c r="A407" s="31"/>
      <c r="B407" s="74" t="b">
        <v>0</v>
      </c>
      <c r="C407" s="73" t="s">
        <v>59</v>
      </c>
      <c r="D407" s="75" t="s">
        <v>59</v>
      </c>
      <c r="E407" s="76"/>
      <c r="F407" s="2"/>
    </row>
    <row r="408" spans="1:6" ht="13.8">
      <c r="A408" s="31"/>
      <c r="B408" s="74" t="b">
        <v>0</v>
      </c>
      <c r="C408" s="73" t="s">
        <v>43</v>
      </c>
      <c r="D408" s="89" t="s">
        <v>59</v>
      </c>
      <c r="E408" s="76"/>
      <c r="F408" s="2"/>
    </row>
    <row r="409" spans="1:6" ht="13.8">
      <c r="A409" s="31"/>
      <c r="B409" s="74" t="b">
        <v>0</v>
      </c>
      <c r="C409" s="195" t="s">
        <v>59</v>
      </c>
      <c r="D409" s="196"/>
      <c r="E409" s="197"/>
      <c r="F409" s="2"/>
    </row>
    <row r="410" spans="1:6" ht="75" customHeight="1">
      <c r="A410" s="31"/>
      <c r="B410" s="74" t="b">
        <v>0</v>
      </c>
      <c r="C410" s="198" t="s">
        <v>59</v>
      </c>
      <c r="D410" s="199"/>
      <c r="E410" s="200"/>
      <c r="F410" s="2"/>
    </row>
    <row r="411" spans="1:6" ht="13.8">
      <c r="A411" s="31"/>
      <c r="B411" s="74" t="b">
        <v>0</v>
      </c>
      <c r="C411" s="77"/>
      <c r="D411" s="77"/>
      <c r="E411" s="77"/>
      <c r="F411" s="2"/>
    </row>
    <row r="412" spans="1:6" ht="13.8">
      <c r="A412" s="31">
        <v>31</v>
      </c>
      <c r="B412" s="74" t="b">
        <v>0</v>
      </c>
      <c r="C412" s="73" t="s">
        <v>94</v>
      </c>
      <c r="D412" s="75" t="s">
        <v>59</v>
      </c>
      <c r="E412" s="76"/>
      <c r="F412" s="2"/>
    </row>
    <row r="413" spans="1:6" ht="13.8">
      <c r="A413" s="31"/>
      <c r="B413" s="74" t="b">
        <v>0</v>
      </c>
      <c r="C413" s="73" t="s">
        <v>44</v>
      </c>
      <c r="D413" s="101" t="s">
        <v>59</v>
      </c>
      <c r="E413" s="76"/>
      <c r="F413" s="2"/>
    </row>
    <row r="414" spans="1:6" ht="13.8">
      <c r="A414" s="31"/>
      <c r="B414" s="74" t="b">
        <v>0</v>
      </c>
      <c r="C414" s="73" t="s">
        <v>59</v>
      </c>
      <c r="D414" s="75" t="s">
        <v>59</v>
      </c>
      <c r="E414" s="76"/>
      <c r="F414" s="2"/>
    </row>
    <row r="415" spans="1:6" ht="13.8">
      <c r="A415" s="31"/>
      <c r="B415" s="74" t="b">
        <v>0</v>
      </c>
      <c r="C415" s="73" t="s">
        <v>59</v>
      </c>
      <c r="D415" s="75" t="s">
        <v>59</v>
      </c>
      <c r="E415" s="76"/>
      <c r="F415" s="2"/>
    </row>
    <row r="416" spans="1:6" ht="13.8">
      <c r="A416" s="31"/>
      <c r="B416" s="74" t="b">
        <v>0</v>
      </c>
      <c r="C416" s="73" t="s">
        <v>59</v>
      </c>
      <c r="D416" s="75" t="s">
        <v>59</v>
      </c>
      <c r="E416" s="76"/>
      <c r="F416" s="2"/>
    </row>
    <row r="417" spans="1:6" ht="13.8">
      <c r="A417" s="31"/>
      <c r="B417" s="74" t="b">
        <v>0</v>
      </c>
      <c r="C417" s="73" t="s">
        <v>43</v>
      </c>
      <c r="D417" s="89" t="s">
        <v>59</v>
      </c>
      <c r="E417" s="76"/>
      <c r="F417" s="2"/>
    </row>
    <row r="418" spans="1:6" ht="13.8">
      <c r="A418" s="31"/>
      <c r="B418" s="74" t="b">
        <v>0</v>
      </c>
      <c r="C418" s="195" t="s">
        <v>59</v>
      </c>
      <c r="D418" s="196"/>
      <c r="E418" s="197"/>
      <c r="F418" s="2"/>
    </row>
    <row r="419" spans="1:6" ht="75" customHeight="1">
      <c r="A419" s="31"/>
      <c r="B419" s="74" t="b">
        <v>0</v>
      </c>
      <c r="C419" s="198" t="s">
        <v>59</v>
      </c>
      <c r="D419" s="199"/>
      <c r="E419" s="200"/>
      <c r="F419" s="2"/>
    </row>
    <row r="420" spans="1:6" ht="13.8">
      <c r="A420" s="31"/>
      <c r="B420" s="74" t="b">
        <v>0</v>
      </c>
      <c r="C420" s="77"/>
      <c r="D420" s="77"/>
      <c r="E420" s="77"/>
      <c r="F420" s="2"/>
    </row>
    <row r="421" spans="1:6" ht="13.8">
      <c r="A421" s="31">
        <v>32</v>
      </c>
      <c r="B421" s="74" t="b">
        <v>0</v>
      </c>
      <c r="C421" s="73" t="s">
        <v>94</v>
      </c>
      <c r="D421" s="75" t="s">
        <v>59</v>
      </c>
      <c r="E421" s="76"/>
      <c r="F421" s="2"/>
    </row>
    <row r="422" spans="1:6" ht="13.8">
      <c r="A422" s="31"/>
      <c r="B422" s="74" t="b">
        <v>0</v>
      </c>
      <c r="C422" s="73" t="s">
        <v>44</v>
      </c>
      <c r="D422" s="101" t="s">
        <v>59</v>
      </c>
      <c r="E422" s="76"/>
      <c r="F422" s="2"/>
    </row>
    <row r="423" spans="1:6" ht="13.8">
      <c r="A423" s="31"/>
      <c r="B423" s="74" t="b">
        <v>0</v>
      </c>
      <c r="C423" s="73" t="s">
        <v>59</v>
      </c>
      <c r="D423" s="75" t="s">
        <v>59</v>
      </c>
      <c r="E423" s="76"/>
      <c r="F423" s="2"/>
    </row>
    <row r="424" spans="1:6" ht="13.8">
      <c r="A424" s="31"/>
      <c r="B424" s="74" t="b">
        <v>0</v>
      </c>
      <c r="C424" s="73" t="s">
        <v>59</v>
      </c>
      <c r="D424" s="75" t="s">
        <v>59</v>
      </c>
      <c r="E424" s="76"/>
      <c r="F424" s="2"/>
    </row>
    <row r="425" spans="1:6" ht="13.8">
      <c r="A425" s="31"/>
      <c r="B425" s="74" t="b">
        <v>0</v>
      </c>
      <c r="C425" s="73" t="s">
        <v>59</v>
      </c>
      <c r="D425" s="75" t="s">
        <v>59</v>
      </c>
      <c r="E425" s="76"/>
      <c r="F425" s="2"/>
    </row>
    <row r="426" spans="1:6" ht="13.8">
      <c r="A426" s="31"/>
      <c r="B426" s="74" t="b">
        <v>0</v>
      </c>
      <c r="C426" s="73" t="s">
        <v>43</v>
      </c>
      <c r="D426" s="89" t="s">
        <v>59</v>
      </c>
      <c r="E426" s="76"/>
      <c r="F426" s="2"/>
    </row>
    <row r="427" spans="1:6" ht="13.8">
      <c r="A427" s="31"/>
      <c r="B427" s="74" t="b">
        <v>0</v>
      </c>
      <c r="C427" s="195" t="s">
        <v>59</v>
      </c>
      <c r="D427" s="196"/>
      <c r="E427" s="197"/>
      <c r="F427" s="2"/>
    </row>
    <row r="428" spans="1:6" ht="75" customHeight="1">
      <c r="A428" s="31"/>
      <c r="B428" s="74" t="b">
        <v>0</v>
      </c>
      <c r="C428" s="198" t="s">
        <v>59</v>
      </c>
      <c r="D428" s="199"/>
      <c r="E428" s="200"/>
      <c r="F428" s="2"/>
    </row>
    <row r="429" spans="1:6" ht="13.8">
      <c r="A429" s="31"/>
      <c r="B429" s="74" t="b">
        <v>0</v>
      </c>
      <c r="C429" s="77"/>
      <c r="D429" s="77"/>
      <c r="E429" s="77"/>
      <c r="F429" s="2"/>
    </row>
    <row r="430" spans="1:6" ht="13.8">
      <c r="A430" s="31">
        <v>33</v>
      </c>
      <c r="B430" s="74" t="b">
        <v>0</v>
      </c>
      <c r="C430" s="73" t="s">
        <v>94</v>
      </c>
      <c r="D430" s="75" t="s">
        <v>59</v>
      </c>
      <c r="E430" s="76"/>
      <c r="F430" s="2"/>
    </row>
    <row r="431" spans="1:6" ht="13.8">
      <c r="A431" s="31"/>
      <c r="B431" s="74" t="b">
        <v>0</v>
      </c>
      <c r="C431" s="73" t="s">
        <v>44</v>
      </c>
      <c r="D431" s="101" t="s">
        <v>59</v>
      </c>
      <c r="E431" s="76"/>
      <c r="F431" s="2"/>
    </row>
    <row r="432" spans="1:6" ht="13.8">
      <c r="A432" s="31"/>
      <c r="B432" s="74" t="b">
        <v>0</v>
      </c>
      <c r="C432" s="73" t="s">
        <v>59</v>
      </c>
      <c r="D432" s="75" t="s">
        <v>59</v>
      </c>
      <c r="E432" s="76"/>
      <c r="F432" s="2"/>
    </row>
    <row r="433" spans="1:6" ht="13.8">
      <c r="A433" s="31"/>
      <c r="B433" s="74" t="b">
        <v>0</v>
      </c>
      <c r="C433" s="73" t="s">
        <v>59</v>
      </c>
      <c r="D433" s="75" t="s">
        <v>59</v>
      </c>
      <c r="E433" s="76"/>
      <c r="F433" s="2"/>
    </row>
    <row r="434" spans="1:6" ht="13.8">
      <c r="A434" s="31"/>
      <c r="B434" s="74" t="b">
        <v>0</v>
      </c>
      <c r="C434" s="73" t="s">
        <v>59</v>
      </c>
      <c r="D434" s="75" t="s">
        <v>59</v>
      </c>
      <c r="E434" s="76"/>
      <c r="F434" s="2"/>
    </row>
    <row r="435" spans="1:6" ht="13.8">
      <c r="A435" s="31"/>
      <c r="B435" s="74" t="b">
        <v>0</v>
      </c>
      <c r="C435" s="73" t="s">
        <v>43</v>
      </c>
      <c r="D435" s="89" t="s">
        <v>59</v>
      </c>
      <c r="E435" s="76"/>
      <c r="F435" s="2"/>
    </row>
    <row r="436" spans="1:6" ht="13.8">
      <c r="A436" s="31"/>
      <c r="B436" s="74" t="b">
        <v>0</v>
      </c>
      <c r="C436" s="195" t="s">
        <v>59</v>
      </c>
      <c r="D436" s="196"/>
      <c r="E436" s="197"/>
      <c r="F436" s="2"/>
    </row>
    <row r="437" spans="1:6" ht="75" customHeight="1">
      <c r="A437" s="31"/>
      <c r="B437" s="74" t="b">
        <v>0</v>
      </c>
      <c r="C437" s="198" t="s">
        <v>59</v>
      </c>
      <c r="D437" s="199"/>
      <c r="E437" s="200"/>
      <c r="F437" s="2"/>
    </row>
    <row r="438" spans="1:6" ht="13.8">
      <c r="A438" s="31"/>
      <c r="B438" s="74" t="b">
        <v>0</v>
      </c>
      <c r="C438" s="77"/>
      <c r="D438" s="77"/>
      <c r="E438" s="77"/>
      <c r="F438" s="2"/>
    </row>
    <row r="439" spans="1:6" ht="13.8">
      <c r="A439" s="31">
        <v>34</v>
      </c>
      <c r="B439" s="74" t="b">
        <v>0</v>
      </c>
      <c r="C439" s="73" t="s">
        <v>94</v>
      </c>
      <c r="D439" s="75" t="s">
        <v>59</v>
      </c>
      <c r="E439" s="76"/>
      <c r="F439" s="2"/>
    </row>
    <row r="440" spans="1:6" ht="13.8">
      <c r="A440" s="31"/>
      <c r="B440" s="74" t="b">
        <v>0</v>
      </c>
      <c r="C440" s="73" t="s">
        <v>44</v>
      </c>
      <c r="D440" s="101" t="s">
        <v>59</v>
      </c>
      <c r="E440" s="76"/>
      <c r="F440" s="2"/>
    </row>
    <row r="441" spans="1:6" ht="13.8">
      <c r="A441" s="31"/>
      <c r="B441" s="74" t="b">
        <v>0</v>
      </c>
      <c r="C441" s="73" t="s">
        <v>59</v>
      </c>
      <c r="D441" s="75" t="s">
        <v>59</v>
      </c>
      <c r="E441" s="76"/>
      <c r="F441" s="2"/>
    </row>
    <row r="442" spans="1:6" ht="13.8">
      <c r="A442" s="31"/>
      <c r="B442" s="74" t="b">
        <v>0</v>
      </c>
      <c r="C442" s="73" t="s">
        <v>59</v>
      </c>
      <c r="D442" s="75" t="s">
        <v>59</v>
      </c>
      <c r="E442" s="76"/>
      <c r="F442" s="2"/>
    </row>
    <row r="443" spans="1:6" ht="13.8">
      <c r="A443" s="31"/>
      <c r="B443" s="74" t="b">
        <v>0</v>
      </c>
      <c r="C443" s="73" t="s">
        <v>59</v>
      </c>
      <c r="D443" s="75" t="s">
        <v>59</v>
      </c>
      <c r="E443" s="76"/>
      <c r="F443" s="2"/>
    </row>
    <row r="444" spans="1:6" ht="13.8">
      <c r="A444" s="31"/>
      <c r="B444" s="74" t="b">
        <v>0</v>
      </c>
      <c r="C444" s="73" t="s">
        <v>43</v>
      </c>
      <c r="D444" s="89" t="s">
        <v>59</v>
      </c>
      <c r="E444" s="76"/>
      <c r="F444" s="2"/>
    </row>
    <row r="445" spans="1:6" ht="13.8">
      <c r="A445" s="31"/>
      <c r="B445" s="74" t="b">
        <v>0</v>
      </c>
      <c r="C445" s="195" t="s">
        <v>59</v>
      </c>
      <c r="D445" s="196"/>
      <c r="E445" s="197"/>
      <c r="F445" s="2"/>
    </row>
    <row r="446" spans="1:6" ht="75" customHeight="1">
      <c r="A446" s="31"/>
      <c r="B446" s="74" t="b">
        <v>0</v>
      </c>
      <c r="C446" s="198" t="s">
        <v>59</v>
      </c>
      <c r="D446" s="199"/>
      <c r="E446" s="200"/>
      <c r="F446" s="2"/>
    </row>
    <row r="447" spans="1:6" ht="13.8">
      <c r="A447" s="31"/>
      <c r="B447" s="74" t="b">
        <v>0</v>
      </c>
      <c r="C447" s="77"/>
      <c r="D447" s="77"/>
      <c r="E447" s="77"/>
      <c r="F447" s="2"/>
    </row>
    <row r="448" spans="1:6" ht="13.8">
      <c r="A448" s="31">
        <v>35</v>
      </c>
      <c r="B448" s="74" t="b">
        <v>0</v>
      </c>
      <c r="C448" s="73" t="s">
        <v>94</v>
      </c>
      <c r="D448" s="75" t="s">
        <v>59</v>
      </c>
      <c r="E448" s="76"/>
      <c r="F448" s="2"/>
    </row>
    <row r="449" spans="1:6" ht="13.8">
      <c r="A449" s="31"/>
      <c r="B449" s="74" t="b">
        <v>0</v>
      </c>
      <c r="C449" s="73" t="s">
        <v>44</v>
      </c>
      <c r="D449" s="101" t="s">
        <v>59</v>
      </c>
      <c r="E449" s="76"/>
      <c r="F449" s="2"/>
    </row>
    <row r="450" spans="1:6" ht="13.8">
      <c r="A450" s="31"/>
      <c r="B450" s="74" t="b">
        <v>0</v>
      </c>
      <c r="C450" s="73" t="s">
        <v>59</v>
      </c>
      <c r="D450" s="75" t="s">
        <v>59</v>
      </c>
      <c r="E450" s="76"/>
      <c r="F450" s="2"/>
    </row>
    <row r="451" spans="1:6" ht="13.8">
      <c r="A451" s="31"/>
      <c r="B451" s="74" t="b">
        <v>0</v>
      </c>
      <c r="C451" s="73" t="s">
        <v>59</v>
      </c>
      <c r="D451" s="75" t="s">
        <v>59</v>
      </c>
      <c r="E451" s="76"/>
      <c r="F451" s="2"/>
    </row>
    <row r="452" spans="1:6" ht="13.8">
      <c r="A452" s="31"/>
      <c r="B452" s="74" t="b">
        <v>0</v>
      </c>
      <c r="C452" s="73" t="s">
        <v>59</v>
      </c>
      <c r="D452" s="75" t="s">
        <v>59</v>
      </c>
      <c r="E452" s="76"/>
      <c r="F452" s="2"/>
    </row>
    <row r="453" spans="1:6" ht="13.8">
      <c r="A453" s="31"/>
      <c r="B453" s="74" t="b">
        <v>0</v>
      </c>
      <c r="C453" s="73" t="s">
        <v>43</v>
      </c>
      <c r="D453" s="89" t="s">
        <v>59</v>
      </c>
      <c r="E453" s="76"/>
      <c r="F453" s="2"/>
    </row>
    <row r="454" spans="1:6" ht="13.8">
      <c r="A454" s="31"/>
      <c r="B454" s="74" t="b">
        <v>0</v>
      </c>
      <c r="C454" s="195" t="s">
        <v>59</v>
      </c>
      <c r="D454" s="196"/>
      <c r="E454" s="197"/>
      <c r="F454" s="2"/>
    </row>
    <row r="455" spans="1:6" ht="75" customHeight="1">
      <c r="A455" s="31"/>
      <c r="B455" s="74" t="b">
        <v>0</v>
      </c>
      <c r="C455" s="198" t="s">
        <v>59</v>
      </c>
      <c r="D455" s="199"/>
      <c r="E455" s="200"/>
      <c r="F455" s="2"/>
    </row>
    <row r="456" spans="1:6" ht="13.8">
      <c r="A456" s="31"/>
      <c r="B456" s="74" t="b">
        <v>0</v>
      </c>
      <c r="C456" s="77"/>
      <c r="D456" s="77"/>
      <c r="E456" s="77"/>
      <c r="F456" s="2"/>
    </row>
    <row r="457" spans="1:6" ht="13.8">
      <c r="A457" s="31">
        <v>36</v>
      </c>
      <c r="B457" s="74" t="b">
        <v>0</v>
      </c>
      <c r="C457" s="73" t="s">
        <v>94</v>
      </c>
      <c r="D457" s="75" t="s">
        <v>59</v>
      </c>
      <c r="E457" s="76"/>
      <c r="F457" s="2"/>
    </row>
    <row r="458" spans="1:6" ht="13.8">
      <c r="A458" s="31"/>
      <c r="B458" s="74" t="b">
        <v>0</v>
      </c>
      <c r="C458" s="73" t="s">
        <v>44</v>
      </c>
      <c r="D458" s="101" t="s">
        <v>59</v>
      </c>
      <c r="E458" s="76"/>
      <c r="F458" s="2"/>
    </row>
    <row r="459" spans="1:6" ht="13.8">
      <c r="A459" s="31"/>
      <c r="B459" s="74" t="b">
        <v>0</v>
      </c>
      <c r="C459" s="73" t="s">
        <v>59</v>
      </c>
      <c r="D459" s="75" t="s">
        <v>59</v>
      </c>
      <c r="E459" s="76"/>
      <c r="F459" s="2"/>
    </row>
    <row r="460" spans="1:6" ht="13.8">
      <c r="A460" s="31"/>
      <c r="B460" s="74" t="b">
        <v>0</v>
      </c>
      <c r="C460" s="73" t="s">
        <v>59</v>
      </c>
      <c r="D460" s="75" t="s">
        <v>59</v>
      </c>
      <c r="E460" s="76"/>
      <c r="F460" s="2"/>
    </row>
    <row r="461" spans="1:6" ht="13.8">
      <c r="A461" s="31"/>
      <c r="B461" s="74" t="b">
        <v>0</v>
      </c>
      <c r="C461" s="73" t="s">
        <v>59</v>
      </c>
      <c r="D461" s="75" t="s">
        <v>59</v>
      </c>
      <c r="E461" s="76"/>
      <c r="F461" s="2"/>
    </row>
    <row r="462" spans="1:6" ht="13.8">
      <c r="A462" s="31"/>
      <c r="B462" s="74" t="b">
        <v>0</v>
      </c>
      <c r="C462" s="73" t="s">
        <v>43</v>
      </c>
      <c r="D462" s="89" t="s">
        <v>59</v>
      </c>
      <c r="E462" s="76"/>
      <c r="F462" s="2"/>
    </row>
    <row r="463" spans="1:6" ht="13.8">
      <c r="A463" s="31"/>
      <c r="B463" s="74" t="b">
        <v>0</v>
      </c>
      <c r="C463" s="195" t="s">
        <v>59</v>
      </c>
      <c r="D463" s="196"/>
      <c r="E463" s="197"/>
      <c r="F463" s="2"/>
    </row>
    <row r="464" spans="1:6" ht="75" customHeight="1">
      <c r="A464" s="31"/>
      <c r="B464" s="74" t="b">
        <v>0</v>
      </c>
      <c r="C464" s="198" t="s">
        <v>59</v>
      </c>
      <c r="D464" s="199"/>
      <c r="E464" s="200"/>
      <c r="F464" s="2"/>
    </row>
    <row r="465" spans="1:6" ht="13.8">
      <c r="A465" s="31"/>
      <c r="B465" s="74" t="b">
        <v>0</v>
      </c>
      <c r="C465" s="77"/>
      <c r="D465" s="77"/>
      <c r="E465" s="77"/>
      <c r="F465" s="2"/>
    </row>
    <row r="466" spans="1:6" ht="13.8">
      <c r="A466" s="31">
        <v>37</v>
      </c>
      <c r="B466" s="74" t="b">
        <v>0</v>
      </c>
      <c r="C466" s="73" t="s">
        <v>94</v>
      </c>
      <c r="D466" s="75" t="s">
        <v>59</v>
      </c>
      <c r="E466" s="76"/>
      <c r="F466" s="2"/>
    </row>
    <row r="467" spans="1:6" ht="13.8">
      <c r="A467" s="31"/>
      <c r="B467" s="74" t="b">
        <v>0</v>
      </c>
      <c r="C467" s="73" t="s">
        <v>44</v>
      </c>
      <c r="D467" s="101" t="s">
        <v>59</v>
      </c>
      <c r="E467" s="76"/>
      <c r="F467" s="2"/>
    </row>
    <row r="468" spans="1:6" ht="13.8">
      <c r="A468" s="31"/>
      <c r="B468" s="74" t="b">
        <v>0</v>
      </c>
      <c r="C468" s="73" t="s">
        <v>59</v>
      </c>
      <c r="D468" s="75" t="s">
        <v>59</v>
      </c>
      <c r="E468" s="76"/>
      <c r="F468" s="2"/>
    </row>
    <row r="469" spans="1:6" ht="13.8">
      <c r="A469" s="31"/>
      <c r="B469" s="74" t="b">
        <v>0</v>
      </c>
      <c r="C469" s="73" t="s">
        <v>59</v>
      </c>
      <c r="D469" s="75" t="s">
        <v>59</v>
      </c>
      <c r="E469" s="76"/>
      <c r="F469" s="2"/>
    </row>
    <row r="470" spans="1:6" ht="13.8">
      <c r="A470" s="31"/>
      <c r="B470" s="74" t="b">
        <v>0</v>
      </c>
      <c r="C470" s="73" t="s">
        <v>59</v>
      </c>
      <c r="D470" s="75" t="s">
        <v>59</v>
      </c>
      <c r="E470" s="76"/>
      <c r="F470" s="2"/>
    </row>
    <row r="471" spans="1:6" ht="13.8">
      <c r="A471" s="31"/>
      <c r="B471" s="74" t="b">
        <v>0</v>
      </c>
      <c r="C471" s="73" t="s">
        <v>43</v>
      </c>
      <c r="D471" s="89" t="s">
        <v>59</v>
      </c>
      <c r="E471" s="76"/>
      <c r="F471" s="2"/>
    </row>
    <row r="472" spans="1:6" ht="13.8">
      <c r="A472" s="31"/>
      <c r="B472" s="74" t="b">
        <v>0</v>
      </c>
      <c r="C472" s="195" t="s">
        <v>59</v>
      </c>
      <c r="D472" s="196"/>
      <c r="E472" s="197"/>
      <c r="F472" s="2"/>
    </row>
    <row r="473" spans="1:6" ht="75" customHeight="1">
      <c r="A473" s="31"/>
      <c r="B473" s="74" t="b">
        <v>0</v>
      </c>
      <c r="C473" s="198" t="s">
        <v>59</v>
      </c>
      <c r="D473" s="199"/>
      <c r="E473" s="200"/>
      <c r="F473" s="2"/>
    </row>
    <row r="474" spans="1:6" ht="13.8">
      <c r="A474" s="31"/>
      <c r="B474" s="74" t="b">
        <v>0</v>
      </c>
      <c r="C474" s="77"/>
      <c r="D474" s="77"/>
      <c r="E474" s="77"/>
      <c r="F474" s="2"/>
    </row>
    <row r="475" spans="1:6" ht="13.8">
      <c r="A475" s="31">
        <v>38</v>
      </c>
      <c r="B475" s="74" t="b">
        <v>0</v>
      </c>
      <c r="C475" s="73" t="s">
        <v>94</v>
      </c>
      <c r="D475" s="75" t="s">
        <v>59</v>
      </c>
      <c r="E475" s="76"/>
      <c r="F475" s="2"/>
    </row>
    <row r="476" spans="1:6" ht="13.8">
      <c r="A476" s="31"/>
      <c r="B476" s="74" t="b">
        <v>0</v>
      </c>
      <c r="C476" s="73" t="s">
        <v>44</v>
      </c>
      <c r="D476" s="101" t="s">
        <v>59</v>
      </c>
      <c r="E476" s="76"/>
      <c r="F476" s="2"/>
    </row>
    <row r="477" spans="1:6" ht="13.8">
      <c r="A477" s="31"/>
      <c r="B477" s="74" t="b">
        <v>0</v>
      </c>
      <c r="C477" s="73" t="s">
        <v>59</v>
      </c>
      <c r="D477" s="75" t="s">
        <v>59</v>
      </c>
      <c r="E477" s="76"/>
      <c r="F477" s="2"/>
    </row>
    <row r="478" spans="1:6" ht="13.8">
      <c r="A478" s="31"/>
      <c r="B478" s="74" t="b">
        <v>0</v>
      </c>
      <c r="C478" s="73" t="s">
        <v>59</v>
      </c>
      <c r="D478" s="75" t="s">
        <v>59</v>
      </c>
      <c r="E478" s="76"/>
      <c r="F478" s="2"/>
    </row>
    <row r="479" spans="1:6" ht="13.8">
      <c r="A479" s="31"/>
      <c r="B479" s="74" t="b">
        <v>0</v>
      </c>
      <c r="C479" s="73" t="s">
        <v>59</v>
      </c>
      <c r="D479" s="75" t="s">
        <v>59</v>
      </c>
      <c r="E479" s="76"/>
      <c r="F479" s="2"/>
    </row>
    <row r="480" spans="1:6" ht="13.8">
      <c r="A480" s="31"/>
      <c r="B480" s="74" t="b">
        <v>0</v>
      </c>
      <c r="C480" s="73" t="s">
        <v>43</v>
      </c>
      <c r="D480" s="89" t="s">
        <v>59</v>
      </c>
      <c r="E480" s="76"/>
      <c r="F480" s="2"/>
    </row>
    <row r="481" spans="1:6" ht="13.8">
      <c r="A481" s="31"/>
      <c r="B481" s="74" t="b">
        <v>0</v>
      </c>
      <c r="C481" s="195" t="s">
        <v>59</v>
      </c>
      <c r="D481" s="196"/>
      <c r="E481" s="197"/>
      <c r="F481" s="2"/>
    </row>
    <row r="482" spans="1:6" ht="75" customHeight="1">
      <c r="A482" s="31"/>
      <c r="B482" s="74" t="b">
        <v>0</v>
      </c>
      <c r="C482" s="198" t="s">
        <v>59</v>
      </c>
      <c r="D482" s="199"/>
      <c r="E482" s="200"/>
      <c r="F482" s="2"/>
    </row>
    <row r="483" spans="1:6" ht="13.8">
      <c r="A483" s="31"/>
      <c r="B483" s="74" t="b">
        <v>0</v>
      </c>
      <c r="C483" s="77"/>
      <c r="D483" s="77"/>
      <c r="E483" s="77"/>
      <c r="F483" s="2"/>
    </row>
    <row r="484" spans="1:6" ht="13.8">
      <c r="A484" s="31">
        <v>39</v>
      </c>
      <c r="B484" s="74" t="b">
        <v>0</v>
      </c>
      <c r="C484" s="73" t="s">
        <v>94</v>
      </c>
      <c r="D484" s="75" t="s">
        <v>59</v>
      </c>
      <c r="E484" s="76"/>
      <c r="F484" s="2"/>
    </row>
    <row r="485" spans="1:6" ht="13.8">
      <c r="A485" s="31"/>
      <c r="B485" s="74" t="b">
        <v>0</v>
      </c>
      <c r="C485" s="73" t="s">
        <v>44</v>
      </c>
      <c r="D485" s="101" t="s">
        <v>59</v>
      </c>
      <c r="E485" s="76"/>
      <c r="F485" s="2"/>
    </row>
    <row r="486" spans="1:6" ht="13.8">
      <c r="A486" s="31"/>
      <c r="B486" s="74" t="b">
        <v>0</v>
      </c>
      <c r="C486" s="73" t="s">
        <v>59</v>
      </c>
      <c r="D486" s="75" t="s">
        <v>59</v>
      </c>
      <c r="E486" s="76"/>
      <c r="F486" s="2"/>
    </row>
    <row r="487" spans="1:6" ht="13.8">
      <c r="A487" s="31"/>
      <c r="B487" s="74" t="b">
        <v>0</v>
      </c>
      <c r="C487" s="73" t="s">
        <v>59</v>
      </c>
      <c r="D487" s="75" t="s">
        <v>59</v>
      </c>
      <c r="E487" s="76"/>
      <c r="F487" s="2"/>
    </row>
    <row r="488" spans="1:6" ht="13.8">
      <c r="A488" s="31"/>
      <c r="B488" s="74" t="b">
        <v>0</v>
      </c>
      <c r="C488" s="73" t="s">
        <v>59</v>
      </c>
      <c r="D488" s="75" t="s">
        <v>59</v>
      </c>
      <c r="E488" s="76"/>
      <c r="F488" s="2"/>
    </row>
    <row r="489" spans="1:6" ht="13.8">
      <c r="A489" s="31"/>
      <c r="B489" s="74" t="b">
        <v>0</v>
      </c>
      <c r="C489" s="73" t="s">
        <v>43</v>
      </c>
      <c r="D489" s="89" t="s">
        <v>59</v>
      </c>
      <c r="E489" s="76"/>
      <c r="F489" s="2"/>
    </row>
    <row r="490" spans="1:6" ht="13.8">
      <c r="A490" s="31"/>
      <c r="B490" s="74" t="b">
        <v>0</v>
      </c>
      <c r="C490" s="195" t="s">
        <v>59</v>
      </c>
      <c r="D490" s="196"/>
      <c r="E490" s="197"/>
      <c r="F490" s="2"/>
    </row>
    <row r="491" spans="1:6" ht="75" customHeight="1">
      <c r="A491" s="31"/>
      <c r="B491" s="74" t="b">
        <v>0</v>
      </c>
      <c r="C491" s="198" t="s">
        <v>59</v>
      </c>
      <c r="D491" s="199"/>
      <c r="E491" s="200"/>
      <c r="F491" s="2"/>
    </row>
    <row r="492" spans="1:6" ht="13.8">
      <c r="A492" s="31"/>
      <c r="B492" s="74" t="b">
        <v>0</v>
      </c>
      <c r="C492" s="77"/>
      <c r="D492" s="77"/>
      <c r="E492" s="77"/>
      <c r="F492" s="2"/>
    </row>
    <row r="493" spans="1:6" ht="13.8">
      <c r="A493" s="31">
        <v>40</v>
      </c>
      <c r="B493" s="74" t="b">
        <v>0</v>
      </c>
      <c r="C493" s="73" t="s">
        <v>94</v>
      </c>
      <c r="D493" s="75" t="s">
        <v>59</v>
      </c>
      <c r="E493" s="76"/>
      <c r="F493" s="2"/>
    </row>
    <row r="494" spans="1:6" ht="13.8">
      <c r="A494" s="31"/>
      <c r="B494" s="74" t="b">
        <v>0</v>
      </c>
      <c r="C494" s="73" t="s">
        <v>44</v>
      </c>
      <c r="D494" s="101" t="s">
        <v>59</v>
      </c>
      <c r="E494" s="76"/>
      <c r="F494" s="2"/>
    </row>
    <row r="495" spans="1:6" ht="13.8">
      <c r="A495" s="31"/>
      <c r="B495" s="74" t="b">
        <v>0</v>
      </c>
      <c r="C495" s="73" t="s">
        <v>59</v>
      </c>
      <c r="D495" s="75" t="s">
        <v>59</v>
      </c>
      <c r="E495" s="76"/>
      <c r="F495" s="2"/>
    </row>
    <row r="496" spans="1:6" ht="13.8">
      <c r="A496" s="31"/>
      <c r="B496" s="74" t="b">
        <v>0</v>
      </c>
      <c r="C496" s="73" t="s">
        <v>59</v>
      </c>
      <c r="D496" s="75" t="s">
        <v>59</v>
      </c>
      <c r="E496" s="76"/>
      <c r="F496" s="2"/>
    </row>
    <row r="497" spans="1:6" ht="13.8">
      <c r="A497" s="31"/>
      <c r="B497" s="74" t="b">
        <v>0</v>
      </c>
      <c r="C497" s="73" t="s">
        <v>59</v>
      </c>
      <c r="D497" s="75" t="s">
        <v>59</v>
      </c>
      <c r="E497" s="76"/>
      <c r="F497" s="2"/>
    </row>
    <row r="498" spans="1:6" ht="13.8">
      <c r="A498" s="31"/>
      <c r="B498" s="74" t="b">
        <v>0</v>
      </c>
      <c r="C498" s="73" t="s">
        <v>43</v>
      </c>
      <c r="D498" s="89" t="s">
        <v>59</v>
      </c>
      <c r="E498" s="76"/>
      <c r="F498" s="2"/>
    </row>
    <row r="499" spans="1:6" ht="13.8">
      <c r="A499" s="31"/>
      <c r="B499" s="74" t="b">
        <v>0</v>
      </c>
      <c r="C499" s="195" t="s">
        <v>59</v>
      </c>
      <c r="D499" s="196"/>
      <c r="E499" s="197"/>
      <c r="F499" s="2"/>
    </row>
    <row r="500" spans="1:6" ht="75" customHeight="1">
      <c r="A500" s="31"/>
      <c r="B500" s="74" t="b">
        <v>0</v>
      </c>
      <c r="C500" s="198" t="s">
        <v>59</v>
      </c>
      <c r="D500" s="199"/>
      <c r="E500" s="200"/>
      <c r="F500" s="2"/>
    </row>
    <row r="501" spans="1:6" ht="13.8">
      <c r="A501" s="31"/>
      <c r="B501" s="74" t="b">
        <v>0</v>
      </c>
      <c r="C501" s="77"/>
      <c r="D501" s="77"/>
      <c r="E501" s="77"/>
      <c r="F501" s="2"/>
    </row>
    <row r="502" spans="1:6" ht="13.8">
      <c r="A502" s="31">
        <v>41</v>
      </c>
      <c r="B502" s="74" t="b">
        <v>0</v>
      </c>
      <c r="C502" s="73" t="s">
        <v>94</v>
      </c>
      <c r="D502" s="75" t="s">
        <v>59</v>
      </c>
      <c r="E502" s="76"/>
      <c r="F502" s="2"/>
    </row>
    <row r="503" spans="1:6" ht="13.8">
      <c r="A503" s="31"/>
      <c r="B503" s="74" t="b">
        <v>0</v>
      </c>
      <c r="C503" s="73" t="s">
        <v>44</v>
      </c>
      <c r="D503" s="101" t="s">
        <v>59</v>
      </c>
      <c r="E503" s="76"/>
      <c r="F503" s="2"/>
    </row>
    <row r="504" spans="1:6" ht="13.8">
      <c r="A504" s="31"/>
      <c r="B504" s="74" t="b">
        <v>0</v>
      </c>
      <c r="C504" s="73" t="s">
        <v>59</v>
      </c>
      <c r="D504" s="75" t="s">
        <v>59</v>
      </c>
      <c r="E504" s="76"/>
      <c r="F504" s="2"/>
    </row>
    <row r="505" spans="1:6" ht="13.8">
      <c r="A505" s="31"/>
      <c r="B505" s="74" t="b">
        <v>0</v>
      </c>
      <c r="C505" s="73" t="s">
        <v>59</v>
      </c>
      <c r="D505" s="75" t="s">
        <v>59</v>
      </c>
      <c r="E505" s="76"/>
      <c r="F505" s="2"/>
    </row>
    <row r="506" spans="1:6" ht="13.8">
      <c r="A506" s="31"/>
      <c r="B506" s="74" t="b">
        <v>0</v>
      </c>
      <c r="C506" s="73" t="s">
        <v>59</v>
      </c>
      <c r="D506" s="75" t="s">
        <v>59</v>
      </c>
      <c r="E506" s="76"/>
      <c r="F506" s="2"/>
    </row>
    <row r="507" spans="1:6" ht="13.8">
      <c r="A507" s="31"/>
      <c r="B507" s="74" t="b">
        <v>0</v>
      </c>
      <c r="C507" s="73" t="s">
        <v>43</v>
      </c>
      <c r="D507" s="89" t="s">
        <v>59</v>
      </c>
      <c r="E507" s="76"/>
      <c r="F507" s="2"/>
    </row>
    <row r="508" spans="1:6" ht="13.8">
      <c r="A508" s="31"/>
      <c r="B508" s="74" t="b">
        <v>0</v>
      </c>
      <c r="C508" s="195" t="s">
        <v>59</v>
      </c>
      <c r="D508" s="196"/>
      <c r="E508" s="197"/>
      <c r="F508" s="2"/>
    </row>
    <row r="509" spans="1:6" ht="75" customHeight="1">
      <c r="A509" s="31"/>
      <c r="B509" s="74" t="b">
        <v>0</v>
      </c>
      <c r="C509" s="198" t="s">
        <v>59</v>
      </c>
      <c r="D509" s="199"/>
      <c r="E509" s="200"/>
      <c r="F509" s="2"/>
    </row>
    <row r="510" spans="1:6" ht="13.8">
      <c r="A510" s="31"/>
      <c r="B510" s="74" t="b">
        <v>0</v>
      </c>
      <c r="C510" s="77"/>
      <c r="D510" s="77"/>
      <c r="E510" s="77"/>
      <c r="F510" s="2"/>
    </row>
    <row r="511" spans="1:6" ht="13.8">
      <c r="A511" s="31">
        <v>42</v>
      </c>
      <c r="B511" s="74" t="b">
        <v>0</v>
      </c>
      <c r="C511" s="73" t="s">
        <v>94</v>
      </c>
      <c r="D511" s="75" t="s">
        <v>59</v>
      </c>
      <c r="E511" s="76"/>
      <c r="F511" s="2"/>
    </row>
    <row r="512" spans="1:6" ht="13.8">
      <c r="A512" s="31"/>
      <c r="B512" s="74" t="b">
        <v>0</v>
      </c>
      <c r="C512" s="73" t="s">
        <v>44</v>
      </c>
      <c r="D512" s="101" t="s">
        <v>59</v>
      </c>
      <c r="E512" s="76"/>
      <c r="F512" s="2"/>
    </row>
    <row r="513" spans="1:6" ht="13.8">
      <c r="A513" s="31"/>
      <c r="B513" s="74" t="b">
        <v>0</v>
      </c>
      <c r="C513" s="73" t="s">
        <v>59</v>
      </c>
      <c r="D513" s="75" t="s">
        <v>59</v>
      </c>
      <c r="E513" s="76"/>
      <c r="F513" s="2"/>
    </row>
    <row r="514" spans="1:6" ht="13.8">
      <c r="A514" s="31"/>
      <c r="B514" s="74" t="b">
        <v>0</v>
      </c>
      <c r="C514" s="73" t="s">
        <v>59</v>
      </c>
      <c r="D514" s="75" t="s">
        <v>59</v>
      </c>
      <c r="E514" s="76"/>
      <c r="F514" s="2"/>
    </row>
    <row r="515" spans="1:6" ht="13.8">
      <c r="A515" s="31"/>
      <c r="B515" s="74" t="b">
        <v>0</v>
      </c>
      <c r="C515" s="73" t="s">
        <v>59</v>
      </c>
      <c r="D515" s="75" t="s">
        <v>59</v>
      </c>
      <c r="E515" s="76"/>
      <c r="F515" s="2"/>
    </row>
    <row r="516" spans="1:6" ht="13.8">
      <c r="A516" s="31"/>
      <c r="B516" s="74" t="b">
        <v>0</v>
      </c>
      <c r="C516" s="73" t="s">
        <v>43</v>
      </c>
      <c r="D516" s="89" t="s">
        <v>59</v>
      </c>
      <c r="E516" s="76"/>
      <c r="F516" s="2"/>
    </row>
    <row r="517" spans="1:6" ht="13.8">
      <c r="A517" s="31"/>
      <c r="B517" s="74" t="b">
        <v>0</v>
      </c>
      <c r="C517" s="195" t="s">
        <v>59</v>
      </c>
      <c r="D517" s="196"/>
      <c r="E517" s="197"/>
      <c r="F517" s="2"/>
    </row>
    <row r="518" spans="1:6" ht="75" customHeight="1">
      <c r="A518" s="31"/>
      <c r="B518" s="74" t="b">
        <v>0</v>
      </c>
      <c r="C518" s="198" t="s">
        <v>59</v>
      </c>
      <c r="D518" s="199"/>
      <c r="E518" s="200"/>
      <c r="F518" s="2"/>
    </row>
    <row r="519" spans="1:6" ht="13.8">
      <c r="A519" s="31"/>
      <c r="B519" s="74" t="b">
        <v>0</v>
      </c>
      <c r="C519" s="77"/>
      <c r="D519" s="77"/>
      <c r="E519" s="77"/>
      <c r="F519" s="2"/>
    </row>
    <row r="520" spans="1:6" ht="13.8">
      <c r="A520" s="31">
        <v>43</v>
      </c>
      <c r="B520" s="74" t="b">
        <v>0</v>
      </c>
      <c r="C520" s="73" t="s">
        <v>94</v>
      </c>
      <c r="D520" s="75" t="s">
        <v>59</v>
      </c>
      <c r="E520" s="76"/>
      <c r="F520" s="2"/>
    </row>
    <row r="521" spans="1:6" ht="13.8">
      <c r="A521" s="31"/>
      <c r="B521" s="74" t="b">
        <v>0</v>
      </c>
      <c r="C521" s="73" t="s">
        <v>44</v>
      </c>
      <c r="D521" s="101" t="s">
        <v>59</v>
      </c>
      <c r="E521" s="76"/>
      <c r="F521" s="2"/>
    </row>
    <row r="522" spans="1:6" ht="13.8">
      <c r="A522" s="31"/>
      <c r="B522" s="74" t="b">
        <v>0</v>
      </c>
      <c r="C522" s="73" t="s">
        <v>59</v>
      </c>
      <c r="D522" s="75" t="s">
        <v>59</v>
      </c>
      <c r="E522" s="76"/>
      <c r="F522" s="2"/>
    </row>
    <row r="523" spans="1:6" ht="13.8">
      <c r="A523" s="31"/>
      <c r="B523" s="74" t="b">
        <v>0</v>
      </c>
      <c r="C523" s="73" t="s">
        <v>59</v>
      </c>
      <c r="D523" s="75" t="s">
        <v>59</v>
      </c>
      <c r="E523" s="76"/>
      <c r="F523" s="2"/>
    </row>
    <row r="524" spans="1:6" ht="13.8">
      <c r="A524" s="31"/>
      <c r="B524" s="74" t="b">
        <v>0</v>
      </c>
      <c r="C524" s="73" t="s">
        <v>59</v>
      </c>
      <c r="D524" s="75" t="s">
        <v>59</v>
      </c>
      <c r="E524" s="76"/>
      <c r="F524" s="2"/>
    </row>
    <row r="525" spans="1:6" ht="13.8">
      <c r="A525" s="31"/>
      <c r="B525" s="74" t="b">
        <v>0</v>
      </c>
      <c r="C525" s="73" t="s">
        <v>43</v>
      </c>
      <c r="D525" s="89" t="s">
        <v>59</v>
      </c>
      <c r="E525" s="76"/>
      <c r="F525" s="2"/>
    </row>
    <row r="526" spans="1:6" ht="13.8">
      <c r="A526" s="31"/>
      <c r="B526" s="74" t="b">
        <v>0</v>
      </c>
      <c r="C526" s="195" t="s">
        <v>59</v>
      </c>
      <c r="D526" s="196"/>
      <c r="E526" s="197"/>
      <c r="F526" s="2"/>
    </row>
    <row r="527" spans="1:6" ht="75" customHeight="1">
      <c r="A527" s="31"/>
      <c r="B527" s="74" t="b">
        <v>0</v>
      </c>
      <c r="C527" s="198" t="s">
        <v>59</v>
      </c>
      <c r="D527" s="199"/>
      <c r="E527" s="200"/>
      <c r="F527" s="2"/>
    </row>
    <row r="528" spans="1:6" ht="13.8">
      <c r="A528" s="31"/>
      <c r="B528" s="74" t="b">
        <v>0</v>
      </c>
      <c r="C528" s="77"/>
      <c r="D528" s="77"/>
      <c r="E528" s="77"/>
      <c r="F528" s="2"/>
    </row>
    <row r="529" spans="1:6" ht="13.8">
      <c r="A529" s="31">
        <v>44</v>
      </c>
      <c r="B529" s="74" t="b">
        <v>0</v>
      </c>
      <c r="C529" s="73" t="s">
        <v>94</v>
      </c>
      <c r="D529" s="75" t="s">
        <v>59</v>
      </c>
      <c r="E529" s="76"/>
      <c r="F529" s="2"/>
    </row>
    <row r="530" spans="1:6" ht="13.8">
      <c r="A530" s="31"/>
      <c r="B530" s="74" t="b">
        <v>0</v>
      </c>
      <c r="C530" s="73" t="s">
        <v>44</v>
      </c>
      <c r="D530" s="101" t="s">
        <v>59</v>
      </c>
      <c r="E530" s="76"/>
      <c r="F530" s="2"/>
    </row>
    <row r="531" spans="1:6" ht="13.8">
      <c r="A531" s="31"/>
      <c r="B531" s="74" t="b">
        <v>0</v>
      </c>
      <c r="C531" s="73" t="s">
        <v>59</v>
      </c>
      <c r="D531" s="75" t="s">
        <v>59</v>
      </c>
      <c r="E531" s="76"/>
      <c r="F531" s="2"/>
    </row>
    <row r="532" spans="1:6" ht="13.8">
      <c r="A532" s="31"/>
      <c r="B532" s="74" t="b">
        <v>0</v>
      </c>
      <c r="C532" s="73" t="s">
        <v>59</v>
      </c>
      <c r="D532" s="75" t="s">
        <v>59</v>
      </c>
      <c r="E532" s="76"/>
      <c r="F532" s="2"/>
    </row>
    <row r="533" spans="1:6" ht="13.8">
      <c r="A533" s="31"/>
      <c r="B533" s="74" t="b">
        <v>0</v>
      </c>
      <c r="C533" s="73" t="s">
        <v>59</v>
      </c>
      <c r="D533" s="75" t="s">
        <v>59</v>
      </c>
      <c r="E533" s="76"/>
      <c r="F533" s="2"/>
    </row>
    <row r="534" spans="1:6" ht="13.8">
      <c r="A534" s="31"/>
      <c r="B534" s="74" t="b">
        <v>0</v>
      </c>
      <c r="C534" s="73" t="s">
        <v>43</v>
      </c>
      <c r="D534" s="89" t="s">
        <v>59</v>
      </c>
      <c r="E534" s="76"/>
      <c r="F534" s="2"/>
    </row>
    <row r="535" spans="1:6" ht="13.8">
      <c r="A535" s="31"/>
      <c r="B535" s="74" t="b">
        <v>0</v>
      </c>
      <c r="C535" s="195" t="s">
        <v>59</v>
      </c>
      <c r="D535" s="196"/>
      <c r="E535" s="197"/>
      <c r="F535" s="2"/>
    </row>
    <row r="536" spans="1:6" ht="75" customHeight="1">
      <c r="A536" s="31"/>
      <c r="B536" s="74" t="b">
        <v>0</v>
      </c>
      <c r="C536" s="198" t="s">
        <v>59</v>
      </c>
      <c r="D536" s="199"/>
      <c r="E536" s="200"/>
      <c r="F536" s="2"/>
    </row>
    <row r="537" spans="1:6" ht="13.8">
      <c r="A537" s="31"/>
      <c r="B537" s="74" t="b">
        <v>0</v>
      </c>
      <c r="C537" s="77"/>
      <c r="D537" s="77"/>
      <c r="E537" s="77"/>
      <c r="F537" s="2"/>
    </row>
    <row r="538" spans="1:6" ht="13.8">
      <c r="A538" s="31">
        <v>45</v>
      </c>
      <c r="B538" s="74" t="b">
        <v>0</v>
      </c>
      <c r="C538" s="73" t="s">
        <v>94</v>
      </c>
      <c r="D538" s="75" t="s">
        <v>59</v>
      </c>
      <c r="E538" s="76"/>
      <c r="F538" s="2"/>
    </row>
    <row r="539" spans="1:6" ht="13.8">
      <c r="A539" s="31"/>
      <c r="B539" s="74" t="b">
        <v>0</v>
      </c>
      <c r="C539" s="73" t="s">
        <v>44</v>
      </c>
      <c r="D539" s="101" t="s">
        <v>59</v>
      </c>
      <c r="E539" s="76"/>
      <c r="F539" s="2"/>
    </row>
    <row r="540" spans="1:6" ht="13.8">
      <c r="A540" s="31"/>
      <c r="B540" s="74" t="b">
        <v>0</v>
      </c>
      <c r="C540" s="73" t="s">
        <v>59</v>
      </c>
      <c r="D540" s="75" t="s">
        <v>59</v>
      </c>
      <c r="E540" s="76"/>
      <c r="F540" s="2"/>
    </row>
    <row r="541" spans="1:6" ht="13.8">
      <c r="A541" s="31"/>
      <c r="B541" s="74" t="b">
        <v>0</v>
      </c>
      <c r="C541" s="73" t="s">
        <v>59</v>
      </c>
      <c r="D541" s="75" t="s">
        <v>59</v>
      </c>
      <c r="E541" s="76"/>
      <c r="F541" s="2"/>
    </row>
    <row r="542" spans="1:6" ht="13.8">
      <c r="A542" s="31"/>
      <c r="B542" s="74" t="b">
        <v>0</v>
      </c>
      <c r="C542" s="73" t="s">
        <v>59</v>
      </c>
      <c r="D542" s="75" t="s">
        <v>59</v>
      </c>
      <c r="E542" s="76"/>
      <c r="F542" s="2"/>
    </row>
    <row r="543" spans="1:6" ht="13.8">
      <c r="A543" s="31"/>
      <c r="B543" s="74" t="b">
        <v>0</v>
      </c>
      <c r="C543" s="73" t="s">
        <v>43</v>
      </c>
      <c r="D543" s="89" t="s">
        <v>59</v>
      </c>
      <c r="E543" s="76"/>
      <c r="F543" s="2"/>
    </row>
    <row r="544" spans="1:6" ht="13.8">
      <c r="A544" s="31"/>
      <c r="B544" s="74" t="b">
        <v>0</v>
      </c>
      <c r="C544" s="195" t="s">
        <v>59</v>
      </c>
      <c r="D544" s="196"/>
      <c r="E544" s="197"/>
      <c r="F544" s="2"/>
    </row>
    <row r="545" spans="1:6" ht="75" customHeight="1">
      <c r="A545" s="31"/>
      <c r="B545" s="74" t="b">
        <v>0</v>
      </c>
      <c r="C545" s="198" t="s">
        <v>59</v>
      </c>
      <c r="D545" s="199"/>
      <c r="E545" s="200"/>
      <c r="F545" s="2"/>
    </row>
    <row r="546" spans="1:6" ht="13.8">
      <c r="A546" s="31"/>
      <c r="B546" s="74" t="b">
        <v>0</v>
      </c>
      <c r="C546" s="77"/>
      <c r="D546" s="77"/>
      <c r="E546" s="77"/>
      <c r="F546" s="2"/>
    </row>
    <row r="547" spans="1:6" ht="13.8">
      <c r="A547" s="31">
        <v>46</v>
      </c>
      <c r="B547" s="74" t="b">
        <v>0</v>
      </c>
      <c r="C547" s="73" t="s">
        <v>94</v>
      </c>
      <c r="D547" s="75" t="s">
        <v>59</v>
      </c>
      <c r="E547" s="76"/>
      <c r="F547" s="2"/>
    </row>
    <row r="548" spans="1:6" ht="13.8">
      <c r="A548" s="31"/>
      <c r="B548" s="74" t="b">
        <v>0</v>
      </c>
      <c r="C548" s="73" t="s">
        <v>44</v>
      </c>
      <c r="D548" s="101" t="s">
        <v>59</v>
      </c>
      <c r="E548" s="76"/>
      <c r="F548" s="2"/>
    </row>
    <row r="549" spans="1:6" ht="13.8">
      <c r="A549" s="31"/>
      <c r="B549" s="74" t="b">
        <v>0</v>
      </c>
      <c r="C549" s="73" t="s">
        <v>59</v>
      </c>
      <c r="D549" s="75" t="s">
        <v>59</v>
      </c>
      <c r="E549" s="76"/>
      <c r="F549" s="2"/>
    </row>
    <row r="550" spans="1:6" ht="13.8">
      <c r="A550" s="31"/>
      <c r="B550" s="74" t="b">
        <v>0</v>
      </c>
      <c r="C550" s="73" t="s">
        <v>59</v>
      </c>
      <c r="D550" s="75" t="s">
        <v>59</v>
      </c>
      <c r="E550" s="76"/>
      <c r="F550" s="2"/>
    </row>
    <row r="551" spans="1:6" ht="13.8">
      <c r="A551" s="31"/>
      <c r="B551" s="74" t="b">
        <v>0</v>
      </c>
      <c r="C551" s="73" t="s">
        <v>59</v>
      </c>
      <c r="D551" s="75" t="s">
        <v>59</v>
      </c>
      <c r="E551" s="76"/>
      <c r="F551" s="2"/>
    </row>
    <row r="552" spans="1:6" ht="13.8">
      <c r="A552" s="31"/>
      <c r="B552" s="74" t="b">
        <v>0</v>
      </c>
      <c r="C552" s="73" t="s">
        <v>43</v>
      </c>
      <c r="D552" s="89" t="s">
        <v>59</v>
      </c>
      <c r="E552" s="76"/>
      <c r="F552" s="2"/>
    </row>
    <row r="553" spans="1:6" ht="13.8">
      <c r="A553" s="31"/>
      <c r="B553" s="74" t="b">
        <v>0</v>
      </c>
      <c r="C553" s="195" t="s">
        <v>59</v>
      </c>
      <c r="D553" s="196"/>
      <c r="E553" s="197"/>
      <c r="F553" s="2"/>
    </row>
    <row r="554" spans="1:6" ht="75" customHeight="1">
      <c r="A554" s="31"/>
      <c r="B554" s="74" t="b">
        <v>0</v>
      </c>
      <c r="C554" s="198" t="s">
        <v>59</v>
      </c>
      <c r="D554" s="199"/>
      <c r="E554" s="200"/>
      <c r="F554" s="2"/>
    </row>
    <row r="555" spans="1:6" ht="13.8">
      <c r="A555" s="31"/>
      <c r="B555" s="74" t="b">
        <v>0</v>
      </c>
      <c r="C555" s="77"/>
      <c r="D555" s="77"/>
      <c r="E555" s="77"/>
      <c r="F555" s="2"/>
    </row>
    <row r="556" spans="1:6" ht="13.8">
      <c r="A556" s="31">
        <v>47</v>
      </c>
      <c r="B556" s="74" t="b">
        <v>0</v>
      </c>
      <c r="C556" s="73" t="s">
        <v>94</v>
      </c>
      <c r="D556" s="75" t="s">
        <v>59</v>
      </c>
      <c r="E556" s="76"/>
      <c r="F556" s="2"/>
    </row>
    <row r="557" spans="1:6" ht="13.8">
      <c r="A557" s="31"/>
      <c r="B557" s="74" t="b">
        <v>0</v>
      </c>
      <c r="C557" s="73" t="s">
        <v>44</v>
      </c>
      <c r="D557" s="101" t="s">
        <v>59</v>
      </c>
      <c r="E557" s="76"/>
      <c r="F557" s="2"/>
    </row>
    <row r="558" spans="1:6" ht="13.8">
      <c r="A558" s="31"/>
      <c r="B558" s="74" t="b">
        <v>0</v>
      </c>
      <c r="C558" s="73" t="s">
        <v>59</v>
      </c>
      <c r="D558" s="75" t="s">
        <v>59</v>
      </c>
      <c r="E558" s="76"/>
      <c r="F558" s="2"/>
    </row>
    <row r="559" spans="1:6" ht="13.8">
      <c r="A559" s="31"/>
      <c r="B559" s="74" t="b">
        <v>0</v>
      </c>
      <c r="C559" s="73" t="s">
        <v>59</v>
      </c>
      <c r="D559" s="75" t="s">
        <v>59</v>
      </c>
      <c r="E559" s="76"/>
      <c r="F559" s="2"/>
    </row>
    <row r="560" spans="1:6" ht="13.8">
      <c r="A560" s="31"/>
      <c r="B560" s="74" t="b">
        <v>0</v>
      </c>
      <c r="C560" s="73" t="s">
        <v>59</v>
      </c>
      <c r="D560" s="75" t="s">
        <v>59</v>
      </c>
      <c r="E560" s="76"/>
      <c r="F560" s="2"/>
    </row>
    <row r="561" spans="1:6" ht="13.8">
      <c r="A561" s="31"/>
      <c r="B561" s="74" t="b">
        <v>0</v>
      </c>
      <c r="C561" s="73" t="s">
        <v>43</v>
      </c>
      <c r="D561" s="89" t="s">
        <v>59</v>
      </c>
      <c r="E561" s="76"/>
      <c r="F561" s="2"/>
    </row>
    <row r="562" spans="1:6" ht="13.8">
      <c r="A562" s="31"/>
      <c r="B562" s="74" t="b">
        <v>0</v>
      </c>
      <c r="C562" s="195" t="s">
        <v>59</v>
      </c>
      <c r="D562" s="196"/>
      <c r="E562" s="197"/>
      <c r="F562" s="2"/>
    </row>
    <row r="563" spans="1:6" ht="75" customHeight="1">
      <c r="A563" s="31"/>
      <c r="B563" s="74" t="b">
        <v>0</v>
      </c>
      <c r="C563" s="198" t="s">
        <v>59</v>
      </c>
      <c r="D563" s="199"/>
      <c r="E563" s="200"/>
      <c r="F563" s="2"/>
    </row>
    <row r="564" spans="1:6" ht="13.8">
      <c r="A564" s="31"/>
      <c r="B564" s="74" t="b">
        <v>0</v>
      </c>
      <c r="C564" s="77"/>
      <c r="D564" s="77"/>
      <c r="E564" s="77"/>
      <c r="F564" s="2"/>
    </row>
    <row r="565" spans="1:6" ht="13.8">
      <c r="A565" s="31">
        <v>48</v>
      </c>
      <c r="B565" s="74" t="b">
        <v>0</v>
      </c>
      <c r="C565" s="73" t="s">
        <v>94</v>
      </c>
      <c r="D565" s="75" t="s">
        <v>59</v>
      </c>
      <c r="E565" s="76"/>
      <c r="F565" s="2"/>
    </row>
    <row r="566" spans="1:6" ht="13.8">
      <c r="A566" s="31"/>
      <c r="B566" s="74" t="b">
        <v>0</v>
      </c>
      <c r="C566" s="73" t="s">
        <v>44</v>
      </c>
      <c r="D566" s="101" t="s">
        <v>59</v>
      </c>
      <c r="E566" s="76"/>
      <c r="F566" s="2"/>
    </row>
    <row r="567" spans="1:6" ht="13.8">
      <c r="A567" s="31"/>
      <c r="B567" s="74" t="b">
        <v>0</v>
      </c>
      <c r="C567" s="73" t="s">
        <v>59</v>
      </c>
      <c r="D567" s="75" t="s">
        <v>59</v>
      </c>
      <c r="E567" s="76"/>
      <c r="F567" s="2"/>
    </row>
    <row r="568" spans="1:6" ht="13.8">
      <c r="A568" s="31"/>
      <c r="B568" s="74" t="b">
        <v>0</v>
      </c>
      <c r="C568" s="73" t="s">
        <v>59</v>
      </c>
      <c r="D568" s="75" t="s">
        <v>59</v>
      </c>
      <c r="E568" s="76"/>
      <c r="F568" s="2"/>
    </row>
    <row r="569" spans="1:6" ht="13.8">
      <c r="A569" s="31"/>
      <c r="B569" s="74" t="b">
        <v>0</v>
      </c>
      <c r="C569" s="73" t="s">
        <v>59</v>
      </c>
      <c r="D569" s="75" t="s">
        <v>59</v>
      </c>
      <c r="E569" s="76"/>
      <c r="F569" s="2"/>
    </row>
    <row r="570" spans="1:6" ht="13.8">
      <c r="A570" s="31"/>
      <c r="B570" s="74" t="b">
        <v>0</v>
      </c>
      <c r="C570" s="73" t="s">
        <v>43</v>
      </c>
      <c r="D570" s="89" t="s">
        <v>59</v>
      </c>
      <c r="E570" s="76"/>
      <c r="F570" s="2"/>
    </row>
    <row r="571" spans="1:6" ht="13.8">
      <c r="A571" s="31"/>
      <c r="B571" s="74" t="b">
        <v>0</v>
      </c>
      <c r="C571" s="195" t="s">
        <v>59</v>
      </c>
      <c r="D571" s="196"/>
      <c r="E571" s="197"/>
      <c r="F571" s="2"/>
    </row>
    <row r="572" spans="1:6" ht="75" customHeight="1">
      <c r="A572" s="31"/>
      <c r="B572" s="74" t="b">
        <v>0</v>
      </c>
      <c r="C572" s="198" t="s">
        <v>59</v>
      </c>
      <c r="D572" s="199"/>
      <c r="E572" s="200"/>
      <c r="F572" s="2"/>
    </row>
    <row r="573" spans="1:6" ht="13.8">
      <c r="A573" s="31"/>
      <c r="B573" s="74" t="b">
        <v>0</v>
      </c>
      <c r="C573" s="77"/>
      <c r="D573" s="77"/>
      <c r="E573" s="77"/>
      <c r="F573" s="2"/>
    </row>
    <row r="574" spans="1:6" ht="13.8">
      <c r="A574" s="31">
        <v>49</v>
      </c>
      <c r="B574" s="74" t="b">
        <v>0</v>
      </c>
      <c r="C574" s="73" t="s">
        <v>94</v>
      </c>
      <c r="D574" s="75" t="s">
        <v>59</v>
      </c>
      <c r="E574" s="76"/>
      <c r="F574" s="2"/>
    </row>
    <row r="575" spans="1:6" ht="13.8">
      <c r="A575" s="31"/>
      <c r="B575" s="74" t="b">
        <v>0</v>
      </c>
      <c r="C575" s="73" t="s">
        <v>44</v>
      </c>
      <c r="D575" s="101" t="s">
        <v>59</v>
      </c>
      <c r="E575" s="76"/>
      <c r="F575" s="2"/>
    </row>
    <row r="576" spans="1:6" ht="13.8">
      <c r="A576" s="31"/>
      <c r="B576" s="74" t="b">
        <v>0</v>
      </c>
      <c r="C576" s="73" t="s">
        <v>59</v>
      </c>
      <c r="D576" s="75" t="s">
        <v>59</v>
      </c>
      <c r="E576" s="76"/>
      <c r="F576" s="2"/>
    </row>
    <row r="577" spans="1:6" ht="13.8">
      <c r="A577" s="31"/>
      <c r="B577" s="74" t="b">
        <v>0</v>
      </c>
      <c r="C577" s="73" t="s">
        <v>59</v>
      </c>
      <c r="D577" s="75" t="s">
        <v>59</v>
      </c>
      <c r="E577" s="76"/>
      <c r="F577" s="2"/>
    </row>
    <row r="578" spans="1:6" ht="13.8">
      <c r="A578" s="31"/>
      <c r="B578" s="74" t="b">
        <v>0</v>
      </c>
      <c r="C578" s="73" t="s">
        <v>59</v>
      </c>
      <c r="D578" s="75" t="s">
        <v>59</v>
      </c>
      <c r="E578" s="76"/>
      <c r="F578" s="2"/>
    </row>
    <row r="579" spans="1:6" ht="13.8">
      <c r="A579" s="31"/>
      <c r="B579" s="74" t="b">
        <v>0</v>
      </c>
      <c r="C579" s="73" t="s">
        <v>43</v>
      </c>
      <c r="D579" s="89" t="s">
        <v>59</v>
      </c>
      <c r="E579" s="76"/>
      <c r="F579" s="2"/>
    </row>
    <row r="580" spans="1:6" ht="13.8">
      <c r="A580" s="31"/>
      <c r="B580" s="74" t="b">
        <v>0</v>
      </c>
      <c r="C580" s="195" t="s">
        <v>59</v>
      </c>
      <c r="D580" s="196"/>
      <c r="E580" s="197"/>
      <c r="F580" s="2"/>
    </row>
    <row r="581" spans="1:6" ht="75" customHeight="1">
      <c r="A581" s="31"/>
      <c r="B581" s="74" t="b">
        <v>0</v>
      </c>
      <c r="C581" s="198" t="s">
        <v>59</v>
      </c>
      <c r="D581" s="199"/>
      <c r="E581" s="200"/>
      <c r="F581" s="2"/>
    </row>
    <row r="582" spans="1:6" ht="13.8">
      <c r="A582" s="31"/>
      <c r="B582" s="74" t="b">
        <v>0</v>
      </c>
      <c r="C582" s="77"/>
      <c r="D582" s="77"/>
      <c r="E582" s="77"/>
      <c r="F582" s="2"/>
    </row>
    <row r="583" spans="1:6" ht="13.8">
      <c r="A583" s="31">
        <v>50</v>
      </c>
      <c r="B583" s="74" t="b">
        <v>0</v>
      </c>
      <c r="C583" s="73" t="s">
        <v>94</v>
      </c>
      <c r="D583" s="75" t="s">
        <v>59</v>
      </c>
      <c r="E583" s="76"/>
      <c r="F583" s="2"/>
    </row>
    <row r="584" spans="1:6" ht="13.8">
      <c r="A584" s="31"/>
      <c r="B584" s="74" t="b">
        <v>0</v>
      </c>
      <c r="C584" s="73" t="s">
        <v>44</v>
      </c>
      <c r="D584" s="101" t="s">
        <v>59</v>
      </c>
      <c r="E584" s="76"/>
      <c r="F584" s="2"/>
    </row>
    <row r="585" spans="1:6" ht="13.8">
      <c r="A585" s="31"/>
      <c r="B585" s="74" t="b">
        <v>0</v>
      </c>
      <c r="C585" s="73" t="s">
        <v>59</v>
      </c>
      <c r="D585" s="75" t="s">
        <v>59</v>
      </c>
      <c r="E585" s="76"/>
      <c r="F585" s="2"/>
    </row>
    <row r="586" spans="1:6" ht="13.8">
      <c r="A586" s="31"/>
      <c r="B586" s="74" t="b">
        <v>0</v>
      </c>
      <c r="C586" s="73" t="s">
        <v>59</v>
      </c>
      <c r="D586" s="75" t="s">
        <v>59</v>
      </c>
      <c r="E586" s="76"/>
      <c r="F586" s="2"/>
    </row>
    <row r="587" spans="1:6" ht="13.8">
      <c r="A587" s="31"/>
      <c r="B587" s="74" t="b">
        <v>0</v>
      </c>
      <c r="C587" s="73" t="s">
        <v>59</v>
      </c>
      <c r="D587" s="75" t="s">
        <v>59</v>
      </c>
      <c r="E587" s="76"/>
      <c r="F587" s="2"/>
    </row>
    <row r="588" spans="1:6" ht="13.8">
      <c r="A588" s="31"/>
      <c r="B588" s="74" t="b">
        <v>0</v>
      </c>
      <c r="C588" s="73" t="s">
        <v>43</v>
      </c>
      <c r="D588" s="89" t="s">
        <v>59</v>
      </c>
      <c r="E588" s="76"/>
      <c r="F588" s="2"/>
    </row>
    <row r="589" spans="1:6" ht="13.8">
      <c r="A589" s="31"/>
      <c r="B589" s="74" t="b">
        <v>0</v>
      </c>
      <c r="C589" s="195" t="s">
        <v>59</v>
      </c>
      <c r="D589" s="196"/>
      <c r="E589" s="197"/>
      <c r="F589" s="2"/>
    </row>
    <row r="590" spans="1:6" ht="75" customHeight="1">
      <c r="A590" s="31"/>
      <c r="B590" s="74" t="b">
        <v>0</v>
      </c>
      <c r="C590" s="198" t="s">
        <v>59</v>
      </c>
      <c r="D590" s="199"/>
      <c r="E590" s="200"/>
      <c r="F590" s="2"/>
    </row>
    <row r="591" spans="1:6" ht="13.8">
      <c r="A591" s="31"/>
      <c r="B591" s="74" t="b">
        <v>0</v>
      </c>
      <c r="C591" s="77"/>
      <c r="D591" s="77"/>
      <c r="E591" s="77"/>
      <c r="F591" s="2"/>
    </row>
    <row r="592" spans="1:6" ht="13.8">
      <c r="A592" s="31">
        <v>51</v>
      </c>
      <c r="B592" s="74" t="b">
        <v>0</v>
      </c>
      <c r="C592" s="73" t="s">
        <v>94</v>
      </c>
      <c r="D592" s="75" t="s">
        <v>59</v>
      </c>
      <c r="E592" s="76"/>
      <c r="F592" s="2"/>
    </row>
    <row r="593" spans="1:6" ht="13.8">
      <c r="A593" s="31"/>
      <c r="B593" s="74" t="b">
        <v>0</v>
      </c>
      <c r="C593" s="73" t="s">
        <v>44</v>
      </c>
      <c r="D593" s="101" t="s">
        <v>59</v>
      </c>
      <c r="E593" s="76"/>
      <c r="F593" s="2"/>
    </row>
    <row r="594" spans="1:6" ht="13.8">
      <c r="A594" s="31"/>
      <c r="B594" s="74" t="b">
        <v>0</v>
      </c>
      <c r="C594" s="73" t="s">
        <v>59</v>
      </c>
      <c r="D594" s="75" t="s">
        <v>59</v>
      </c>
      <c r="E594" s="76"/>
      <c r="F594" s="2"/>
    </row>
    <row r="595" spans="1:6" ht="13.8">
      <c r="A595" s="31"/>
      <c r="B595" s="74" t="b">
        <v>0</v>
      </c>
      <c r="C595" s="73" t="s">
        <v>59</v>
      </c>
      <c r="D595" s="75" t="s">
        <v>59</v>
      </c>
      <c r="E595" s="76"/>
      <c r="F595" s="2"/>
    </row>
    <row r="596" spans="1:6" ht="13.8">
      <c r="A596" s="31"/>
      <c r="B596" s="74" t="b">
        <v>0</v>
      </c>
      <c r="C596" s="73" t="s">
        <v>59</v>
      </c>
      <c r="D596" s="75" t="s">
        <v>59</v>
      </c>
      <c r="E596" s="76"/>
      <c r="F596" s="2"/>
    </row>
    <row r="597" spans="1:6" ht="13.8">
      <c r="A597" s="31"/>
      <c r="B597" s="74" t="b">
        <v>0</v>
      </c>
      <c r="C597" s="73" t="s">
        <v>43</v>
      </c>
      <c r="D597" s="89" t="s">
        <v>59</v>
      </c>
      <c r="E597" s="76"/>
      <c r="F597" s="2"/>
    </row>
    <row r="598" spans="1:6" ht="13.8">
      <c r="A598" s="31"/>
      <c r="B598" s="74" t="b">
        <v>0</v>
      </c>
      <c r="C598" s="195" t="s">
        <v>59</v>
      </c>
      <c r="D598" s="196"/>
      <c r="E598" s="197"/>
      <c r="F598" s="2"/>
    </row>
    <row r="599" spans="1:6" ht="75" customHeight="1">
      <c r="A599" s="31"/>
      <c r="B599" s="74" t="b">
        <v>0</v>
      </c>
      <c r="C599" s="198" t="s">
        <v>59</v>
      </c>
      <c r="D599" s="199"/>
      <c r="E599" s="200"/>
      <c r="F599" s="2"/>
    </row>
    <row r="600" spans="1:6" ht="13.8">
      <c r="A600" s="31"/>
      <c r="B600" s="74" t="b">
        <v>0</v>
      </c>
      <c r="C600" s="77"/>
      <c r="D600" s="77"/>
      <c r="E600" s="77"/>
      <c r="F600" s="2"/>
    </row>
    <row r="601" spans="1:6" ht="13.8">
      <c r="A601" s="31">
        <v>52</v>
      </c>
      <c r="B601" s="74" t="b">
        <v>0</v>
      </c>
      <c r="C601" s="73" t="s">
        <v>94</v>
      </c>
      <c r="D601" s="75" t="s">
        <v>59</v>
      </c>
      <c r="E601" s="76"/>
      <c r="F601" s="2"/>
    </row>
    <row r="602" spans="1:6" ht="13.8">
      <c r="A602" s="31"/>
      <c r="B602" s="74" t="b">
        <v>0</v>
      </c>
      <c r="C602" s="73" t="s">
        <v>44</v>
      </c>
      <c r="D602" s="101" t="s">
        <v>59</v>
      </c>
      <c r="E602" s="76"/>
      <c r="F602" s="2"/>
    </row>
    <row r="603" spans="1:6" ht="13.8">
      <c r="A603" s="31"/>
      <c r="B603" s="74" t="b">
        <v>0</v>
      </c>
      <c r="C603" s="73" t="s">
        <v>59</v>
      </c>
      <c r="D603" s="75" t="s">
        <v>59</v>
      </c>
      <c r="E603" s="76"/>
      <c r="F603" s="2"/>
    </row>
    <row r="604" spans="1:6" ht="13.8">
      <c r="A604" s="31"/>
      <c r="B604" s="74" t="b">
        <v>0</v>
      </c>
      <c r="C604" s="73" t="s">
        <v>59</v>
      </c>
      <c r="D604" s="75" t="s">
        <v>59</v>
      </c>
      <c r="E604" s="76"/>
      <c r="F604" s="2"/>
    </row>
    <row r="605" spans="1:6" ht="13.8">
      <c r="A605" s="31"/>
      <c r="B605" s="74" t="b">
        <v>0</v>
      </c>
      <c r="C605" s="73" t="s">
        <v>59</v>
      </c>
      <c r="D605" s="75" t="s">
        <v>59</v>
      </c>
      <c r="E605" s="76"/>
      <c r="F605" s="2"/>
    </row>
    <row r="606" spans="1:6" ht="13.8">
      <c r="A606" s="31"/>
      <c r="B606" s="74" t="b">
        <v>0</v>
      </c>
      <c r="C606" s="73" t="s">
        <v>43</v>
      </c>
      <c r="D606" s="89" t="s">
        <v>59</v>
      </c>
      <c r="E606" s="76"/>
      <c r="F606" s="2"/>
    </row>
    <row r="607" spans="1:6" ht="13.8">
      <c r="A607" s="31"/>
      <c r="B607" s="74" t="b">
        <v>0</v>
      </c>
      <c r="C607" s="195" t="s">
        <v>59</v>
      </c>
      <c r="D607" s="196"/>
      <c r="E607" s="197"/>
      <c r="F607" s="2"/>
    </row>
    <row r="608" spans="1:6" ht="75" customHeight="1">
      <c r="A608" s="31"/>
      <c r="B608" s="74" t="b">
        <v>0</v>
      </c>
      <c r="C608" s="198" t="s">
        <v>59</v>
      </c>
      <c r="D608" s="199"/>
      <c r="E608" s="200"/>
      <c r="F608" s="2"/>
    </row>
    <row r="609" spans="1:6" ht="13.8">
      <c r="A609" s="31"/>
      <c r="B609" s="74" t="b">
        <v>0</v>
      </c>
      <c r="C609" s="77"/>
      <c r="D609" s="77"/>
      <c r="E609" s="77"/>
      <c r="F609" s="2"/>
    </row>
    <row r="610" spans="1:6" ht="13.8">
      <c r="A610" s="31">
        <v>53</v>
      </c>
      <c r="B610" s="74" t="b">
        <v>0</v>
      </c>
      <c r="C610" s="73" t="s">
        <v>94</v>
      </c>
      <c r="D610" s="75" t="s">
        <v>59</v>
      </c>
      <c r="E610" s="76"/>
      <c r="F610" s="2"/>
    </row>
    <row r="611" spans="1:6" ht="13.8">
      <c r="A611" s="31"/>
      <c r="B611" s="74" t="b">
        <v>0</v>
      </c>
      <c r="C611" s="73" t="s">
        <v>44</v>
      </c>
      <c r="D611" s="101" t="s">
        <v>59</v>
      </c>
      <c r="E611" s="76"/>
      <c r="F611" s="2"/>
    </row>
    <row r="612" spans="1:6" ht="13.8">
      <c r="A612" s="31"/>
      <c r="B612" s="74" t="b">
        <v>0</v>
      </c>
      <c r="C612" s="73" t="s">
        <v>59</v>
      </c>
      <c r="D612" s="75" t="s">
        <v>59</v>
      </c>
      <c r="E612" s="76"/>
      <c r="F612" s="2"/>
    </row>
    <row r="613" spans="1:6" ht="13.8">
      <c r="A613" s="31"/>
      <c r="B613" s="74" t="b">
        <v>0</v>
      </c>
      <c r="C613" s="73" t="s">
        <v>59</v>
      </c>
      <c r="D613" s="75" t="s">
        <v>59</v>
      </c>
      <c r="E613" s="76"/>
      <c r="F613" s="2"/>
    </row>
    <row r="614" spans="1:6" ht="13.8">
      <c r="A614" s="31"/>
      <c r="B614" s="74" t="b">
        <v>0</v>
      </c>
      <c r="C614" s="73" t="s">
        <v>59</v>
      </c>
      <c r="D614" s="75" t="s">
        <v>59</v>
      </c>
      <c r="E614" s="76"/>
      <c r="F614" s="2"/>
    </row>
    <row r="615" spans="1:6" ht="13.8">
      <c r="A615" s="31"/>
      <c r="B615" s="74" t="b">
        <v>0</v>
      </c>
      <c r="C615" s="73" t="s">
        <v>43</v>
      </c>
      <c r="D615" s="89" t="s">
        <v>59</v>
      </c>
      <c r="E615" s="76"/>
      <c r="F615" s="2"/>
    </row>
    <row r="616" spans="1:6" ht="13.8">
      <c r="A616" s="31"/>
      <c r="B616" s="74" t="b">
        <v>0</v>
      </c>
      <c r="C616" s="195" t="s">
        <v>59</v>
      </c>
      <c r="D616" s="196"/>
      <c r="E616" s="197"/>
      <c r="F616" s="2"/>
    </row>
    <row r="617" spans="1:6" ht="75" customHeight="1">
      <c r="A617" s="31"/>
      <c r="B617" s="74" t="b">
        <v>0</v>
      </c>
      <c r="C617" s="198" t="s">
        <v>59</v>
      </c>
      <c r="D617" s="199"/>
      <c r="E617" s="200"/>
      <c r="F617" s="2"/>
    </row>
    <row r="618" spans="1:6" ht="13.8">
      <c r="A618" s="31"/>
      <c r="B618" s="74" t="b">
        <v>0</v>
      </c>
      <c r="C618" s="77"/>
      <c r="D618" s="77"/>
      <c r="E618" s="77"/>
      <c r="F618" s="2"/>
    </row>
    <row r="619" spans="1:6" ht="13.8">
      <c r="A619" s="31">
        <v>54</v>
      </c>
      <c r="B619" s="74" t="b">
        <v>0</v>
      </c>
      <c r="C619" s="73" t="s">
        <v>94</v>
      </c>
      <c r="D619" s="75" t="s">
        <v>59</v>
      </c>
      <c r="E619" s="76"/>
      <c r="F619" s="2"/>
    </row>
    <row r="620" spans="1:6" ht="13.8">
      <c r="A620" s="31"/>
      <c r="B620" s="74" t="b">
        <v>0</v>
      </c>
      <c r="C620" s="73" t="s">
        <v>44</v>
      </c>
      <c r="D620" s="101" t="s">
        <v>59</v>
      </c>
      <c r="E620" s="76"/>
      <c r="F620" s="2"/>
    </row>
    <row r="621" spans="1:6" ht="13.8">
      <c r="A621" s="31"/>
      <c r="B621" s="74" t="b">
        <v>0</v>
      </c>
      <c r="C621" s="73" t="s">
        <v>59</v>
      </c>
      <c r="D621" s="75" t="s">
        <v>59</v>
      </c>
      <c r="E621" s="76"/>
      <c r="F621" s="2"/>
    </row>
    <row r="622" spans="1:6" ht="13.8">
      <c r="A622" s="31"/>
      <c r="B622" s="74" t="b">
        <v>0</v>
      </c>
      <c r="C622" s="73" t="s">
        <v>59</v>
      </c>
      <c r="D622" s="75" t="s">
        <v>59</v>
      </c>
      <c r="E622" s="76"/>
      <c r="F622" s="2"/>
    </row>
    <row r="623" spans="1:6" ht="13.8">
      <c r="A623" s="31"/>
      <c r="B623" s="74" t="b">
        <v>0</v>
      </c>
      <c r="C623" s="73" t="s">
        <v>59</v>
      </c>
      <c r="D623" s="75" t="s">
        <v>59</v>
      </c>
      <c r="E623" s="76"/>
      <c r="F623" s="2"/>
    </row>
    <row r="624" spans="1:6" ht="13.8">
      <c r="A624" s="31"/>
      <c r="B624" s="74" t="b">
        <v>0</v>
      </c>
      <c r="C624" s="73" t="s">
        <v>43</v>
      </c>
      <c r="D624" s="89" t="s">
        <v>59</v>
      </c>
      <c r="E624" s="76"/>
      <c r="F624" s="2"/>
    </row>
    <row r="625" spans="1:6" ht="13.8">
      <c r="A625" s="31"/>
      <c r="B625" s="74" t="b">
        <v>0</v>
      </c>
      <c r="C625" s="195" t="s">
        <v>59</v>
      </c>
      <c r="D625" s="196"/>
      <c r="E625" s="197"/>
      <c r="F625" s="2"/>
    </row>
    <row r="626" spans="1:6" ht="75" customHeight="1">
      <c r="A626" s="31"/>
      <c r="B626" s="74" t="b">
        <v>0</v>
      </c>
      <c r="C626" s="198" t="s">
        <v>59</v>
      </c>
      <c r="D626" s="199"/>
      <c r="E626" s="200"/>
      <c r="F626" s="2"/>
    </row>
    <row r="627" spans="1:6" ht="13.8">
      <c r="A627" s="31"/>
      <c r="B627" s="74" t="b">
        <v>0</v>
      </c>
      <c r="C627" s="77"/>
      <c r="D627" s="77"/>
      <c r="E627" s="77"/>
      <c r="F627" s="2"/>
    </row>
    <row r="628" spans="1:6" ht="13.8">
      <c r="A628" s="31">
        <v>55</v>
      </c>
      <c r="B628" s="74" t="b">
        <v>0</v>
      </c>
      <c r="C628" s="73" t="s">
        <v>94</v>
      </c>
      <c r="D628" s="75" t="s">
        <v>59</v>
      </c>
      <c r="E628" s="76"/>
      <c r="F628" s="2"/>
    </row>
    <row r="629" spans="1:6" ht="13.8">
      <c r="A629" s="31"/>
      <c r="B629" s="74" t="b">
        <v>0</v>
      </c>
      <c r="C629" s="73" t="s">
        <v>44</v>
      </c>
      <c r="D629" s="101" t="s">
        <v>59</v>
      </c>
      <c r="E629" s="76"/>
      <c r="F629" s="2"/>
    </row>
    <row r="630" spans="1:6" ht="13.8">
      <c r="A630" s="31"/>
      <c r="B630" s="74" t="b">
        <v>0</v>
      </c>
      <c r="C630" s="73" t="s">
        <v>59</v>
      </c>
      <c r="D630" s="75" t="s">
        <v>59</v>
      </c>
      <c r="E630" s="76"/>
      <c r="F630" s="2"/>
    </row>
    <row r="631" spans="1:6" ht="13.8">
      <c r="A631" s="31"/>
      <c r="B631" s="74" t="b">
        <v>0</v>
      </c>
      <c r="C631" s="73" t="s">
        <v>59</v>
      </c>
      <c r="D631" s="75" t="s">
        <v>59</v>
      </c>
      <c r="E631" s="76"/>
      <c r="F631" s="2"/>
    </row>
    <row r="632" spans="1:6" ht="13.8">
      <c r="A632" s="31"/>
      <c r="B632" s="74" t="b">
        <v>0</v>
      </c>
      <c r="C632" s="73" t="s">
        <v>59</v>
      </c>
      <c r="D632" s="75" t="s">
        <v>59</v>
      </c>
      <c r="E632" s="76"/>
      <c r="F632" s="2"/>
    </row>
    <row r="633" spans="1:6" ht="13.8">
      <c r="A633" s="31"/>
      <c r="B633" s="74" t="b">
        <v>0</v>
      </c>
      <c r="C633" s="73" t="s">
        <v>43</v>
      </c>
      <c r="D633" s="89" t="s">
        <v>59</v>
      </c>
      <c r="E633" s="76"/>
      <c r="F633" s="2"/>
    </row>
    <row r="634" spans="1:6" ht="13.8">
      <c r="A634" s="31"/>
      <c r="B634" s="74" t="b">
        <v>0</v>
      </c>
      <c r="C634" s="195" t="s">
        <v>59</v>
      </c>
      <c r="D634" s="196"/>
      <c r="E634" s="197"/>
      <c r="F634" s="2"/>
    </row>
    <row r="635" spans="1:6" ht="75" customHeight="1">
      <c r="A635" s="31"/>
      <c r="B635" s="74" t="b">
        <v>0</v>
      </c>
      <c r="C635" s="198" t="s">
        <v>59</v>
      </c>
      <c r="D635" s="199"/>
      <c r="E635" s="200"/>
      <c r="F635" s="2"/>
    </row>
    <row r="636" spans="1:6" ht="13.8">
      <c r="A636" s="31"/>
      <c r="B636" s="74" t="b">
        <v>0</v>
      </c>
      <c r="C636" s="77"/>
      <c r="D636" s="77"/>
      <c r="E636" s="77"/>
      <c r="F636" s="2"/>
    </row>
    <row r="637" spans="1:6" ht="13.8">
      <c r="A637" s="31">
        <v>56</v>
      </c>
      <c r="B637" s="74" t="b">
        <v>0</v>
      </c>
      <c r="C637" s="73" t="s">
        <v>94</v>
      </c>
      <c r="D637" s="75" t="s">
        <v>59</v>
      </c>
      <c r="E637" s="76"/>
      <c r="F637" s="2"/>
    </row>
    <row r="638" spans="1:6" ht="13.8">
      <c r="A638" s="31"/>
      <c r="B638" s="74" t="b">
        <v>0</v>
      </c>
      <c r="C638" s="73" t="s">
        <v>44</v>
      </c>
      <c r="D638" s="101" t="s">
        <v>59</v>
      </c>
      <c r="E638" s="76"/>
      <c r="F638" s="2"/>
    </row>
    <row r="639" spans="1:6" ht="13.8">
      <c r="A639" s="31"/>
      <c r="B639" s="74" t="b">
        <v>0</v>
      </c>
      <c r="C639" s="73" t="s">
        <v>59</v>
      </c>
      <c r="D639" s="75" t="s">
        <v>59</v>
      </c>
      <c r="E639" s="76"/>
      <c r="F639" s="2"/>
    </row>
    <row r="640" spans="1:6" ht="13.8">
      <c r="A640" s="31"/>
      <c r="B640" s="74" t="b">
        <v>0</v>
      </c>
      <c r="C640" s="73" t="s">
        <v>59</v>
      </c>
      <c r="D640" s="75" t="s">
        <v>59</v>
      </c>
      <c r="E640" s="76"/>
      <c r="F640" s="2"/>
    </row>
    <row r="641" spans="1:6" ht="13.8">
      <c r="A641" s="31"/>
      <c r="B641" s="74" t="b">
        <v>0</v>
      </c>
      <c r="C641" s="73" t="s">
        <v>59</v>
      </c>
      <c r="D641" s="75" t="s">
        <v>59</v>
      </c>
      <c r="E641" s="76"/>
      <c r="F641" s="2"/>
    </row>
    <row r="642" spans="1:6" ht="13.8">
      <c r="A642" s="31"/>
      <c r="B642" s="74" t="b">
        <v>0</v>
      </c>
      <c r="C642" s="73" t="s">
        <v>43</v>
      </c>
      <c r="D642" s="89" t="s">
        <v>59</v>
      </c>
      <c r="E642" s="76"/>
      <c r="F642" s="2"/>
    </row>
    <row r="643" spans="1:6" ht="13.8">
      <c r="A643" s="31"/>
      <c r="B643" s="74" t="b">
        <v>0</v>
      </c>
      <c r="C643" s="195" t="s">
        <v>59</v>
      </c>
      <c r="D643" s="196"/>
      <c r="E643" s="197"/>
      <c r="F643" s="2"/>
    </row>
    <row r="644" spans="1:6" ht="75" customHeight="1">
      <c r="A644" s="31"/>
      <c r="B644" s="74" t="b">
        <v>0</v>
      </c>
      <c r="C644" s="198" t="s">
        <v>59</v>
      </c>
      <c r="D644" s="199"/>
      <c r="E644" s="200"/>
      <c r="F644" s="2"/>
    </row>
    <row r="645" spans="1:6" ht="13.8">
      <c r="A645" s="31"/>
      <c r="B645" s="74" t="b">
        <v>0</v>
      </c>
      <c r="C645" s="77"/>
      <c r="D645" s="77"/>
      <c r="E645" s="77"/>
      <c r="F645" s="2"/>
    </row>
    <row r="646" spans="1:6" ht="13.8">
      <c r="A646" s="31">
        <v>57</v>
      </c>
      <c r="B646" s="74" t="b">
        <v>0</v>
      </c>
      <c r="C646" s="73" t="s">
        <v>94</v>
      </c>
      <c r="D646" s="75" t="s">
        <v>59</v>
      </c>
      <c r="E646" s="76"/>
      <c r="F646" s="2"/>
    </row>
    <row r="647" spans="1:6" ht="13.8">
      <c r="A647" s="31"/>
      <c r="B647" s="74" t="b">
        <v>0</v>
      </c>
      <c r="C647" s="73" t="s">
        <v>44</v>
      </c>
      <c r="D647" s="101" t="s">
        <v>59</v>
      </c>
      <c r="E647" s="76"/>
      <c r="F647" s="2"/>
    </row>
    <row r="648" spans="1:6" ht="13.8">
      <c r="A648" s="31"/>
      <c r="B648" s="74" t="b">
        <v>0</v>
      </c>
      <c r="C648" s="73" t="s">
        <v>59</v>
      </c>
      <c r="D648" s="75" t="s">
        <v>59</v>
      </c>
      <c r="E648" s="76"/>
      <c r="F648" s="2"/>
    </row>
    <row r="649" spans="1:6" ht="13.8">
      <c r="A649" s="31"/>
      <c r="B649" s="74" t="b">
        <v>0</v>
      </c>
      <c r="C649" s="73" t="s">
        <v>59</v>
      </c>
      <c r="D649" s="75" t="s">
        <v>59</v>
      </c>
      <c r="E649" s="76"/>
      <c r="F649" s="2"/>
    </row>
    <row r="650" spans="1:6" ht="13.8">
      <c r="A650" s="31"/>
      <c r="B650" s="74" t="b">
        <v>0</v>
      </c>
      <c r="C650" s="73" t="s">
        <v>59</v>
      </c>
      <c r="D650" s="75" t="s">
        <v>59</v>
      </c>
      <c r="E650" s="76"/>
      <c r="F650" s="2"/>
    </row>
    <row r="651" spans="1:6" ht="13.8">
      <c r="A651" s="31"/>
      <c r="B651" s="74" t="b">
        <v>0</v>
      </c>
      <c r="C651" s="73" t="s">
        <v>43</v>
      </c>
      <c r="D651" s="89" t="s">
        <v>59</v>
      </c>
      <c r="E651" s="76"/>
      <c r="F651" s="2"/>
    </row>
    <row r="652" spans="1:6" ht="13.8">
      <c r="A652" s="31"/>
      <c r="B652" s="74" t="b">
        <v>0</v>
      </c>
      <c r="C652" s="195" t="s">
        <v>59</v>
      </c>
      <c r="D652" s="196"/>
      <c r="E652" s="197"/>
      <c r="F652" s="2"/>
    </row>
    <row r="653" spans="1:6" ht="75" customHeight="1">
      <c r="A653" s="31"/>
      <c r="B653" s="74" t="b">
        <v>0</v>
      </c>
      <c r="C653" s="198" t="s">
        <v>59</v>
      </c>
      <c r="D653" s="199"/>
      <c r="E653" s="200"/>
      <c r="F653" s="2"/>
    </row>
    <row r="654" spans="1:6" ht="13.8">
      <c r="A654" s="31"/>
      <c r="B654" s="74" t="b">
        <v>0</v>
      </c>
      <c r="C654" s="77"/>
      <c r="D654" s="77"/>
      <c r="E654" s="77"/>
      <c r="F654" s="2"/>
    </row>
    <row r="655" spans="1:6" ht="13.8">
      <c r="A655" s="31">
        <v>58</v>
      </c>
      <c r="B655" s="74" t="b">
        <v>0</v>
      </c>
      <c r="C655" s="73" t="s">
        <v>94</v>
      </c>
      <c r="D655" s="75" t="s">
        <v>59</v>
      </c>
      <c r="E655" s="76"/>
      <c r="F655" s="2"/>
    </row>
    <row r="656" spans="1:6" ht="13.8">
      <c r="A656" s="31"/>
      <c r="B656" s="74" t="b">
        <v>0</v>
      </c>
      <c r="C656" s="73" t="s">
        <v>44</v>
      </c>
      <c r="D656" s="101" t="s">
        <v>59</v>
      </c>
      <c r="E656" s="76"/>
      <c r="F656" s="2"/>
    </row>
    <row r="657" spans="1:6" ht="13.8">
      <c r="A657" s="31"/>
      <c r="B657" s="74" t="b">
        <v>0</v>
      </c>
      <c r="C657" s="73" t="s">
        <v>59</v>
      </c>
      <c r="D657" s="75" t="s">
        <v>59</v>
      </c>
      <c r="E657" s="76"/>
      <c r="F657" s="2"/>
    </row>
    <row r="658" spans="1:6" ht="13.8">
      <c r="A658" s="31"/>
      <c r="B658" s="74" t="b">
        <v>0</v>
      </c>
      <c r="C658" s="73" t="s">
        <v>59</v>
      </c>
      <c r="D658" s="75" t="s">
        <v>59</v>
      </c>
      <c r="E658" s="76"/>
      <c r="F658" s="2"/>
    </row>
    <row r="659" spans="1:6" ht="13.8">
      <c r="A659" s="31"/>
      <c r="B659" s="74" t="b">
        <v>0</v>
      </c>
      <c r="C659" s="73" t="s">
        <v>59</v>
      </c>
      <c r="D659" s="75" t="s">
        <v>59</v>
      </c>
      <c r="E659" s="76"/>
      <c r="F659" s="2"/>
    </row>
    <row r="660" spans="1:6" ht="13.8">
      <c r="A660" s="31"/>
      <c r="B660" s="74" t="b">
        <v>0</v>
      </c>
      <c r="C660" s="73" t="s">
        <v>43</v>
      </c>
      <c r="D660" s="89" t="s">
        <v>59</v>
      </c>
      <c r="E660" s="76"/>
      <c r="F660" s="2"/>
    </row>
    <row r="661" spans="1:6" ht="13.8">
      <c r="A661" s="31"/>
      <c r="B661" s="74" t="b">
        <v>0</v>
      </c>
      <c r="C661" s="195" t="s">
        <v>59</v>
      </c>
      <c r="D661" s="196"/>
      <c r="E661" s="197"/>
      <c r="F661" s="2"/>
    </row>
    <row r="662" spans="1:6" ht="75" customHeight="1">
      <c r="A662" s="31"/>
      <c r="B662" s="74" t="b">
        <v>0</v>
      </c>
      <c r="C662" s="198" t="s">
        <v>59</v>
      </c>
      <c r="D662" s="199"/>
      <c r="E662" s="200"/>
      <c r="F662" s="2"/>
    </row>
    <row r="663" spans="1:6" ht="13.8">
      <c r="A663" s="31"/>
      <c r="B663" s="74" t="b">
        <v>0</v>
      </c>
      <c r="C663" s="77"/>
      <c r="D663" s="77"/>
      <c r="E663" s="77"/>
      <c r="F663" s="2"/>
    </row>
    <row r="664" spans="1:6" ht="13.8">
      <c r="A664" s="31">
        <v>59</v>
      </c>
      <c r="B664" s="74" t="b">
        <v>0</v>
      </c>
      <c r="C664" s="73" t="s">
        <v>94</v>
      </c>
      <c r="D664" s="75" t="s">
        <v>59</v>
      </c>
      <c r="E664" s="76"/>
      <c r="F664" s="2"/>
    </row>
    <row r="665" spans="1:6" ht="13.8">
      <c r="A665" s="31"/>
      <c r="B665" s="74" t="b">
        <v>0</v>
      </c>
      <c r="C665" s="73" t="s">
        <v>44</v>
      </c>
      <c r="D665" s="101" t="s">
        <v>59</v>
      </c>
      <c r="E665" s="76"/>
      <c r="F665" s="2"/>
    </row>
    <row r="666" spans="1:6" ht="13.8">
      <c r="A666" s="31"/>
      <c r="B666" s="74" t="b">
        <v>0</v>
      </c>
      <c r="C666" s="73" t="s">
        <v>59</v>
      </c>
      <c r="D666" s="75" t="s">
        <v>59</v>
      </c>
      <c r="E666" s="76"/>
      <c r="F666" s="2"/>
    </row>
    <row r="667" spans="1:6" ht="13.8">
      <c r="A667" s="31"/>
      <c r="B667" s="74" t="b">
        <v>0</v>
      </c>
      <c r="C667" s="73" t="s">
        <v>59</v>
      </c>
      <c r="D667" s="75" t="s">
        <v>59</v>
      </c>
      <c r="E667" s="76"/>
      <c r="F667" s="2"/>
    </row>
    <row r="668" spans="1:6" ht="13.8">
      <c r="A668" s="31"/>
      <c r="B668" s="74" t="b">
        <v>0</v>
      </c>
      <c r="C668" s="73" t="s">
        <v>59</v>
      </c>
      <c r="D668" s="75" t="s">
        <v>59</v>
      </c>
      <c r="E668" s="76"/>
      <c r="F668" s="2"/>
    </row>
    <row r="669" spans="1:6" ht="13.8">
      <c r="A669" s="31"/>
      <c r="B669" s="74" t="b">
        <v>0</v>
      </c>
      <c r="C669" s="73" t="s">
        <v>43</v>
      </c>
      <c r="D669" s="89" t="s">
        <v>59</v>
      </c>
      <c r="E669" s="76"/>
      <c r="F669" s="2"/>
    </row>
    <row r="670" spans="1:6" ht="13.8">
      <c r="A670" s="31"/>
      <c r="B670" s="74" t="b">
        <v>0</v>
      </c>
      <c r="C670" s="195" t="s">
        <v>59</v>
      </c>
      <c r="D670" s="196"/>
      <c r="E670" s="197"/>
      <c r="F670" s="2"/>
    </row>
    <row r="671" spans="1:6" ht="75" customHeight="1">
      <c r="A671" s="31"/>
      <c r="B671" s="74" t="b">
        <v>0</v>
      </c>
      <c r="C671" s="198" t="s">
        <v>59</v>
      </c>
      <c r="D671" s="199"/>
      <c r="E671" s="200"/>
      <c r="F671" s="2"/>
    </row>
    <row r="672" spans="1:6" ht="13.8">
      <c r="A672" s="31"/>
      <c r="B672" s="74" t="b">
        <v>0</v>
      </c>
      <c r="C672" s="77"/>
      <c r="D672" s="77"/>
      <c r="E672" s="77"/>
      <c r="F672" s="2"/>
    </row>
    <row r="673" spans="1:6" ht="13.8">
      <c r="A673" s="31">
        <v>60</v>
      </c>
      <c r="B673" s="74" t="b">
        <v>0</v>
      </c>
      <c r="C673" s="73" t="s">
        <v>94</v>
      </c>
      <c r="D673" s="75" t="s">
        <v>59</v>
      </c>
      <c r="E673" s="76"/>
      <c r="F673" s="2"/>
    </row>
    <row r="674" spans="1:6" ht="13.8">
      <c r="A674" s="31"/>
      <c r="B674" s="74" t="b">
        <v>0</v>
      </c>
      <c r="C674" s="73" t="s">
        <v>44</v>
      </c>
      <c r="D674" s="101" t="s">
        <v>59</v>
      </c>
      <c r="E674" s="76"/>
      <c r="F674" s="2"/>
    </row>
    <row r="675" spans="1:6" ht="13.8">
      <c r="A675" s="31"/>
      <c r="B675" s="74" t="b">
        <v>0</v>
      </c>
      <c r="C675" s="73" t="s">
        <v>59</v>
      </c>
      <c r="D675" s="75" t="s">
        <v>59</v>
      </c>
      <c r="E675" s="76"/>
      <c r="F675" s="2"/>
    </row>
    <row r="676" spans="1:6" ht="13.8">
      <c r="A676" s="31"/>
      <c r="B676" s="74" t="b">
        <v>0</v>
      </c>
      <c r="C676" s="73" t="s">
        <v>59</v>
      </c>
      <c r="D676" s="75" t="s">
        <v>59</v>
      </c>
      <c r="E676" s="76"/>
      <c r="F676" s="2"/>
    </row>
    <row r="677" spans="1:6" ht="13.8">
      <c r="A677" s="31"/>
      <c r="B677" s="74" t="b">
        <v>0</v>
      </c>
      <c r="C677" s="73" t="s">
        <v>59</v>
      </c>
      <c r="D677" s="75" t="s">
        <v>59</v>
      </c>
      <c r="E677" s="76"/>
      <c r="F677" s="2"/>
    </row>
    <row r="678" spans="1:6" ht="13.8">
      <c r="A678" s="31"/>
      <c r="B678" s="74" t="b">
        <v>0</v>
      </c>
      <c r="C678" s="73" t="s">
        <v>43</v>
      </c>
      <c r="D678" s="89" t="s">
        <v>59</v>
      </c>
      <c r="E678" s="76"/>
      <c r="F678" s="2"/>
    </row>
    <row r="679" spans="1:6" ht="13.8">
      <c r="A679" s="31"/>
      <c r="B679" s="74" t="b">
        <v>0</v>
      </c>
      <c r="C679" s="195" t="s">
        <v>59</v>
      </c>
      <c r="D679" s="196"/>
      <c r="E679" s="197"/>
      <c r="F679" s="2"/>
    </row>
    <row r="680" spans="1:6" ht="75" customHeight="1">
      <c r="A680" s="31"/>
      <c r="B680" s="74" t="b">
        <v>0</v>
      </c>
      <c r="C680" s="198" t="s">
        <v>59</v>
      </c>
      <c r="D680" s="199"/>
      <c r="E680" s="200"/>
      <c r="F680" s="2"/>
    </row>
    <row r="681" spans="1:6" ht="13.8">
      <c r="A681" s="31"/>
      <c r="B681" s="74" t="b">
        <v>0</v>
      </c>
      <c r="C681" s="77"/>
      <c r="D681" s="77"/>
      <c r="E681" s="77"/>
      <c r="F681" s="2"/>
    </row>
    <row r="682" spans="1:6" ht="13.8">
      <c r="A682" s="31">
        <v>61</v>
      </c>
      <c r="B682" s="74" t="b">
        <v>0</v>
      </c>
      <c r="C682" s="73" t="s">
        <v>94</v>
      </c>
      <c r="D682" s="75" t="s">
        <v>59</v>
      </c>
      <c r="E682" s="76"/>
      <c r="F682" s="2"/>
    </row>
    <row r="683" spans="1:6" ht="13.8">
      <c r="A683" s="31"/>
      <c r="B683" s="74" t="b">
        <v>0</v>
      </c>
      <c r="C683" s="73" t="s">
        <v>44</v>
      </c>
      <c r="D683" s="101" t="s">
        <v>59</v>
      </c>
      <c r="E683" s="76"/>
      <c r="F683" s="2"/>
    </row>
    <row r="684" spans="1:6" ht="13.8">
      <c r="A684" s="31"/>
      <c r="B684" s="74" t="b">
        <v>0</v>
      </c>
      <c r="C684" s="73" t="s">
        <v>59</v>
      </c>
      <c r="D684" s="75" t="s">
        <v>59</v>
      </c>
      <c r="E684" s="76"/>
      <c r="F684" s="2"/>
    </row>
    <row r="685" spans="1:6" ht="13.8">
      <c r="A685" s="31"/>
      <c r="B685" s="74" t="b">
        <v>0</v>
      </c>
      <c r="C685" s="73" t="s">
        <v>59</v>
      </c>
      <c r="D685" s="75" t="s">
        <v>59</v>
      </c>
      <c r="E685" s="76"/>
      <c r="F685" s="2"/>
    </row>
    <row r="686" spans="1:6" ht="13.8">
      <c r="A686" s="31"/>
      <c r="B686" s="74" t="b">
        <v>0</v>
      </c>
      <c r="C686" s="73" t="s">
        <v>59</v>
      </c>
      <c r="D686" s="75" t="s">
        <v>59</v>
      </c>
      <c r="E686" s="76"/>
      <c r="F686" s="2"/>
    </row>
    <row r="687" spans="1:6" ht="13.8">
      <c r="A687" s="31"/>
      <c r="B687" s="74" t="b">
        <v>0</v>
      </c>
      <c r="C687" s="73" t="s">
        <v>43</v>
      </c>
      <c r="D687" s="89" t="s">
        <v>59</v>
      </c>
      <c r="E687" s="76"/>
      <c r="F687" s="2"/>
    </row>
    <row r="688" spans="1:6" ht="13.8">
      <c r="A688" s="31"/>
      <c r="B688" s="74" t="b">
        <v>0</v>
      </c>
      <c r="C688" s="195" t="s">
        <v>59</v>
      </c>
      <c r="D688" s="196"/>
      <c r="E688" s="197"/>
      <c r="F688" s="2"/>
    </row>
    <row r="689" spans="1:6" ht="75" customHeight="1">
      <c r="A689" s="31"/>
      <c r="B689" s="74" t="b">
        <v>0</v>
      </c>
      <c r="C689" s="198" t="s">
        <v>59</v>
      </c>
      <c r="D689" s="199"/>
      <c r="E689" s="200"/>
      <c r="F689" s="2"/>
    </row>
    <row r="690" spans="1:6" ht="13.8">
      <c r="A690" s="31"/>
      <c r="B690" s="74" t="b">
        <v>0</v>
      </c>
      <c r="C690" s="77"/>
      <c r="D690" s="77"/>
      <c r="E690" s="77"/>
      <c r="F690" s="2"/>
    </row>
    <row r="691" spans="1:6" ht="13.8">
      <c r="A691" s="31">
        <v>62</v>
      </c>
      <c r="B691" s="74" t="b">
        <v>0</v>
      </c>
      <c r="C691" s="73" t="s">
        <v>94</v>
      </c>
      <c r="D691" s="75" t="s">
        <v>59</v>
      </c>
      <c r="E691" s="76"/>
      <c r="F691" s="2"/>
    </row>
    <row r="692" spans="1:6" ht="13.8">
      <c r="A692" s="31"/>
      <c r="B692" s="74" t="b">
        <v>0</v>
      </c>
      <c r="C692" s="73" t="s">
        <v>44</v>
      </c>
      <c r="D692" s="101" t="s">
        <v>59</v>
      </c>
      <c r="E692" s="76"/>
      <c r="F692" s="2"/>
    </row>
    <row r="693" spans="1:6" ht="13.8">
      <c r="A693" s="31"/>
      <c r="B693" s="74" t="b">
        <v>0</v>
      </c>
      <c r="C693" s="73" t="s">
        <v>59</v>
      </c>
      <c r="D693" s="75" t="s">
        <v>59</v>
      </c>
      <c r="E693" s="76"/>
      <c r="F693" s="2"/>
    </row>
    <row r="694" spans="1:6" ht="13.8">
      <c r="A694" s="31"/>
      <c r="B694" s="74" t="b">
        <v>0</v>
      </c>
      <c r="C694" s="73" t="s">
        <v>59</v>
      </c>
      <c r="D694" s="75" t="s">
        <v>59</v>
      </c>
      <c r="E694" s="76"/>
      <c r="F694" s="2"/>
    </row>
    <row r="695" spans="1:6" ht="13.8">
      <c r="A695" s="31"/>
      <c r="B695" s="74" t="b">
        <v>0</v>
      </c>
      <c r="C695" s="73" t="s">
        <v>59</v>
      </c>
      <c r="D695" s="75" t="s">
        <v>59</v>
      </c>
      <c r="E695" s="76"/>
      <c r="F695" s="2"/>
    </row>
    <row r="696" spans="1:6" ht="13.8">
      <c r="A696" s="31"/>
      <c r="B696" s="74" t="b">
        <v>0</v>
      </c>
      <c r="C696" s="73" t="s">
        <v>43</v>
      </c>
      <c r="D696" s="89" t="s">
        <v>59</v>
      </c>
      <c r="E696" s="76"/>
      <c r="F696" s="2"/>
    </row>
    <row r="697" spans="1:6" ht="13.8">
      <c r="A697" s="31"/>
      <c r="B697" s="74" t="b">
        <v>0</v>
      </c>
      <c r="C697" s="195" t="s">
        <v>59</v>
      </c>
      <c r="D697" s="196"/>
      <c r="E697" s="197"/>
      <c r="F697" s="2"/>
    </row>
    <row r="698" spans="1:6" ht="75" customHeight="1">
      <c r="A698" s="31"/>
      <c r="B698" s="74" t="b">
        <v>0</v>
      </c>
      <c r="C698" s="198" t="s">
        <v>59</v>
      </c>
      <c r="D698" s="199"/>
      <c r="E698" s="200"/>
      <c r="F698" s="2"/>
    </row>
    <row r="699" spans="1:6" ht="13.8">
      <c r="A699" s="31"/>
      <c r="B699" s="74" t="b">
        <v>0</v>
      </c>
      <c r="C699" s="77"/>
      <c r="D699" s="77"/>
      <c r="E699" s="77"/>
      <c r="F699" s="2"/>
    </row>
    <row r="700" spans="1:6" ht="13.8">
      <c r="A700" s="31">
        <v>63</v>
      </c>
      <c r="B700" s="74" t="b">
        <v>0</v>
      </c>
      <c r="C700" s="73" t="s">
        <v>94</v>
      </c>
      <c r="D700" s="75" t="s">
        <v>59</v>
      </c>
      <c r="E700" s="76"/>
      <c r="F700" s="2"/>
    </row>
    <row r="701" spans="1:6" ht="13.8">
      <c r="A701" s="31"/>
      <c r="B701" s="74" t="b">
        <v>0</v>
      </c>
      <c r="C701" s="73" t="s">
        <v>44</v>
      </c>
      <c r="D701" s="101" t="s">
        <v>59</v>
      </c>
      <c r="E701" s="76"/>
      <c r="F701" s="2"/>
    </row>
    <row r="702" spans="1:6" ht="13.8">
      <c r="A702" s="31"/>
      <c r="B702" s="74" t="b">
        <v>0</v>
      </c>
      <c r="C702" s="73" t="s">
        <v>59</v>
      </c>
      <c r="D702" s="75" t="s">
        <v>59</v>
      </c>
      <c r="E702" s="76"/>
      <c r="F702" s="2"/>
    </row>
    <row r="703" spans="1:6" ht="13.8">
      <c r="A703" s="31"/>
      <c r="B703" s="74" t="b">
        <v>0</v>
      </c>
      <c r="C703" s="73" t="s">
        <v>59</v>
      </c>
      <c r="D703" s="75" t="s">
        <v>59</v>
      </c>
      <c r="E703" s="76"/>
      <c r="F703" s="2"/>
    </row>
    <row r="704" spans="1:6" ht="13.8">
      <c r="A704" s="31"/>
      <c r="B704" s="74" t="b">
        <v>0</v>
      </c>
      <c r="C704" s="73" t="s">
        <v>59</v>
      </c>
      <c r="D704" s="75" t="s">
        <v>59</v>
      </c>
      <c r="E704" s="76"/>
      <c r="F704" s="2"/>
    </row>
    <row r="705" spans="1:6" ht="13.8">
      <c r="A705" s="31"/>
      <c r="B705" s="74" t="b">
        <v>0</v>
      </c>
      <c r="C705" s="73" t="s">
        <v>43</v>
      </c>
      <c r="D705" s="89" t="s">
        <v>59</v>
      </c>
      <c r="E705" s="76"/>
      <c r="F705" s="2"/>
    </row>
    <row r="706" spans="1:6" ht="13.8">
      <c r="A706" s="31"/>
      <c r="B706" s="74" t="b">
        <v>0</v>
      </c>
      <c r="C706" s="195" t="s">
        <v>59</v>
      </c>
      <c r="D706" s="196"/>
      <c r="E706" s="197"/>
      <c r="F706" s="2"/>
    </row>
    <row r="707" spans="1:6" ht="75" customHeight="1">
      <c r="A707" s="31"/>
      <c r="B707" s="74" t="b">
        <v>0</v>
      </c>
      <c r="C707" s="198" t="s">
        <v>59</v>
      </c>
      <c r="D707" s="199"/>
      <c r="E707" s="200"/>
      <c r="F707" s="2"/>
    </row>
    <row r="708" spans="1:6" ht="13.8">
      <c r="A708" s="31"/>
      <c r="B708" s="74" t="b">
        <v>0</v>
      </c>
      <c r="C708" s="77"/>
      <c r="D708" s="77"/>
      <c r="E708" s="77"/>
      <c r="F708" s="2"/>
    </row>
    <row r="709" spans="1:6" ht="13.8">
      <c r="A709" s="31">
        <v>64</v>
      </c>
      <c r="B709" s="74" t="b">
        <v>0</v>
      </c>
      <c r="C709" s="73" t="s">
        <v>94</v>
      </c>
      <c r="D709" s="75" t="s">
        <v>59</v>
      </c>
      <c r="E709" s="76"/>
      <c r="F709" s="2"/>
    </row>
    <row r="710" spans="1:6" ht="13.8">
      <c r="A710" s="31"/>
      <c r="B710" s="74" t="b">
        <v>0</v>
      </c>
      <c r="C710" s="73" t="s">
        <v>44</v>
      </c>
      <c r="D710" s="101" t="s">
        <v>59</v>
      </c>
      <c r="E710" s="76"/>
      <c r="F710" s="2"/>
    </row>
    <row r="711" spans="1:6" ht="13.8">
      <c r="A711" s="31"/>
      <c r="B711" s="74" t="b">
        <v>0</v>
      </c>
      <c r="C711" s="73" t="s">
        <v>59</v>
      </c>
      <c r="D711" s="75" t="s">
        <v>59</v>
      </c>
      <c r="E711" s="76"/>
      <c r="F711" s="2"/>
    </row>
    <row r="712" spans="1:6" ht="13.8">
      <c r="A712" s="31"/>
      <c r="B712" s="74" t="b">
        <v>0</v>
      </c>
      <c r="C712" s="73" t="s">
        <v>59</v>
      </c>
      <c r="D712" s="75" t="s">
        <v>59</v>
      </c>
      <c r="E712" s="76"/>
      <c r="F712" s="2"/>
    </row>
    <row r="713" spans="1:6" ht="13.8">
      <c r="A713" s="31"/>
      <c r="B713" s="74" t="b">
        <v>0</v>
      </c>
      <c r="C713" s="73" t="s">
        <v>59</v>
      </c>
      <c r="D713" s="75" t="s">
        <v>59</v>
      </c>
      <c r="E713" s="76"/>
      <c r="F713" s="2"/>
    </row>
    <row r="714" spans="1:6" ht="13.8">
      <c r="A714" s="31"/>
      <c r="B714" s="74" t="b">
        <v>0</v>
      </c>
      <c r="C714" s="73" t="s">
        <v>43</v>
      </c>
      <c r="D714" s="89" t="s">
        <v>59</v>
      </c>
      <c r="E714" s="76"/>
      <c r="F714" s="2"/>
    </row>
    <row r="715" spans="1:6" ht="13.8">
      <c r="A715" s="31"/>
      <c r="B715" s="74" t="b">
        <v>0</v>
      </c>
      <c r="C715" s="195" t="s">
        <v>59</v>
      </c>
      <c r="D715" s="196"/>
      <c r="E715" s="197"/>
      <c r="F715" s="2"/>
    </row>
    <row r="716" spans="1:6" ht="75" customHeight="1">
      <c r="A716" s="31"/>
      <c r="B716" s="74" t="b">
        <v>0</v>
      </c>
      <c r="C716" s="198" t="s">
        <v>59</v>
      </c>
      <c r="D716" s="199"/>
      <c r="E716" s="200"/>
      <c r="F716" s="2"/>
    </row>
    <row r="717" spans="1:6" ht="13.8">
      <c r="A717" s="31"/>
      <c r="B717" s="74" t="b">
        <v>0</v>
      </c>
      <c r="C717" s="77"/>
      <c r="D717" s="77"/>
      <c r="E717" s="77"/>
      <c r="F717" s="2"/>
    </row>
    <row r="718" spans="1:6" ht="13.8">
      <c r="A718" s="31">
        <v>65</v>
      </c>
      <c r="B718" s="74" t="b">
        <v>0</v>
      </c>
      <c r="C718" s="73" t="s">
        <v>94</v>
      </c>
      <c r="D718" s="75" t="s">
        <v>59</v>
      </c>
      <c r="E718" s="76"/>
      <c r="F718" s="2"/>
    </row>
    <row r="719" spans="1:6" ht="13.8">
      <c r="A719" s="31"/>
      <c r="B719" s="74" t="b">
        <v>0</v>
      </c>
      <c r="C719" s="73" t="s">
        <v>44</v>
      </c>
      <c r="D719" s="101" t="s">
        <v>59</v>
      </c>
      <c r="E719" s="76"/>
      <c r="F719" s="2"/>
    </row>
    <row r="720" spans="1:6" ht="13.8">
      <c r="A720" s="31"/>
      <c r="B720" s="74" t="b">
        <v>0</v>
      </c>
      <c r="C720" s="73" t="s">
        <v>59</v>
      </c>
      <c r="D720" s="75" t="s">
        <v>59</v>
      </c>
      <c r="E720" s="76"/>
      <c r="F720" s="2"/>
    </row>
    <row r="721" spans="1:6" ht="13.8">
      <c r="A721" s="31"/>
      <c r="B721" s="74" t="b">
        <v>0</v>
      </c>
      <c r="C721" s="73" t="s">
        <v>59</v>
      </c>
      <c r="D721" s="75" t="s">
        <v>59</v>
      </c>
      <c r="E721" s="76"/>
      <c r="F721" s="2"/>
    </row>
    <row r="722" spans="1:6" ht="13.8">
      <c r="A722" s="31"/>
      <c r="B722" s="74" t="b">
        <v>0</v>
      </c>
      <c r="C722" s="73" t="s">
        <v>59</v>
      </c>
      <c r="D722" s="75" t="s">
        <v>59</v>
      </c>
      <c r="E722" s="76"/>
      <c r="F722" s="2"/>
    </row>
    <row r="723" spans="1:6" ht="13.8">
      <c r="A723" s="31"/>
      <c r="B723" s="74" t="b">
        <v>0</v>
      </c>
      <c r="C723" s="73" t="s">
        <v>43</v>
      </c>
      <c r="D723" s="89" t="s">
        <v>59</v>
      </c>
      <c r="E723" s="76"/>
      <c r="F723" s="2"/>
    </row>
    <row r="724" spans="1:6" ht="13.8">
      <c r="A724" s="31"/>
      <c r="B724" s="74" t="b">
        <v>0</v>
      </c>
      <c r="C724" s="195" t="s">
        <v>59</v>
      </c>
      <c r="D724" s="196"/>
      <c r="E724" s="197"/>
      <c r="F724" s="2"/>
    </row>
    <row r="725" spans="1:6" ht="75" customHeight="1">
      <c r="A725" s="31"/>
      <c r="B725" s="74" t="b">
        <v>0</v>
      </c>
      <c r="C725" s="198" t="s">
        <v>59</v>
      </c>
      <c r="D725" s="199"/>
      <c r="E725" s="200"/>
      <c r="F725" s="2"/>
    </row>
    <row r="726" spans="1:6" ht="13.8">
      <c r="A726" s="31"/>
      <c r="B726" s="74" t="b">
        <v>0</v>
      </c>
      <c r="C726" s="77"/>
      <c r="D726" s="77"/>
      <c r="E726" s="77"/>
      <c r="F726" s="2"/>
    </row>
    <row r="727" spans="1:6" ht="13.8">
      <c r="A727" s="31">
        <v>66</v>
      </c>
      <c r="B727" s="74" t="b">
        <v>0</v>
      </c>
      <c r="C727" s="73" t="s">
        <v>94</v>
      </c>
      <c r="D727" s="75" t="s">
        <v>59</v>
      </c>
      <c r="E727" s="76"/>
      <c r="F727" s="2"/>
    </row>
    <row r="728" spans="1:6" ht="13.8">
      <c r="A728" s="31"/>
      <c r="B728" s="74" t="b">
        <v>0</v>
      </c>
      <c r="C728" s="73" t="s">
        <v>44</v>
      </c>
      <c r="D728" s="101" t="s">
        <v>59</v>
      </c>
      <c r="E728" s="76"/>
      <c r="F728" s="2"/>
    </row>
    <row r="729" spans="1:6" ht="13.8">
      <c r="A729" s="31"/>
      <c r="B729" s="74" t="b">
        <v>0</v>
      </c>
      <c r="C729" s="73" t="s">
        <v>59</v>
      </c>
      <c r="D729" s="75" t="s">
        <v>59</v>
      </c>
      <c r="E729" s="76"/>
      <c r="F729" s="2"/>
    </row>
    <row r="730" spans="1:6" ht="13.8">
      <c r="A730" s="31"/>
      <c r="B730" s="74" t="b">
        <v>0</v>
      </c>
      <c r="C730" s="73" t="s">
        <v>59</v>
      </c>
      <c r="D730" s="75" t="s">
        <v>59</v>
      </c>
      <c r="E730" s="76"/>
      <c r="F730" s="2"/>
    </row>
    <row r="731" spans="1:6" ht="13.8">
      <c r="A731" s="31"/>
      <c r="B731" s="74" t="b">
        <v>0</v>
      </c>
      <c r="C731" s="73" t="s">
        <v>59</v>
      </c>
      <c r="D731" s="75" t="s">
        <v>59</v>
      </c>
      <c r="E731" s="76"/>
      <c r="F731" s="2"/>
    </row>
    <row r="732" spans="1:6" ht="13.8">
      <c r="A732" s="31"/>
      <c r="B732" s="74" t="b">
        <v>0</v>
      </c>
      <c r="C732" s="73" t="s">
        <v>43</v>
      </c>
      <c r="D732" s="89" t="s">
        <v>59</v>
      </c>
      <c r="E732" s="76"/>
      <c r="F732" s="2"/>
    </row>
    <row r="733" spans="1:6" ht="13.8">
      <c r="A733" s="31"/>
      <c r="B733" s="74" t="b">
        <v>0</v>
      </c>
      <c r="C733" s="195" t="s">
        <v>59</v>
      </c>
      <c r="D733" s="196"/>
      <c r="E733" s="197"/>
      <c r="F733" s="2"/>
    </row>
    <row r="734" spans="1:6" ht="75" customHeight="1">
      <c r="A734" s="31"/>
      <c r="B734" s="74" t="b">
        <v>0</v>
      </c>
      <c r="C734" s="198" t="s">
        <v>59</v>
      </c>
      <c r="D734" s="199"/>
      <c r="E734" s="200"/>
      <c r="F734" s="2"/>
    </row>
    <row r="735" spans="1:6" ht="13.8">
      <c r="A735" s="31"/>
      <c r="B735" s="74" t="b">
        <v>0</v>
      </c>
      <c r="C735" s="77"/>
      <c r="D735" s="77"/>
      <c r="E735" s="77"/>
      <c r="F735" s="2"/>
    </row>
    <row r="736" spans="1:6" ht="13.8">
      <c r="A736" s="31">
        <v>67</v>
      </c>
      <c r="B736" s="74" t="b">
        <v>0</v>
      </c>
      <c r="C736" s="73" t="s">
        <v>94</v>
      </c>
      <c r="D736" s="75" t="s">
        <v>59</v>
      </c>
      <c r="E736" s="76"/>
      <c r="F736" s="2"/>
    </row>
    <row r="737" spans="1:6" ht="13.8">
      <c r="A737" s="31"/>
      <c r="B737" s="74" t="b">
        <v>0</v>
      </c>
      <c r="C737" s="73" t="s">
        <v>44</v>
      </c>
      <c r="D737" s="101" t="s">
        <v>59</v>
      </c>
      <c r="E737" s="76"/>
      <c r="F737" s="2"/>
    </row>
    <row r="738" spans="1:6" ht="13.8">
      <c r="A738" s="31"/>
      <c r="B738" s="74" t="b">
        <v>0</v>
      </c>
      <c r="C738" s="73" t="s">
        <v>59</v>
      </c>
      <c r="D738" s="75" t="s">
        <v>59</v>
      </c>
      <c r="E738" s="76"/>
      <c r="F738" s="2"/>
    </row>
    <row r="739" spans="1:6" ht="13.8">
      <c r="A739" s="31"/>
      <c r="B739" s="74" t="b">
        <v>0</v>
      </c>
      <c r="C739" s="73" t="s">
        <v>59</v>
      </c>
      <c r="D739" s="75" t="s">
        <v>59</v>
      </c>
      <c r="E739" s="76"/>
      <c r="F739" s="2"/>
    </row>
    <row r="740" spans="1:6" ht="13.8">
      <c r="A740" s="31"/>
      <c r="B740" s="74" t="b">
        <v>0</v>
      </c>
      <c r="C740" s="73" t="s">
        <v>59</v>
      </c>
      <c r="D740" s="75" t="s">
        <v>59</v>
      </c>
      <c r="E740" s="76"/>
      <c r="F740" s="2"/>
    </row>
    <row r="741" spans="1:6" ht="13.8">
      <c r="A741" s="31"/>
      <c r="B741" s="74" t="b">
        <v>0</v>
      </c>
      <c r="C741" s="73" t="s">
        <v>43</v>
      </c>
      <c r="D741" s="89" t="s">
        <v>59</v>
      </c>
      <c r="E741" s="76"/>
      <c r="F741" s="2"/>
    </row>
    <row r="742" spans="1:6" ht="13.8">
      <c r="A742" s="31"/>
      <c r="B742" s="74" t="b">
        <v>0</v>
      </c>
      <c r="C742" s="195" t="s">
        <v>59</v>
      </c>
      <c r="D742" s="196"/>
      <c r="E742" s="197"/>
      <c r="F742" s="2"/>
    </row>
    <row r="743" spans="1:6" ht="75" customHeight="1">
      <c r="A743" s="31"/>
      <c r="B743" s="74" t="b">
        <v>0</v>
      </c>
      <c r="C743" s="198" t="s">
        <v>59</v>
      </c>
      <c r="D743" s="199"/>
      <c r="E743" s="200"/>
      <c r="F743" s="2"/>
    </row>
    <row r="744" spans="1:6" ht="13.8">
      <c r="A744" s="31"/>
      <c r="B744" s="74" t="b">
        <v>0</v>
      </c>
      <c r="C744" s="77"/>
      <c r="D744" s="77"/>
      <c r="E744" s="77"/>
      <c r="F744" s="2"/>
    </row>
    <row r="745" spans="1:6" ht="13.8">
      <c r="A745" s="31">
        <v>68</v>
      </c>
      <c r="B745" s="74" t="b">
        <v>0</v>
      </c>
      <c r="C745" s="73" t="s">
        <v>94</v>
      </c>
      <c r="D745" s="75" t="s">
        <v>59</v>
      </c>
      <c r="E745" s="76"/>
      <c r="F745" s="2"/>
    </row>
    <row r="746" spans="1:6" ht="13.8">
      <c r="A746" s="31"/>
      <c r="B746" s="74" t="b">
        <v>0</v>
      </c>
      <c r="C746" s="73" t="s">
        <v>44</v>
      </c>
      <c r="D746" s="101" t="s">
        <v>59</v>
      </c>
      <c r="E746" s="76"/>
      <c r="F746" s="2"/>
    </row>
    <row r="747" spans="1:6" ht="13.8">
      <c r="A747" s="31"/>
      <c r="B747" s="74" t="b">
        <v>0</v>
      </c>
      <c r="C747" s="73" t="s">
        <v>59</v>
      </c>
      <c r="D747" s="75" t="s">
        <v>59</v>
      </c>
      <c r="E747" s="76"/>
      <c r="F747" s="2"/>
    </row>
    <row r="748" spans="1:6" ht="13.8">
      <c r="A748" s="31"/>
      <c r="B748" s="74" t="b">
        <v>0</v>
      </c>
      <c r="C748" s="73" t="s">
        <v>59</v>
      </c>
      <c r="D748" s="75" t="s">
        <v>59</v>
      </c>
      <c r="E748" s="76"/>
      <c r="F748" s="2"/>
    </row>
    <row r="749" spans="1:6" ht="13.8">
      <c r="A749" s="31"/>
      <c r="B749" s="74" t="b">
        <v>0</v>
      </c>
      <c r="C749" s="73" t="s">
        <v>59</v>
      </c>
      <c r="D749" s="75" t="s">
        <v>59</v>
      </c>
      <c r="E749" s="76"/>
      <c r="F749" s="2"/>
    </row>
    <row r="750" spans="1:6" ht="13.8">
      <c r="A750" s="31"/>
      <c r="B750" s="74" t="b">
        <v>0</v>
      </c>
      <c r="C750" s="73" t="s">
        <v>43</v>
      </c>
      <c r="D750" s="89" t="s">
        <v>59</v>
      </c>
      <c r="E750" s="76"/>
      <c r="F750" s="2"/>
    </row>
    <row r="751" spans="1:6" ht="13.8">
      <c r="A751" s="31"/>
      <c r="B751" s="74" t="b">
        <v>0</v>
      </c>
      <c r="C751" s="195" t="s">
        <v>59</v>
      </c>
      <c r="D751" s="196"/>
      <c r="E751" s="197"/>
      <c r="F751" s="2"/>
    </row>
    <row r="752" spans="1:6" ht="75" customHeight="1">
      <c r="A752" s="31"/>
      <c r="B752" s="74" t="b">
        <v>0</v>
      </c>
      <c r="C752" s="198" t="s">
        <v>59</v>
      </c>
      <c r="D752" s="199"/>
      <c r="E752" s="200"/>
      <c r="F752" s="2"/>
    </row>
    <row r="753" spans="1:6" ht="13.8">
      <c r="A753" s="31"/>
      <c r="B753" s="74" t="b">
        <v>0</v>
      </c>
      <c r="C753" s="77"/>
      <c r="D753" s="77"/>
      <c r="E753" s="77"/>
      <c r="F753" s="2"/>
    </row>
    <row r="754" spans="1:6" ht="13.8">
      <c r="A754" s="31">
        <v>69</v>
      </c>
      <c r="B754" s="74" t="b">
        <v>0</v>
      </c>
      <c r="C754" s="73" t="s">
        <v>94</v>
      </c>
      <c r="D754" s="75" t="s">
        <v>59</v>
      </c>
      <c r="E754" s="76"/>
      <c r="F754" s="2"/>
    </row>
    <row r="755" spans="1:6" ht="13.8">
      <c r="A755" s="31"/>
      <c r="B755" s="74" t="b">
        <v>0</v>
      </c>
      <c r="C755" s="73" t="s">
        <v>44</v>
      </c>
      <c r="D755" s="101" t="s">
        <v>59</v>
      </c>
      <c r="E755" s="76"/>
      <c r="F755" s="2"/>
    </row>
    <row r="756" spans="1:6" ht="13.8">
      <c r="A756" s="31"/>
      <c r="B756" s="74" t="b">
        <v>0</v>
      </c>
      <c r="C756" s="73" t="s">
        <v>59</v>
      </c>
      <c r="D756" s="75" t="s">
        <v>59</v>
      </c>
      <c r="E756" s="76"/>
      <c r="F756" s="2"/>
    </row>
    <row r="757" spans="1:6" ht="13.8">
      <c r="A757" s="31"/>
      <c r="B757" s="74" t="b">
        <v>0</v>
      </c>
      <c r="C757" s="73" t="s">
        <v>59</v>
      </c>
      <c r="D757" s="75" t="s">
        <v>59</v>
      </c>
      <c r="E757" s="76"/>
      <c r="F757" s="2"/>
    </row>
    <row r="758" spans="1:6" ht="13.8">
      <c r="A758" s="31"/>
      <c r="B758" s="74" t="b">
        <v>0</v>
      </c>
      <c r="C758" s="73" t="s">
        <v>59</v>
      </c>
      <c r="D758" s="75" t="s">
        <v>59</v>
      </c>
      <c r="E758" s="76"/>
      <c r="F758" s="2"/>
    </row>
    <row r="759" spans="1:6" ht="13.8">
      <c r="A759" s="31"/>
      <c r="B759" s="74" t="b">
        <v>0</v>
      </c>
      <c r="C759" s="73" t="s">
        <v>43</v>
      </c>
      <c r="D759" s="89" t="s">
        <v>59</v>
      </c>
      <c r="E759" s="76"/>
      <c r="F759" s="2"/>
    </row>
    <row r="760" spans="1:6" ht="13.8">
      <c r="A760" s="31"/>
      <c r="B760" s="74" t="b">
        <v>0</v>
      </c>
      <c r="C760" s="195" t="s">
        <v>59</v>
      </c>
      <c r="D760" s="196"/>
      <c r="E760" s="197"/>
      <c r="F760" s="2"/>
    </row>
    <row r="761" spans="1:6" ht="75" customHeight="1">
      <c r="A761" s="31"/>
      <c r="B761" s="74" t="b">
        <v>0</v>
      </c>
      <c r="C761" s="198" t="s">
        <v>59</v>
      </c>
      <c r="D761" s="199"/>
      <c r="E761" s="200"/>
      <c r="F761" s="2"/>
    </row>
    <row r="762" spans="1:6" ht="13.8">
      <c r="A762" s="31"/>
      <c r="B762" s="74" t="b">
        <v>0</v>
      </c>
      <c r="C762" s="77"/>
      <c r="D762" s="77"/>
      <c r="E762" s="77"/>
      <c r="F762" s="2"/>
    </row>
    <row r="763" spans="1:6" ht="13.8">
      <c r="A763" s="31">
        <v>70</v>
      </c>
      <c r="B763" s="74" t="b">
        <v>0</v>
      </c>
      <c r="C763" s="73" t="s">
        <v>94</v>
      </c>
      <c r="D763" s="75" t="s">
        <v>59</v>
      </c>
      <c r="E763" s="76"/>
      <c r="F763" s="2"/>
    </row>
    <row r="764" spans="1:6" ht="13.8">
      <c r="A764" s="31"/>
      <c r="B764" s="74" t="b">
        <v>0</v>
      </c>
      <c r="C764" s="73" t="s">
        <v>44</v>
      </c>
      <c r="D764" s="101" t="s">
        <v>59</v>
      </c>
      <c r="E764" s="76"/>
      <c r="F764" s="2"/>
    </row>
    <row r="765" spans="1:6" ht="13.8">
      <c r="A765" s="31"/>
      <c r="B765" s="74" t="b">
        <v>0</v>
      </c>
      <c r="C765" s="73" t="s">
        <v>59</v>
      </c>
      <c r="D765" s="75" t="s">
        <v>59</v>
      </c>
      <c r="E765" s="76"/>
      <c r="F765" s="2"/>
    </row>
    <row r="766" spans="1:6" ht="13.8">
      <c r="A766" s="31"/>
      <c r="B766" s="74" t="b">
        <v>0</v>
      </c>
      <c r="C766" s="73" t="s">
        <v>59</v>
      </c>
      <c r="D766" s="75" t="s">
        <v>59</v>
      </c>
      <c r="E766" s="76"/>
      <c r="F766" s="2"/>
    </row>
    <row r="767" spans="1:6" ht="13.8">
      <c r="A767" s="31"/>
      <c r="B767" s="74" t="b">
        <v>0</v>
      </c>
      <c r="C767" s="73" t="s">
        <v>59</v>
      </c>
      <c r="D767" s="75" t="s">
        <v>59</v>
      </c>
      <c r="E767" s="76"/>
      <c r="F767" s="2"/>
    </row>
    <row r="768" spans="1:6" ht="13.8">
      <c r="A768" s="31"/>
      <c r="B768" s="74" t="b">
        <v>0</v>
      </c>
      <c r="C768" s="73" t="s">
        <v>43</v>
      </c>
      <c r="D768" s="89" t="s">
        <v>59</v>
      </c>
      <c r="E768" s="76"/>
      <c r="F768" s="2"/>
    </row>
    <row r="769" spans="1:6" ht="13.8">
      <c r="A769" s="31"/>
      <c r="B769" s="74" t="b">
        <v>0</v>
      </c>
      <c r="C769" s="195" t="s">
        <v>59</v>
      </c>
      <c r="D769" s="196"/>
      <c r="E769" s="197"/>
      <c r="F769" s="2"/>
    </row>
    <row r="770" spans="1:6" ht="75" customHeight="1">
      <c r="A770" s="31"/>
      <c r="B770" s="74" t="b">
        <v>0</v>
      </c>
      <c r="C770" s="198" t="s">
        <v>59</v>
      </c>
      <c r="D770" s="199"/>
      <c r="E770" s="200"/>
      <c r="F770" s="2"/>
    </row>
    <row r="771" spans="1:6" ht="13.8">
      <c r="A771" s="31"/>
      <c r="B771" s="74" t="b">
        <v>0</v>
      </c>
      <c r="C771" s="77"/>
      <c r="D771" s="77"/>
      <c r="E771" s="77"/>
      <c r="F771" s="2"/>
    </row>
    <row r="772" spans="1:6" ht="13.8">
      <c r="A772" s="31">
        <v>71</v>
      </c>
      <c r="B772" s="74" t="b">
        <v>0</v>
      </c>
      <c r="C772" s="73" t="s">
        <v>94</v>
      </c>
      <c r="D772" s="75" t="s">
        <v>59</v>
      </c>
      <c r="E772" s="76"/>
      <c r="F772" s="2"/>
    </row>
    <row r="773" spans="1:6" ht="13.8">
      <c r="A773" s="31"/>
      <c r="B773" s="74" t="b">
        <v>0</v>
      </c>
      <c r="C773" s="73" t="s">
        <v>44</v>
      </c>
      <c r="D773" s="101" t="s">
        <v>59</v>
      </c>
      <c r="E773" s="76"/>
      <c r="F773" s="2"/>
    </row>
    <row r="774" spans="1:6" ht="13.8">
      <c r="A774" s="31"/>
      <c r="B774" s="74" t="b">
        <v>0</v>
      </c>
      <c r="C774" s="73" t="s">
        <v>59</v>
      </c>
      <c r="D774" s="75" t="s">
        <v>59</v>
      </c>
      <c r="E774" s="76"/>
      <c r="F774" s="2"/>
    </row>
    <row r="775" spans="1:6" ht="13.8">
      <c r="A775" s="31"/>
      <c r="B775" s="74" t="b">
        <v>0</v>
      </c>
      <c r="C775" s="73" t="s">
        <v>59</v>
      </c>
      <c r="D775" s="75" t="s">
        <v>59</v>
      </c>
      <c r="E775" s="76"/>
      <c r="F775" s="2"/>
    </row>
    <row r="776" spans="1:6" ht="13.8">
      <c r="A776" s="31"/>
      <c r="B776" s="74" t="b">
        <v>0</v>
      </c>
      <c r="C776" s="73" t="s">
        <v>59</v>
      </c>
      <c r="D776" s="75" t="s">
        <v>59</v>
      </c>
      <c r="E776" s="76"/>
      <c r="F776" s="2"/>
    </row>
    <row r="777" spans="1:6" ht="13.8">
      <c r="A777" s="31"/>
      <c r="B777" s="74" t="b">
        <v>0</v>
      </c>
      <c r="C777" s="73" t="s">
        <v>43</v>
      </c>
      <c r="D777" s="89" t="s">
        <v>59</v>
      </c>
      <c r="E777" s="76"/>
      <c r="F777" s="2"/>
    </row>
    <row r="778" spans="1:6" ht="13.8">
      <c r="A778" s="31"/>
      <c r="B778" s="74" t="b">
        <v>0</v>
      </c>
      <c r="C778" s="195" t="s">
        <v>59</v>
      </c>
      <c r="D778" s="196"/>
      <c r="E778" s="197"/>
      <c r="F778" s="2"/>
    </row>
    <row r="779" spans="1:6" ht="75" customHeight="1">
      <c r="A779" s="31"/>
      <c r="B779" s="74" t="b">
        <v>0</v>
      </c>
      <c r="C779" s="198" t="s">
        <v>59</v>
      </c>
      <c r="D779" s="199"/>
      <c r="E779" s="200"/>
      <c r="F779" s="2"/>
    </row>
    <row r="780" spans="1:6" ht="13.8">
      <c r="A780" s="31"/>
      <c r="B780" s="74" t="b">
        <v>0</v>
      </c>
      <c r="C780" s="77"/>
      <c r="D780" s="77"/>
      <c r="E780" s="77"/>
      <c r="F780" s="2"/>
    </row>
    <row r="781" spans="1:6" ht="13.8">
      <c r="A781" s="31">
        <v>72</v>
      </c>
      <c r="B781" s="74" t="b">
        <v>0</v>
      </c>
      <c r="C781" s="73" t="s">
        <v>94</v>
      </c>
      <c r="D781" s="75" t="s">
        <v>59</v>
      </c>
      <c r="E781" s="76"/>
      <c r="F781" s="2"/>
    </row>
    <row r="782" spans="1:6" ht="13.8">
      <c r="A782" s="31"/>
      <c r="B782" s="74" t="b">
        <v>0</v>
      </c>
      <c r="C782" s="73" t="s">
        <v>44</v>
      </c>
      <c r="D782" s="101" t="s">
        <v>59</v>
      </c>
      <c r="E782" s="76"/>
      <c r="F782" s="2"/>
    </row>
    <row r="783" spans="1:6" ht="13.8">
      <c r="A783" s="31"/>
      <c r="B783" s="74" t="b">
        <v>0</v>
      </c>
      <c r="C783" s="73" t="s">
        <v>59</v>
      </c>
      <c r="D783" s="75" t="s">
        <v>59</v>
      </c>
      <c r="E783" s="76"/>
      <c r="F783" s="2"/>
    </row>
    <row r="784" spans="1:6" ht="13.8">
      <c r="A784" s="31"/>
      <c r="B784" s="74" t="b">
        <v>0</v>
      </c>
      <c r="C784" s="73" t="s">
        <v>59</v>
      </c>
      <c r="D784" s="75" t="s">
        <v>59</v>
      </c>
      <c r="E784" s="76"/>
      <c r="F784" s="2"/>
    </row>
    <row r="785" spans="1:6" ht="13.8">
      <c r="A785" s="31"/>
      <c r="B785" s="74" t="b">
        <v>0</v>
      </c>
      <c r="C785" s="73" t="s">
        <v>59</v>
      </c>
      <c r="D785" s="75" t="s">
        <v>59</v>
      </c>
      <c r="E785" s="76"/>
      <c r="F785" s="2"/>
    </row>
    <row r="786" spans="1:6" ht="13.8">
      <c r="A786" s="31"/>
      <c r="B786" s="74" t="b">
        <v>0</v>
      </c>
      <c r="C786" s="73" t="s">
        <v>43</v>
      </c>
      <c r="D786" s="89" t="s">
        <v>59</v>
      </c>
      <c r="E786" s="76"/>
      <c r="F786" s="2"/>
    </row>
    <row r="787" spans="1:6" ht="13.8">
      <c r="A787" s="31"/>
      <c r="B787" s="74" t="b">
        <v>0</v>
      </c>
      <c r="C787" s="195" t="s">
        <v>59</v>
      </c>
      <c r="D787" s="196"/>
      <c r="E787" s="197"/>
      <c r="F787" s="2"/>
    </row>
    <row r="788" spans="1:6" ht="75" customHeight="1">
      <c r="A788" s="31"/>
      <c r="B788" s="74" t="b">
        <v>0</v>
      </c>
      <c r="C788" s="198" t="s">
        <v>59</v>
      </c>
      <c r="D788" s="199"/>
      <c r="E788" s="200"/>
      <c r="F788" s="2"/>
    </row>
    <row r="789" spans="1:6" ht="13.8">
      <c r="A789" s="31"/>
      <c r="B789" s="74" t="b">
        <v>0</v>
      </c>
      <c r="C789" s="77"/>
      <c r="D789" s="77"/>
      <c r="E789" s="77"/>
      <c r="F789" s="2"/>
    </row>
    <row r="790" spans="1:6" ht="13.8">
      <c r="A790" s="31">
        <v>73</v>
      </c>
      <c r="B790" s="74" t="b">
        <v>0</v>
      </c>
      <c r="C790" s="73" t="s">
        <v>94</v>
      </c>
      <c r="D790" s="75" t="s">
        <v>59</v>
      </c>
      <c r="E790" s="76"/>
      <c r="F790" s="2"/>
    </row>
    <row r="791" spans="1:6" ht="13.8">
      <c r="A791" s="31"/>
      <c r="B791" s="74" t="b">
        <v>0</v>
      </c>
      <c r="C791" s="73" t="s">
        <v>44</v>
      </c>
      <c r="D791" s="101" t="s">
        <v>59</v>
      </c>
      <c r="E791" s="76"/>
      <c r="F791" s="2"/>
    </row>
    <row r="792" spans="1:6" ht="13.8">
      <c r="A792" s="31"/>
      <c r="B792" s="74" t="b">
        <v>0</v>
      </c>
      <c r="C792" s="73" t="s">
        <v>59</v>
      </c>
      <c r="D792" s="75" t="s">
        <v>59</v>
      </c>
      <c r="E792" s="76"/>
      <c r="F792" s="2"/>
    </row>
    <row r="793" spans="1:6" ht="13.8">
      <c r="A793" s="31"/>
      <c r="B793" s="74" t="b">
        <v>0</v>
      </c>
      <c r="C793" s="73" t="s">
        <v>59</v>
      </c>
      <c r="D793" s="75" t="s">
        <v>59</v>
      </c>
      <c r="E793" s="76"/>
      <c r="F793" s="2"/>
    </row>
    <row r="794" spans="1:6" ht="13.8">
      <c r="A794" s="31"/>
      <c r="B794" s="74" t="b">
        <v>0</v>
      </c>
      <c r="C794" s="73" t="s">
        <v>59</v>
      </c>
      <c r="D794" s="75" t="s">
        <v>59</v>
      </c>
      <c r="E794" s="76"/>
      <c r="F794" s="2"/>
    </row>
    <row r="795" spans="1:6" ht="13.8">
      <c r="A795" s="31"/>
      <c r="B795" s="74" t="b">
        <v>0</v>
      </c>
      <c r="C795" s="73" t="s">
        <v>43</v>
      </c>
      <c r="D795" s="89" t="s">
        <v>59</v>
      </c>
      <c r="E795" s="76"/>
      <c r="F795" s="2"/>
    </row>
    <row r="796" spans="1:6" ht="13.8">
      <c r="A796" s="31"/>
      <c r="B796" s="74" t="b">
        <v>0</v>
      </c>
      <c r="C796" s="195" t="s">
        <v>59</v>
      </c>
      <c r="D796" s="196"/>
      <c r="E796" s="197"/>
      <c r="F796" s="2"/>
    </row>
    <row r="797" spans="1:6" ht="75" customHeight="1">
      <c r="A797" s="31"/>
      <c r="B797" s="74" t="b">
        <v>0</v>
      </c>
      <c r="C797" s="198" t="s">
        <v>59</v>
      </c>
      <c r="D797" s="199"/>
      <c r="E797" s="200"/>
      <c r="F797" s="2"/>
    </row>
    <row r="798" spans="1:6" ht="13.8">
      <c r="A798" s="31"/>
      <c r="B798" s="74" t="b">
        <v>0</v>
      </c>
      <c r="C798" s="77"/>
      <c r="D798" s="77"/>
      <c r="E798" s="77"/>
      <c r="F798" s="2"/>
    </row>
    <row r="799" spans="1:6" ht="13.8">
      <c r="A799" s="31">
        <v>74</v>
      </c>
      <c r="B799" s="74" t="b">
        <v>0</v>
      </c>
      <c r="C799" s="73" t="s">
        <v>94</v>
      </c>
      <c r="D799" s="75" t="s">
        <v>59</v>
      </c>
      <c r="E799" s="76"/>
      <c r="F799" s="2"/>
    </row>
    <row r="800" spans="1:6" ht="13.8">
      <c r="A800" s="31"/>
      <c r="B800" s="74" t="b">
        <v>0</v>
      </c>
      <c r="C800" s="73" t="s">
        <v>44</v>
      </c>
      <c r="D800" s="101" t="s">
        <v>59</v>
      </c>
      <c r="E800" s="76"/>
      <c r="F800" s="2"/>
    </row>
    <row r="801" spans="1:6" ht="13.8">
      <c r="A801" s="31"/>
      <c r="B801" s="74" t="b">
        <v>0</v>
      </c>
      <c r="C801" s="73" t="s">
        <v>59</v>
      </c>
      <c r="D801" s="75" t="s">
        <v>59</v>
      </c>
      <c r="E801" s="76"/>
      <c r="F801" s="2"/>
    </row>
    <row r="802" spans="1:6" ht="13.8">
      <c r="A802" s="31"/>
      <c r="B802" s="74" t="b">
        <v>0</v>
      </c>
      <c r="C802" s="73" t="s">
        <v>59</v>
      </c>
      <c r="D802" s="75" t="s">
        <v>59</v>
      </c>
      <c r="E802" s="76"/>
      <c r="F802" s="2"/>
    </row>
    <row r="803" spans="1:6" ht="13.8">
      <c r="A803" s="31"/>
      <c r="B803" s="74" t="b">
        <v>0</v>
      </c>
      <c r="C803" s="73" t="s">
        <v>59</v>
      </c>
      <c r="D803" s="75" t="s">
        <v>59</v>
      </c>
      <c r="E803" s="76"/>
      <c r="F803" s="2"/>
    </row>
    <row r="804" spans="1:6" ht="13.8">
      <c r="A804" s="31"/>
      <c r="B804" s="74" t="b">
        <v>0</v>
      </c>
      <c r="C804" s="73" t="s">
        <v>43</v>
      </c>
      <c r="D804" s="89" t="s">
        <v>59</v>
      </c>
      <c r="E804" s="76"/>
      <c r="F804" s="2"/>
    </row>
    <row r="805" spans="1:6" ht="13.8">
      <c r="A805" s="31"/>
      <c r="B805" s="74" t="b">
        <v>0</v>
      </c>
      <c r="C805" s="195" t="s">
        <v>59</v>
      </c>
      <c r="D805" s="196"/>
      <c r="E805" s="197"/>
      <c r="F805" s="2"/>
    </row>
    <row r="806" spans="1:6" ht="75" customHeight="1">
      <c r="A806" s="31"/>
      <c r="B806" s="74" t="b">
        <v>0</v>
      </c>
      <c r="C806" s="198" t="s">
        <v>59</v>
      </c>
      <c r="D806" s="199"/>
      <c r="E806" s="200"/>
      <c r="F806" s="2"/>
    </row>
    <row r="807" spans="1:6" ht="13.8">
      <c r="A807" s="31"/>
      <c r="B807" s="74" t="b">
        <v>0</v>
      </c>
      <c r="C807" s="77"/>
      <c r="D807" s="77"/>
      <c r="E807" s="77"/>
      <c r="F807" s="2"/>
    </row>
    <row r="808" spans="1:6" ht="13.8">
      <c r="A808" s="31">
        <v>75</v>
      </c>
      <c r="B808" s="74" t="b">
        <v>0</v>
      </c>
      <c r="C808" s="73" t="s">
        <v>94</v>
      </c>
      <c r="D808" s="75" t="s">
        <v>59</v>
      </c>
      <c r="E808" s="76"/>
      <c r="F808" s="2"/>
    </row>
    <row r="809" spans="1:6" ht="13.8">
      <c r="A809" s="31"/>
      <c r="B809" s="74" t="b">
        <v>0</v>
      </c>
      <c r="C809" s="73" t="s">
        <v>44</v>
      </c>
      <c r="D809" s="101" t="s">
        <v>59</v>
      </c>
      <c r="E809" s="76"/>
      <c r="F809" s="2"/>
    </row>
    <row r="810" spans="1:6" ht="13.8">
      <c r="A810" s="31"/>
      <c r="B810" s="74" t="b">
        <v>0</v>
      </c>
      <c r="C810" s="73" t="s">
        <v>59</v>
      </c>
      <c r="D810" s="75" t="s">
        <v>59</v>
      </c>
      <c r="E810" s="76"/>
      <c r="F810" s="2"/>
    </row>
    <row r="811" spans="1:6" ht="13.8">
      <c r="A811" s="31"/>
      <c r="B811" s="74" t="b">
        <v>0</v>
      </c>
      <c r="C811" s="73" t="s">
        <v>59</v>
      </c>
      <c r="D811" s="75" t="s">
        <v>59</v>
      </c>
      <c r="E811" s="76"/>
      <c r="F811" s="2"/>
    </row>
    <row r="812" spans="1:6" ht="13.8">
      <c r="A812" s="31"/>
      <c r="B812" s="74" t="b">
        <v>0</v>
      </c>
      <c r="C812" s="73" t="s">
        <v>59</v>
      </c>
      <c r="D812" s="75" t="s">
        <v>59</v>
      </c>
      <c r="E812" s="76"/>
      <c r="F812" s="2"/>
    </row>
    <row r="813" spans="1:6" ht="13.8">
      <c r="A813" s="31"/>
      <c r="B813" s="74" t="b">
        <v>0</v>
      </c>
      <c r="C813" s="73" t="s">
        <v>43</v>
      </c>
      <c r="D813" s="89" t="s">
        <v>59</v>
      </c>
      <c r="E813" s="76"/>
      <c r="F813" s="2"/>
    </row>
    <row r="814" spans="1:6" ht="13.8">
      <c r="A814" s="31"/>
      <c r="B814" s="74" t="b">
        <v>0</v>
      </c>
      <c r="C814" s="195" t="s">
        <v>59</v>
      </c>
      <c r="D814" s="196"/>
      <c r="E814" s="197"/>
      <c r="F814" s="2"/>
    </row>
    <row r="815" spans="1:6" ht="75" customHeight="1">
      <c r="A815" s="31"/>
      <c r="B815" s="74" t="b">
        <v>0</v>
      </c>
      <c r="C815" s="198" t="s">
        <v>59</v>
      </c>
      <c r="D815" s="199"/>
      <c r="E815" s="200"/>
      <c r="F815" s="2"/>
    </row>
    <row r="816" spans="1:6" ht="13.8">
      <c r="A816" s="31"/>
      <c r="B816" s="74" t="b">
        <v>0</v>
      </c>
      <c r="C816" s="77"/>
      <c r="D816" s="77"/>
      <c r="E816" s="77"/>
      <c r="F816" s="2"/>
    </row>
    <row r="817" spans="1:6" ht="13.8">
      <c r="A817" s="31">
        <v>76</v>
      </c>
      <c r="B817" s="74" t="b">
        <v>0</v>
      </c>
      <c r="C817" s="73" t="s">
        <v>94</v>
      </c>
      <c r="D817" s="75" t="s">
        <v>59</v>
      </c>
      <c r="E817" s="76"/>
      <c r="F817" s="2"/>
    </row>
    <row r="818" spans="1:6" ht="13.8">
      <c r="A818" s="31"/>
      <c r="B818" s="74" t="b">
        <v>0</v>
      </c>
      <c r="C818" s="73" t="s">
        <v>44</v>
      </c>
      <c r="D818" s="101" t="s">
        <v>59</v>
      </c>
      <c r="E818" s="76"/>
      <c r="F818" s="2"/>
    </row>
    <row r="819" spans="1:6" ht="13.8">
      <c r="A819" s="31"/>
      <c r="B819" s="74" t="b">
        <v>0</v>
      </c>
      <c r="C819" s="73" t="s">
        <v>59</v>
      </c>
      <c r="D819" s="75" t="s">
        <v>59</v>
      </c>
      <c r="E819" s="76"/>
      <c r="F819" s="2"/>
    </row>
    <row r="820" spans="1:6" ht="13.8">
      <c r="A820" s="31"/>
      <c r="B820" s="74" t="b">
        <v>0</v>
      </c>
      <c r="C820" s="73" t="s">
        <v>59</v>
      </c>
      <c r="D820" s="75" t="s">
        <v>59</v>
      </c>
      <c r="E820" s="76"/>
      <c r="F820" s="2"/>
    </row>
    <row r="821" spans="1:6" ht="13.8">
      <c r="A821" s="31"/>
      <c r="B821" s="74" t="b">
        <v>0</v>
      </c>
      <c r="C821" s="73" t="s">
        <v>59</v>
      </c>
      <c r="D821" s="75" t="s">
        <v>59</v>
      </c>
      <c r="E821" s="76"/>
      <c r="F821" s="2"/>
    </row>
    <row r="822" spans="1:6" ht="13.8">
      <c r="A822" s="31"/>
      <c r="B822" s="74" t="b">
        <v>0</v>
      </c>
      <c r="C822" s="73" t="s">
        <v>43</v>
      </c>
      <c r="D822" s="89" t="s">
        <v>59</v>
      </c>
      <c r="E822" s="76"/>
      <c r="F822" s="2"/>
    </row>
    <row r="823" spans="1:6" ht="13.8">
      <c r="A823" s="31"/>
      <c r="B823" s="74" t="b">
        <v>0</v>
      </c>
      <c r="C823" s="195" t="s">
        <v>59</v>
      </c>
      <c r="D823" s="196"/>
      <c r="E823" s="197"/>
      <c r="F823" s="2"/>
    </row>
    <row r="824" spans="1:6" ht="75" customHeight="1">
      <c r="A824" s="31"/>
      <c r="B824" s="74" t="b">
        <v>0</v>
      </c>
      <c r="C824" s="198" t="s">
        <v>59</v>
      </c>
      <c r="D824" s="199"/>
      <c r="E824" s="200"/>
      <c r="F824" s="2"/>
    </row>
    <row r="825" spans="1:6" ht="13.8">
      <c r="A825" s="31"/>
      <c r="B825" s="74" t="b">
        <v>0</v>
      </c>
      <c r="C825" s="77"/>
      <c r="D825" s="77"/>
      <c r="E825" s="77"/>
      <c r="F825" s="2"/>
    </row>
    <row r="826" spans="1:6" ht="13.8">
      <c r="A826" s="31">
        <v>77</v>
      </c>
      <c r="B826" s="74" t="b">
        <v>0</v>
      </c>
      <c r="C826" s="73" t="s">
        <v>94</v>
      </c>
      <c r="D826" s="75" t="s">
        <v>59</v>
      </c>
      <c r="E826" s="76"/>
      <c r="F826" s="2"/>
    </row>
    <row r="827" spans="1:6" ht="13.8">
      <c r="A827" s="31"/>
      <c r="B827" s="74" t="b">
        <v>0</v>
      </c>
      <c r="C827" s="73" t="s">
        <v>44</v>
      </c>
      <c r="D827" s="101" t="s">
        <v>59</v>
      </c>
      <c r="E827" s="76"/>
      <c r="F827" s="2"/>
    </row>
    <row r="828" spans="1:6" ht="13.8">
      <c r="A828" s="31"/>
      <c r="B828" s="74" t="b">
        <v>0</v>
      </c>
      <c r="C828" s="73" t="s">
        <v>59</v>
      </c>
      <c r="D828" s="75" t="s">
        <v>59</v>
      </c>
      <c r="E828" s="76"/>
      <c r="F828" s="2"/>
    </row>
    <row r="829" spans="1:6" ht="13.8">
      <c r="A829" s="31"/>
      <c r="B829" s="74" t="b">
        <v>0</v>
      </c>
      <c r="C829" s="73" t="s">
        <v>59</v>
      </c>
      <c r="D829" s="75" t="s">
        <v>59</v>
      </c>
      <c r="E829" s="76"/>
      <c r="F829" s="2"/>
    </row>
    <row r="830" spans="1:6" ht="13.8">
      <c r="A830" s="31"/>
      <c r="B830" s="74" t="b">
        <v>0</v>
      </c>
      <c r="C830" s="73" t="s">
        <v>59</v>
      </c>
      <c r="D830" s="75" t="s">
        <v>59</v>
      </c>
      <c r="E830" s="76"/>
      <c r="F830" s="2"/>
    </row>
    <row r="831" spans="1:6" ht="13.8">
      <c r="A831" s="31"/>
      <c r="B831" s="74" t="b">
        <v>0</v>
      </c>
      <c r="C831" s="73" t="s">
        <v>43</v>
      </c>
      <c r="D831" s="89" t="s">
        <v>59</v>
      </c>
      <c r="E831" s="76"/>
      <c r="F831" s="2"/>
    </row>
    <row r="832" spans="1:6" ht="13.8">
      <c r="A832" s="31"/>
      <c r="B832" s="74" t="b">
        <v>0</v>
      </c>
      <c r="C832" s="195" t="s">
        <v>59</v>
      </c>
      <c r="D832" s="196"/>
      <c r="E832" s="197"/>
      <c r="F832" s="2"/>
    </row>
    <row r="833" spans="1:6" ht="75" customHeight="1">
      <c r="A833" s="31"/>
      <c r="B833" s="74" t="b">
        <v>0</v>
      </c>
      <c r="C833" s="198" t="s">
        <v>59</v>
      </c>
      <c r="D833" s="199"/>
      <c r="E833" s="200"/>
      <c r="F833" s="2"/>
    </row>
    <row r="834" spans="1:6" ht="13.8">
      <c r="A834" s="31"/>
      <c r="B834" s="74" t="b">
        <v>0</v>
      </c>
      <c r="C834" s="77"/>
      <c r="D834" s="77"/>
      <c r="E834" s="77"/>
      <c r="F834" s="2"/>
    </row>
    <row r="835" spans="1:6" ht="13.8">
      <c r="A835" s="31">
        <v>78</v>
      </c>
      <c r="B835" s="74" t="b">
        <v>0</v>
      </c>
      <c r="C835" s="73" t="s">
        <v>94</v>
      </c>
      <c r="D835" s="75" t="s">
        <v>59</v>
      </c>
      <c r="E835" s="76"/>
      <c r="F835" s="2"/>
    </row>
    <row r="836" spans="1:6" ht="13.8">
      <c r="A836" s="31"/>
      <c r="B836" s="74" t="b">
        <v>0</v>
      </c>
      <c r="C836" s="73" t="s">
        <v>44</v>
      </c>
      <c r="D836" s="101" t="s">
        <v>59</v>
      </c>
      <c r="E836" s="76"/>
      <c r="F836" s="2"/>
    </row>
    <row r="837" spans="1:6" ht="13.8">
      <c r="A837" s="31"/>
      <c r="B837" s="74" t="b">
        <v>0</v>
      </c>
      <c r="C837" s="73" t="s">
        <v>59</v>
      </c>
      <c r="D837" s="75" t="s">
        <v>59</v>
      </c>
      <c r="E837" s="76"/>
      <c r="F837" s="2"/>
    </row>
    <row r="838" spans="1:6" ht="13.8">
      <c r="A838" s="31"/>
      <c r="B838" s="74" t="b">
        <v>0</v>
      </c>
      <c r="C838" s="73" t="s">
        <v>59</v>
      </c>
      <c r="D838" s="75" t="s">
        <v>59</v>
      </c>
      <c r="E838" s="76"/>
      <c r="F838" s="2"/>
    </row>
    <row r="839" spans="1:6" ht="13.8">
      <c r="A839" s="31"/>
      <c r="B839" s="74" t="b">
        <v>0</v>
      </c>
      <c r="C839" s="73" t="s">
        <v>59</v>
      </c>
      <c r="D839" s="75" t="s">
        <v>59</v>
      </c>
      <c r="E839" s="76"/>
      <c r="F839" s="2"/>
    </row>
    <row r="840" spans="1:6" ht="13.8">
      <c r="A840" s="31"/>
      <c r="B840" s="74" t="b">
        <v>0</v>
      </c>
      <c r="C840" s="73" t="s">
        <v>43</v>
      </c>
      <c r="D840" s="89" t="s">
        <v>59</v>
      </c>
      <c r="E840" s="76"/>
      <c r="F840" s="2"/>
    </row>
    <row r="841" spans="1:6" ht="13.8">
      <c r="A841" s="31"/>
      <c r="B841" s="74" t="b">
        <v>0</v>
      </c>
      <c r="C841" s="195" t="s">
        <v>59</v>
      </c>
      <c r="D841" s="196"/>
      <c r="E841" s="197"/>
      <c r="F841" s="2"/>
    </row>
    <row r="842" spans="1:6" ht="75" customHeight="1">
      <c r="A842" s="31"/>
      <c r="B842" s="74" t="b">
        <v>0</v>
      </c>
      <c r="C842" s="198" t="s">
        <v>59</v>
      </c>
      <c r="D842" s="199"/>
      <c r="E842" s="200"/>
      <c r="F842" s="2"/>
    </row>
    <row r="843" spans="1:6" ht="13.8">
      <c r="A843" s="31"/>
      <c r="B843" s="74" t="b">
        <v>0</v>
      </c>
      <c r="C843" s="77"/>
      <c r="D843" s="77"/>
      <c r="E843" s="77"/>
      <c r="F843" s="2"/>
    </row>
    <row r="844" spans="1:6" ht="13.8">
      <c r="A844" s="31">
        <v>79</v>
      </c>
      <c r="B844" s="74" t="b">
        <v>0</v>
      </c>
      <c r="C844" s="73" t="s">
        <v>94</v>
      </c>
      <c r="D844" s="75" t="s">
        <v>59</v>
      </c>
      <c r="E844" s="76"/>
      <c r="F844" s="2"/>
    </row>
    <row r="845" spans="1:6" ht="13.8">
      <c r="A845" s="31"/>
      <c r="B845" s="74" t="b">
        <v>0</v>
      </c>
      <c r="C845" s="73" t="s">
        <v>44</v>
      </c>
      <c r="D845" s="101" t="s">
        <v>59</v>
      </c>
      <c r="E845" s="76"/>
      <c r="F845" s="2"/>
    </row>
    <row r="846" spans="1:6" ht="13.8">
      <c r="A846" s="31"/>
      <c r="B846" s="74" t="b">
        <v>0</v>
      </c>
      <c r="C846" s="73" t="s">
        <v>59</v>
      </c>
      <c r="D846" s="75" t="s">
        <v>59</v>
      </c>
      <c r="E846" s="76"/>
      <c r="F846" s="2"/>
    </row>
    <row r="847" spans="1:6" ht="13.8">
      <c r="A847" s="31"/>
      <c r="B847" s="74" t="b">
        <v>0</v>
      </c>
      <c r="C847" s="73" t="s">
        <v>59</v>
      </c>
      <c r="D847" s="75" t="s">
        <v>59</v>
      </c>
      <c r="E847" s="76"/>
      <c r="F847" s="2"/>
    </row>
    <row r="848" spans="1:6" ht="13.8">
      <c r="A848" s="31"/>
      <c r="B848" s="74" t="b">
        <v>0</v>
      </c>
      <c r="C848" s="73" t="s">
        <v>59</v>
      </c>
      <c r="D848" s="75" t="s">
        <v>59</v>
      </c>
      <c r="E848" s="76"/>
      <c r="F848" s="2"/>
    </row>
    <row r="849" spans="1:6" ht="13.8">
      <c r="A849" s="31"/>
      <c r="B849" s="74" t="b">
        <v>0</v>
      </c>
      <c r="C849" s="73" t="s">
        <v>43</v>
      </c>
      <c r="D849" s="89" t="s">
        <v>59</v>
      </c>
      <c r="E849" s="76"/>
      <c r="F849" s="2"/>
    </row>
    <row r="850" spans="1:6" ht="13.8">
      <c r="A850" s="31"/>
      <c r="B850" s="74" t="b">
        <v>0</v>
      </c>
      <c r="C850" s="195" t="s">
        <v>59</v>
      </c>
      <c r="D850" s="196"/>
      <c r="E850" s="197"/>
      <c r="F850" s="2"/>
    </row>
    <row r="851" spans="1:6" ht="75" customHeight="1">
      <c r="A851" s="31"/>
      <c r="B851" s="74" t="b">
        <v>0</v>
      </c>
      <c r="C851" s="198" t="s">
        <v>59</v>
      </c>
      <c r="D851" s="199"/>
      <c r="E851" s="200"/>
      <c r="F851" s="2"/>
    </row>
    <row r="852" spans="1:6" ht="13.8">
      <c r="A852" s="31"/>
      <c r="B852" s="74" t="b">
        <v>0</v>
      </c>
      <c r="C852" s="77"/>
      <c r="D852" s="77"/>
      <c r="E852" s="77"/>
      <c r="F852" s="2"/>
    </row>
    <row r="853" spans="1:6" ht="13.8">
      <c r="A853" s="31">
        <v>80</v>
      </c>
      <c r="B853" s="74" t="b">
        <v>0</v>
      </c>
      <c r="C853" s="73" t="s">
        <v>94</v>
      </c>
      <c r="D853" s="75" t="s">
        <v>59</v>
      </c>
      <c r="E853" s="76"/>
      <c r="F853" s="2"/>
    </row>
    <row r="854" spans="1:6" ht="13.8">
      <c r="A854" s="31"/>
      <c r="B854" s="74" t="b">
        <v>0</v>
      </c>
      <c r="C854" s="73" t="s">
        <v>44</v>
      </c>
      <c r="D854" s="101" t="s">
        <v>59</v>
      </c>
      <c r="E854" s="76"/>
      <c r="F854" s="2"/>
    </row>
    <row r="855" spans="1:6" ht="13.8">
      <c r="A855" s="31"/>
      <c r="B855" s="74" t="b">
        <v>0</v>
      </c>
      <c r="C855" s="73" t="s">
        <v>59</v>
      </c>
      <c r="D855" s="75" t="s">
        <v>59</v>
      </c>
      <c r="E855" s="76"/>
      <c r="F855" s="2"/>
    </row>
    <row r="856" spans="1:6" ht="13.8">
      <c r="A856" s="31"/>
      <c r="B856" s="74" t="b">
        <v>0</v>
      </c>
      <c r="C856" s="73" t="s">
        <v>59</v>
      </c>
      <c r="D856" s="75" t="s">
        <v>59</v>
      </c>
      <c r="E856" s="76"/>
      <c r="F856" s="2"/>
    </row>
    <row r="857" spans="1:6" ht="13.8">
      <c r="A857" s="31"/>
      <c r="B857" s="74" t="b">
        <v>0</v>
      </c>
      <c r="C857" s="73" t="s">
        <v>59</v>
      </c>
      <c r="D857" s="75" t="s">
        <v>59</v>
      </c>
      <c r="E857" s="76"/>
      <c r="F857" s="2"/>
    </row>
    <row r="858" spans="1:6" ht="13.8">
      <c r="A858" s="31"/>
      <c r="B858" s="74" t="b">
        <v>0</v>
      </c>
      <c r="C858" s="73" t="s">
        <v>43</v>
      </c>
      <c r="D858" s="89" t="s">
        <v>59</v>
      </c>
      <c r="E858" s="76"/>
      <c r="F858" s="2"/>
    </row>
    <row r="859" spans="1:6" ht="13.8">
      <c r="A859" s="31"/>
      <c r="B859" s="74" t="b">
        <v>0</v>
      </c>
      <c r="C859" s="195" t="s">
        <v>59</v>
      </c>
      <c r="D859" s="196"/>
      <c r="E859" s="197"/>
      <c r="F859" s="2"/>
    </row>
    <row r="860" spans="1:6" ht="75" customHeight="1">
      <c r="A860" s="31"/>
      <c r="B860" s="74" t="b">
        <v>0</v>
      </c>
      <c r="C860" s="198" t="s">
        <v>59</v>
      </c>
      <c r="D860" s="199"/>
      <c r="E860" s="200"/>
      <c r="F860" s="2"/>
    </row>
    <row r="861" spans="1:6" ht="13.8">
      <c r="A861" s="31"/>
      <c r="B861" s="74" t="b">
        <v>0</v>
      </c>
      <c r="C861" s="77"/>
      <c r="D861" s="77"/>
      <c r="E861" s="77"/>
      <c r="F861" s="2"/>
    </row>
    <row r="862" spans="1:6" ht="13.8">
      <c r="A862" s="31">
        <v>81</v>
      </c>
      <c r="B862" s="74" t="b">
        <v>0</v>
      </c>
      <c r="C862" s="73" t="s">
        <v>94</v>
      </c>
      <c r="D862" s="75" t="s">
        <v>59</v>
      </c>
      <c r="E862" s="76"/>
      <c r="F862" s="2"/>
    </row>
    <row r="863" spans="1:6" ht="13.8">
      <c r="A863" s="31"/>
      <c r="B863" s="74" t="b">
        <v>0</v>
      </c>
      <c r="C863" s="73" t="s">
        <v>44</v>
      </c>
      <c r="D863" s="101" t="s">
        <v>59</v>
      </c>
      <c r="E863" s="76"/>
      <c r="F863" s="2"/>
    </row>
    <row r="864" spans="1:6" ht="13.8">
      <c r="A864" s="31"/>
      <c r="B864" s="74" t="b">
        <v>0</v>
      </c>
      <c r="C864" s="73" t="s">
        <v>59</v>
      </c>
      <c r="D864" s="75" t="s">
        <v>59</v>
      </c>
      <c r="E864" s="76"/>
      <c r="F864" s="2"/>
    </row>
    <row r="865" spans="1:6" ht="13.8">
      <c r="A865" s="31"/>
      <c r="B865" s="74" t="b">
        <v>0</v>
      </c>
      <c r="C865" s="73" t="s">
        <v>59</v>
      </c>
      <c r="D865" s="75" t="s">
        <v>59</v>
      </c>
      <c r="E865" s="76"/>
      <c r="F865" s="2"/>
    </row>
    <row r="866" spans="1:6" ht="13.8">
      <c r="A866" s="31"/>
      <c r="B866" s="74" t="b">
        <v>0</v>
      </c>
      <c r="C866" s="73" t="s">
        <v>59</v>
      </c>
      <c r="D866" s="75" t="s">
        <v>59</v>
      </c>
      <c r="E866" s="76"/>
      <c r="F866" s="2"/>
    </row>
    <row r="867" spans="1:6" ht="13.8">
      <c r="A867" s="31"/>
      <c r="B867" s="74" t="b">
        <v>0</v>
      </c>
      <c r="C867" s="73" t="s">
        <v>43</v>
      </c>
      <c r="D867" s="89" t="s">
        <v>59</v>
      </c>
      <c r="E867" s="76"/>
      <c r="F867" s="2"/>
    </row>
    <row r="868" spans="1:6" ht="13.8">
      <c r="A868" s="31"/>
      <c r="B868" s="74" t="b">
        <v>0</v>
      </c>
      <c r="C868" s="195" t="s">
        <v>59</v>
      </c>
      <c r="D868" s="196"/>
      <c r="E868" s="197"/>
      <c r="F868" s="2"/>
    </row>
    <row r="869" spans="1:6" ht="75" customHeight="1">
      <c r="A869" s="31"/>
      <c r="B869" s="74" t="b">
        <v>0</v>
      </c>
      <c r="C869" s="198" t="s">
        <v>59</v>
      </c>
      <c r="D869" s="199"/>
      <c r="E869" s="200"/>
      <c r="F869" s="2"/>
    </row>
    <row r="870" spans="1:6" ht="13.8">
      <c r="A870" s="31"/>
      <c r="B870" s="74" t="b">
        <v>0</v>
      </c>
      <c r="C870" s="77"/>
      <c r="D870" s="77"/>
      <c r="E870" s="77"/>
      <c r="F870" s="2"/>
    </row>
    <row r="871" spans="1:6" ht="13.8">
      <c r="A871" s="31">
        <v>82</v>
      </c>
      <c r="B871" s="74" t="b">
        <v>0</v>
      </c>
      <c r="C871" s="73" t="s">
        <v>94</v>
      </c>
      <c r="D871" s="75" t="s">
        <v>59</v>
      </c>
      <c r="E871" s="76"/>
      <c r="F871" s="2"/>
    </row>
    <row r="872" spans="1:6" ht="13.8">
      <c r="A872" s="31"/>
      <c r="B872" s="74" t="b">
        <v>0</v>
      </c>
      <c r="C872" s="73" t="s">
        <v>44</v>
      </c>
      <c r="D872" s="101" t="s">
        <v>59</v>
      </c>
      <c r="E872" s="76"/>
      <c r="F872" s="2"/>
    </row>
    <row r="873" spans="1:6" ht="13.8">
      <c r="A873" s="31"/>
      <c r="B873" s="74" t="b">
        <v>0</v>
      </c>
      <c r="C873" s="73" t="s">
        <v>59</v>
      </c>
      <c r="D873" s="75" t="s">
        <v>59</v>
      </c>
      <c r="E873" s="76"/>
      <c r="F873" s="2"/>
    </row>
    <row r="874" spans="1:6" ht="13.8">
      <c r="A874" s="31"/>
      <c r="B874" s="74" t="b">
        <v>0</v>
      </c>
      <c r="C874" s="73" t="s">
        <v>59</v>
      </c>
      <c r="D874" s="75" t="s">
        <v>59</v>
      </c>
      <c r="E874" s="76"/>
      <c r="F874" s="2"/>
    </row>
    <row r="875" spans="1:6" ht="13.8">
      <c r="A875" s="31"/>
      <c r="B875" s="74" t="b">
        <v>0</v>
      </c>
      <c r="C875" s="73" t="s">
        <v>59</v>
      </c>
      <c r="D875" s="75" t="s">
        <v>59</v>
      </c>
      <c r="E875" s="76"/>
      <c r="F875" s="2"/>
    </row>
    <row r="876" spans="1:6" ht="13.8">
      <c r="A876" s="31"/>
      <c r="B876" s="74" t="b">
        <v>0</v>
      </c>
      <c r="C876" s="73" t="s">
        <v>43</v>
      </c>
      <c r="D876" s="89" t="s">
        <v>59</v>
      </c>
      <c r="E876" s="76"/>
      <c r="F876" s="2"/>
    </row>
    <row r="877" spans="1:6" ht="13.8">
      <c r="A877" s="31"/>
      <c r="B877" s="74" t="b">
        <v>0</v>
      </c>
      <c r="C877" s="195" t="s">
        <v>59</v>
      </c>
      <c r="D877" s="196"/>
      <c r="E877" s="197"/>
      <c r="F877" s="2"/>
    </row>
    <row r="878" spans="1:6" ht="75" customHeight="1">
      <c r="A878" s="31"/>
      <c r="B878" s="74" t="b">
        <v>0</v>
      </c>
      <c r="C878" s="198" t="s">
        <v>59</v>
      </c>
      <c r="D878" s="199"/>
      <c r="E878" s="200"/>
      <c r="F878" s="2"/>
    </row>
    <row r="879" spans="1:6" ht="13.8">
      <c r="A879" s="31"/>
      <c r="B879" s="74" t="b">
        <v>0</v>
      </c>
      <c r="C879" s="77"/>
      <c r="D879" s="77"/>
      <c r="E879" s="77"/>
      <c r="F879" s="2"/>
    </row>
    <row r="880" spans="1:6" ht="13.8">
      <c r="A880" s="31">
        <v>83</v>
      </c>
      <c r="B880" s="74" t="b">
        <v>0</v>
      </c>
      <c r="C880" s="73" t="s">
        <v>94</v>
      </c>
      <c r="D880" s="75" t="s">
        <v>59</v>
      </c>
      <c r="E880" s="76"/>
      <c r="F880" s="2"/>
    </row>
    <row r="881" spans="1:6" ht="13.8">
      <c r="A881" s="31"/>
      <c r="B881" s="74" t="b">
        <v>0</v>
      </c>
      <c r="C881" s="73" t="s">
        <v>44</v>
      </c>
      <c r="D881" s="101" t="s">
        <v>59</v>
      </c>
      <c r="E881" s="76"/>
      <c r="F881" s="2"/>
    </row>
    <row r="882" spans="1:6" ht="13.8">
      <c r="A882" s="31"/>
      <c r="B882" s="74" t="b">
        <v>0</v>
      </c>
      <c r="C882" s="73" t="s">
        <v>59</v>
      </c>
      <c r="D882" s="75" t="s">
        <v>59</v>
      </c>
      <c r="E882" s="76"/>
      <c r="F882" s="2"/>
    </row>
    <row r="883" spans="1:6" ht="13.8">
      <c r="A883" s="31"/>
      <c r="B883" s="74" t="b">
        <v>0</v>
      </c>
      <c r="C883" s="73" t="s">
        <v>59</v>
      </c>
      <c r="D883" s="75" t="s">
        <v>59</v>
      </c>
      <c r="E883" s="76"/>
      <c r="F883" s="2"/>
    </row>
    <row r="884" spans="1:6" ht="13.8">
      <c r="A884" s="31"/>
      <c r="B884" s="74" t="b">
        <v>0</v>
      </c>
      <c r="C884" s="73" t="s">
        <v>59</v>
      </c>
      <c r="D884" s="75" t="s">
        <v>59</v>
      </c>
      <c r="E884" s="76"/>
      <c r="F884" s="2"/>
    </row>
    <row r="885" spans="1:6" ht="13.8">
      <c r="A885" s="31"/>
      <c r="B885" s="74" t="b">
        <v>0</v>
      </c>
      <c r="C885" s="73" t="s">
        <v>43</v>
      </c>
      <c r="D885" s="89" t="s">
        <v>59</v>
      </c>
      <c r="E885" s="76"/>
      <c r="F885" s="2"/>
    </row>
    <row r="886" spans="1:6" ht="13.8">
      <c r="A886" s="31"/>
      <c r="B886" s="74" t="b">
        <v>0</v>
      </c>
      <c r="C886" s="195" t="s">
        <v>59</v>
      </c>
      <c r="D886" s="196"/>
      <c r="E886" s="197"/>
      <c r="F886" s="2"/>
    </row>
    <row r="887" spans="1:6" ht="75" customHeight="1">
      <c r="A887" s="31"/>
      <c r="B887" s="74" t="b">
        <v>0</v>
      </c>
      <c r="C887" s="198" t="s">
        <v>59</v>
      </c>
      <c r="D887" s="199"/>
      <c r="E887" s="200"/>
      <c r="F887" s="2"/>
    </row>
    <row r="888" spans="1:6" ht="13.8">
      <c r="A888" s="31"/>
      <c r="B888" s="74" t="b">
        <v>0</v>
      </c>
      <c r="C888" s="77"/>
      <c r="D888" s="77"/>
      <c r="E888" s="77"/>
      <c r="F888" s="2"/>
    </row>
    <row r="889" spans="1:6" ht="13.8">
      <c r="A889" s="31">
        <v>84</v>
      </c>
      <c r="B889" s="74" t="b">
        <v>0</v>
      </c>
      <c r="C889" s="73" t="s">
        <v>94</v>
      </c>
      <c r="D889" s="75" t="s">
        <v>59</v>
      </c>
      <c r="E889" s="76"/>
      <c r="F889" s="2"/>
    </row>
    <row r="890" spans="1:6" ht="13.8">
      <c r="A890" s="31"/>
      <c r="B890" s="74" t="b">
        <v>0</v>
      </c>
      <c r="C890" s="73" t="s">
        <v>44</v>
      </c>
      <c r="D890" s="101" t="s">
        <v>59</v>
      </c>
      <c r="E890" s="76"/>
      <c r="F890" s="2"/>
    </row>
    <row r="891" spans="1:6" ht="13.8">
      <c r="A891" s="31"/>
      <c r="B891" s="74" t="b">
        <v>0</v>
      </c>
      <c r="C891" s="73" t="s">
        <v>59</v>
      </c>
      <c r="D891" s="75" t="s">
        <v>59</v>
      </c>
      <c r="E891" s="76"/>
      <c r="F891" s="2"/>
    </row>
    <row r="892" spans="1:6" ht="13.8">
      <c r="A892" s="31"/>
      <c r="B892" s="74" t="b">
        <v>0</v>
      </c>
      <c r="C892" s="73" t="s">
        <v>59</v>
      </c>
      <c r="D892" s="75" t="s">
        <v>59</v>
      </c>
      <c r="E892" s="76"/>
      <c r="F892" s="2"/>
    </row>
    <row r="893" spans="1:6" ht="13.8">
      <c r="A893" s="31"/>
      <c r="B893" s="74" t="b">
        <v>0</v>
      </c>
      <c r="C893" s="73" t="s">
        <v>59</v>
      </c>
      <c r="D893" s="75" t="s">
        <v>59</v>
      </c>
      <c r="E893" s="76"/>
      <c r="F893" s="2"/>
    </row>
    <row r="894" spans="1:6" ht="13.8">
      <c r="A894" s="31"/>
      <c r="B894" s="74" t="b">
        <v>0</v>
      </c>
      <c r="C894" s="73" t="s">
        <v>43</v>
      </c>
      <c r="D894" s="89" t="s">
        <v>59</v>
      </c>
      <c r="E894" s="76"/>
      <c r="F894" s="2"/>
    </row>
    <row r="895" spans="1:6" ht="13.8">
      <c r="A895" s="31"/>
      <c r="B895" s="74" t="b">
        <v>0</v>
      </c>
      <c r="C895" s="195" t="s">
        <v>59</v>
      </c>
      <c r="D895" s="196"/>
      <c r="E895" s="197"/>
      <c r="F895" s="2"/>
    </row>
    <row r="896" spans="1:6" ht="75" customHeight="1">
      <c r="A896" s="31"/>
      <c r="B896" s="74" t="b">
        <v>0</v>
      </c>
      <c r="C896" s="198" t="s">
        <v>59</v>
      </c>
      <c r="D896" s="199"/>
      <c r="E896" s="200"/>
      <c r="F896" s="2"/>
    </row>
    <row r="897" spans="1:6" ht="13.8">
      <c r="A897" s="31"/>
      <c r="B897" s="74" t="b">
        <v>0</v>
      </c>
      <c r="C897" s="77"/>
      <c r="D897" s="77"/>
      <c r="E897" s="77"/>
      <c r="F897" s="2"/>
    </row>
    <row r="898" spans="1:6" ht="13.8">
      <c r="A898" s="31">
        <v>85</v>
      </c>
      <c r="B898" s="74" t="b">
        <v>0</v>
      </c>
      <c r="C898" s="73" t="s">
        <v>94</v>
      </c>
      <c r="D898" s="75" t="s">
        <v>59</v>
      </c>
      <c r="E898" s="76"/>
      <c r="F898" s="2"/>
    </row>
    <row r="899" spans="1:6" ht="13.8">
      <c r="A899" s="31"/>
      <c r="B899" s="74" t="b">
        <v>0</v>
      </c>
      <c r="C899" s="73" t="s">
        <v>44</v>
      </c>
      <c r="D899" s="101" t="s">
        <v>59</v>
      </c>
      <c r="E899" s="76"/>
      <c r="F899" s="2"/>
    </row>
    <row r="900" spans="1:6" ht="13.8">
      <c r="A900" s="31"/>
      <c r="B900" s="74" t="b">
        <v>0</v>
      </c>
      <c r="C900" s="73" t="s">
        <v>59</v>
      </c>
      <c r="D900" s="75" t="s">
        <v>59</v>
      </c>
      <c r="E900" s="76"/>
      <c r="F900" s="2"/>
    </row>
    <row r="901" spans="1:6" ht="13.8">
      <c r="A901" s="31"/>
      <c r="B901" s="74" t="b">
        <v>0</v>
      </c>
      <c r="C901" s="73" t="s">
        <v>59</v>
      </c>
      <c r="D901" s="75" t="s">
        <v>59</v>
      </c>
      <c r="E901" s="76"/>
      <c r="F901" s="2"/>
    </row>
    <row r="902" spans="1:6" ht="13.8">
      <c r="A902" s="31"/>
      <c r="B902" s="74" t="b">
        <v>0</v>
      </c>
      <c r="C902" s="73" t="s">
        <v>59</v>
      </c>
      <c r="D902" s="75" t="s">
        <v>59</v>
      </c>
      <c r="E902" s="76"/>
      <c r="F902" s="2"/>
    </row>
    <row r="903" spans="1:6" ht="13.8">
      <c r="A903" s="31"/>
      <c r="B903" s="74" t="b">
        <v>0</v>
      </c>
      <c r="C903" s="73" t="s">
        <v>43</v>
      </c>
      <c r="D903" s="89" t="s">
        <v>59</v>
      </c>
      <c r="E903" s="76"/>
      <c r="F903" s="2"/>
    </row>
    <row r="904" spans="1:6" ht="13.8">
      <c r="A904" s="31"/>
      <c r="B904" s="74" t="b">
        <v>0</v>
      </c>
      <c r="C904" s="195" t="s">
        <v>59</v>
      </c>
      <c r="D904" s="196"/>
      <c r="E904" s="197"/>
      <c r="F904" s="2"/>
    </row>
    <row r="905" spans="1:6" ht="75" customHeight="1">
      <c r="A905" s="31"/>
      <c r="B905" s="74" t="b">
        <v>0</v>
      </c>
      <c r="C905" s="198" t="s">
        <v>59</v>
      </c>
      <c r="D905" s="199"/>
      <c r="E905" s="200"/>
      <c r="F905" s="2"/>
    </row>
    <row r="906" spans="1:6" ht="13.8">
      <c r="A906" s="31"/>
      <c r="B906" s="74" t="b">
        <v>0</v>
      </c>
      <c r="C906" s="77"/>
      <c r="D906" s="77"/>
      <c r="E906" s="77"/>
      <c r="F906" s="2"/>
    </row>
    <row r="907" spans="1:6" ht="13.8">
      <c r="A907" s="31">
        <v>86</v>
      </c>
      <c r="B907" s="74" t="b">
        <v>0</v>
      </c>
      <c r="C907" s="73" t="s">
        <v>94</v>
      </c>
      <c r="D907" s="75" t="s">
        <v>59</v>
      </c>
      <c r="E907" s="76"/>
      <c r="F907" s="2"/>
    </row>
    <row r="908" spans="1:6" ht="13.8">
      <c r="A908" s="31"/>
      <c r="B908" s="74" t="b">
        <v>0</v>
      </c>
      <c r="C908" s="73" t="s">
        <v>44</v>
      </c>
      <c r="D908" s="101" t="s">
        <v>59</v>
      </c>
      <c r="E908" s="76"/>
      <c r="F908" s="2"/>
    </row>
    <row r="909" spans="1:6" ht="13.8">
      <c r="A909" s="31"/>
      <c r="B909" s="74" t="b">
        <v>0</v>
      </c>
      <c r="C909" s="73" t="s">
        <v>59</v>
      </c>
      <c r="D909" s="75" t="s">
        <v>59</v>
      </c>
      <c r="E909" s="76"/>
      <c r="F909" s="2"/>
    </row>
    <row r="910" spans="1:6" ht="13.8">
      <c r="A910" s="31"/>
      <c r="B910" s="74" t="b">
        <v>0</v>
      </c>
      <c r="C910" s="73" t="s">
        <v>59</v>
      </c>
      <c r="D910" s="75" t="s">
        <v>59</v>
      </c>
      <c r="E910" s="76"/>
      <c r="F910" s="2"/>
    </row>
    <row r="911" spans="1:6" ht="13.8">
      <c r="A911" s="31"/>
      <c r="B911" s="74" t="b">
        <v>0</v>
      </c>
      <c r="C911" s="73" t="s">
        <v>59</v>
      </c>
      <c r="D911" s="75" t="s">
        <v>59</v>
      </c>
      <c r="E911" s="76"/>
      <c r="F911" s="2"/>
    </row>
    <row r="912" spans="1:6" ht="13.8">
      <c r="A912" s="31"/>
      <c r="B912" s="74" t="b">
        <v>0</v>
      </c>
      <c r="C912" s="73" t="s">
        <v>43</v>
      </c>
      <c r="D912" s="89" t="s">
        <v>59</v>
      </c>
      <c r="E912" s="76"/>
      <c r="F912" s="2"/>
    </row>
    <row r="913" spans="1:6" ht="13.8">
      <c r="A913" s="31"/>
      <c r="B913" s="74" t="b">
        <v>0</v>
      </c>
      <c r="C913" s="195" t="s">
        <v>59</v>
      </c>
      <c r="D913" s="196"/>
      <c r="E913" s="197"/>
      <c r="F913" s="2"/>
    </row>
    <row r="914" spans="1:6" ht="75" customHeight="1">
      <c r="A914" s="31"/>
      <c r="B914" s="74" t="b">
        <v>0</v>
      </c>
      <c r="C914" s="198" t="s">
        <v>59</v>
      </c>
      <c r="D914" s="199"/>
      <c r="E914" s="200"/>
      <c r="F914" s="2"/>
    </row>
    <row r="915" spans="1:6" ht="13.8">
      <c r="A915" s="31"/>
      <c r="B915" s="74" t="b">
        <v>0</v>
      </c>
      <c r="C915" s="77"/>
      <c r="D915" s="77"/>
      <c r="E915" s="77"/>
      <c r="F915" s="2"/>
    </row>
    <row r="916" spans="1:6" ht="13.8">
      <c r="A916" s="31">
        <v>87</v>
      </c>
      <c r="B916" s="74" t="b">
        <v>0</v>
      </c>
      <c r="C916" s="73" t="s">
        <v>94</v>
      </c>
      <c r="D916" s="75" t="s">
        <v>59</v>
      </c>
      <c r="E916" s="76"/>
      <c r="F916" s="2"/>
    </row>
    <row r="917" spans="1:6" ht="13.8">
      <c r="A917" s="31"/>
      <c r="B917" s="74" t="b">
        <v>0</v>
      </c>
      <c r="C917" s="73" t="s">
        <v>44</v>
      </c>
      <c r="D917" s="101" t="s">
        <v>59</v>
      </c>
      <c r="E917" s="76"/>
      <c r="F917" s="2"/>
    </row>
    <row r="918" spans="1:6" ht="13.8">
      <c r="A918" s="31"/>
      <c r="B918" s="74" t="b">
        <v>0</v>
      </c>
      <c r="C918" s="73" t="s">
        <v>59</v>
      </c>
      <c r="D918" s="75" t="s">
        <v>59</v>
      </c>
      <c r="E918" s="76"/>
      <c r="F918" s="2"/>
    </row>
    <row r="919" spans="1:6" ht="13.8">
      <c r="A919" s="31"/>
      <c r="B919" s="74" t="b">
        <v>0</v>
      </c>
      <c r="C919" s="73" t="s">
        <v>59</v>
      </c>
      <c r="D919" s="75" t="s">
        <v>59</v>
      </c>
      <c r="E919" s="76"/>
      <c r="F919" s="2"/>
    </row>
    <row r="920" spans="1:6" ht="13.8">
      <c r="A920" s="31"/>
      <c r="B920" s="74" t="b">
        <v>0</v>
      </c>
      <c r="C920" s="73" t="s">
        <v>59</v>
      </c>
      <c r="D920" s="75" t="s">
        <v>59</v>
      </c>
      <c r="E920" s="76"/>
      <c r="F920" s="2"/>
    </row>
    <row r="921" spans="1:6" ht="13.8">
      <c r="A921" s="31"/>
      <c r="B921" s="74" t="b">
        <v>0</v>
      </c>
      <c r="C921" s="73" t="s">
        <v>43</v>
      </c>
      <c r="D921" s="89" t="s">
        <v>59</v>
      </c>
      <c r="E921" s="76"/>
      <c r="F921" s="2"/>
    </row>
    <row r="922" spans="1:6" ht="13.8">
      <c r="A922" s="31"/>
      <c r="B922" s="74" t="b">
        <v>0</v>
      </c>
      <c r="C922" s="195" t="s">
        <v>59</v>
      </c>
      <c r="D922" s="196"/>
      <c r="E922" s="197"/>
      <c r="F922" s="2"/>
    </row>
    <row r="923" spans="1:6" ht="75" customHeight="1">
      <c r="A923" s="31"/>
      <c r="B923" s="74" t="b">
        <v>0</v>
      </c>
      <c r="C923" s="198" t="s">
        <v>59</v>
      </c>
      <c r="D923" s="199"/>
      <c r="E923" s="200"/>
      <c r="F923" s="2"/>
    </row>
    <row r="924" spans="1:6" ht="13.8">
      <c r="A924" s="31"/>
      <c r="B924" s="74" t="b">
        <v>0</v>
      </c>
      <c r="C924" s="77"/>
      <c r="D924" s="77"/>
      <c r="E924" s="77"/>
      <c r="F924" s="2"/>
    </row>
    <row r="925" spans="1:6" ht="13.8">
      <c r="A925" s="31">
        <v>88</v>
      </c>
      <c r="B925" s="74" t="b">
        <v>0</v>
      </c>
      <c r="C925" s="73" t="s">
        <v>94</v>
      </c>
      <c r="D925" s="75" t="s">
        <v>59</v>
      </c>
      <c r="E925" s="76"/>
      <c r="F925" s="2"/>
    </row>
    <row r="926" spans="1:6" ht="13.8">
      <c r="A926" s="31"/>
      <c r="B926" s="74" t="b">
        <v>0</v>
      </c>
      <c r="C926" s="73" t="s">
        <v>44</v>
      </c>
      <c r="D926" s="101" t="s">
        <v>59</v>
      </c>
      <c r="E926" s="76"/>
      <c r="F926" s="2"/>
    </row>
    <row r="927" spans="1:6" ht="13.8">
      <c r="A927" s="31"/>
      <c r="B927" s="74" t="b">
        <v>0</v>
      </c>
      <c r="C927" s="73" t="s">
        <v>59</v>
      </c>
      <c r="D927" s="75" t="s">
        <v>59</v>
      </c>
      <c r="E927" s="76"/>
      <c r="F927" s="2"/>
    </row>
    <row r="928" spans="1:6" ht="13.8">
      <c r="A928" s="31"/>
      <c r="B928" s="74" t="b">
        <v>0</v>
      </c>
      <c r="C928" s="73" t="s">
        <v>59</v>
      </c>
      <c r="D928" s="75" t="s">
        <v>59</v>
      </c>
      <c r="E928" s="76"/>
      <c r="F928" s="2"/>
    </row>
    <row r="929" spans="1:6" ht="13.8">
      <c r="A929" s="31"/>
      <c r="B929" s="74" t="b">
        <v>0</v>
      </c>
      <c r="C929" s="73" t="s">
        <v>59</v>
      </c>
      <c r="D929" s="75" t="s">
        <v>59</v>
      </c>
      <c r="E929" s="76"/>
      <c r="F929" s="2"/>
    </row>
    <row r="930" spans="1:6" ht="13.8">
      <c r="A930" s="31"/>
      <c r="B930" s="74" t="b">
        <v>0</v>
      </c>
      <c r="C930" s="73" t="s">
        <v>43</v>
      </c>
      <c r="D930" s="89" t="s">
        <v>59</v>
      </c>
      <c r="E930" s="76"/>
      <c r="F930" s="2"/>
    </row>
    <row r="931" spans="1:6" ht="13.8">
      <c r="A931" s="31"/>
      <c r="B931" s="74" t="b">
        <v>0</v>
      </c>
      <c r="C931" s="195" t="s">
        <v>59</v>
      </c>
      <c r="D931" s="196"/>
      <c r="E931" s="197"/>
      <c r="F931" s="2"/>
    </row>
    <row r="932" spans="1:6" ht="75" customHeight="1">
      <c r="A932" s="31"/>
      <c r="B932" s="74" t="b">
        <v>0</v>
      </c>
      <c r="C932" s="198" t="s">
        <v>59</v>
      </c>
      <c r="D932" s="199"/>
      <c r="E932" s="200"/>
      <c r="F932" s="2"/>
    </row>
    <row r="933" spans="1:6" ht="13.8">
      <c r="A933" s="31"/>
      <c r="B933" s="74" t="b">
        <v>0</v>
      </c>
      <c r="C933" s="77"/>
      <c r="D933" s="77"/>
      <c r="E933" s="77"/>
      <c r="F933" s="2"/>
    </row>
    <row r="934" spans="1:6" ht="13.8">
      <c r="A934" s="31">
        <v>89</v>
      </c>
      <c r="B934" s="74" t="b">
        <v>0</v>
      </c>
      <c r="C934" s="73" t="s">
        <v>94</v>
      </c>
      <c r="D934" s="75" t="s">
        <v>59</v>
      </c>
      <c r="E934" s="76"/>
      <c r="F934" s="2"/>
    </row>
    <row r="935" spans="1:6" ht="13.8">
      <c r="A935" s="31"/>
      <c r="B935" s="74" t="b">
        <v>0</v>
      </c>
      <c r="C935" s="73" t="s">
        <v>44</v>
      </c>
      <c r="D935" s="101" t="s">
        <v>59</v>
      </c>
      <c r="E935" s="76"/>
      <c r="F935" s="2"/>
    </row>
    <row r="936" spans="1:6" ht="13.8">
      <c r="A936" s="31"/>
      <c r="B936" s="74" t="b">
        <v>0</v>
      </c>
      <c r="C936" s="73" t="s">
        <v>59</v>
      </c>
      <c r="D936" s="75" t="s">
        <v>59</v>
      </c>
      <c r="E936" s="76"/>
      <c r="F936" s="2"/>
    </row>
    <row r="937" spans="1:6" ht="13.8">
      <c r="A937" s="31"/>
      <c r="B937" s="74" t="b">
        <v>0</v>
      </c>
      <c r="C937" s="73" t="s">
        <v>59</v>
      </c>
      <c r="D937" s="75" t="s">
        <v>59</v>
      </c>
      <c r="E937" s="76"/>
      <c r="F937" s="2"/>
    </row>
    <row r="938" spans="1:6" ht="13.8">
      <c r="A938" s="31"/>
      <c r="B938" s="74" t="b">
        <v>0</v>
      </c>
      <c r="C938" s="73" t="s">
        <v>59</v>
      </c>
      <c r="D938" s="75" t="s">
        <v>59</v>
      </c>
      <c r="E938" s="76"/>
      <c r="F938" s="2"/>
    </row>
    <row r="939" spans="1:6" ht="13.8">
      <c r="A939" s="31"/>
      <c r="B939" s="74" t="b">
        <v>0</v>
      </c>
      <c r="C939" s="73" t="s">
        <v>43</v>
      </c>
      <c r="D939" s="89" t="s">
        <v>59</v>
      </c>
      <c r="E939" s="76"/>
      <c r="F939" s="2"/>
    </row>
    <row r="940" spans="1:6" ht="13.8">
      <c r="A940" s="31"/>
      <c r="B940" s="74" t="b">
        <v>0</v>
      </c>
      <c r="C940" s="195" t="s">
        <v>59</v>
      </c>
      <c r="D940" s="196"/>
      <c r="E940" s="197"/>
      <c r="F940" s="2"/>
    </row>
    <row r="941" spans="1:6" ht="75" customHeight="1">
      <c r="A941" s="31"/>
      <c r="B941" s="74" t="b">
        <v>0</v>
      </c>
      <c r="C941" s="198" t="s">
        <v>59</v>
      </c>
      <c r="D941" s="199"/>
      <c r="E941" s="200"/>
      <c r="F941" s="2"/>
    </row>
    <row r="942" spans="1:6" ht="13.8">
      <c r="A942" s="31"/>
      <c r="B942" s="74" t="b">
        <v>0</v>
      </c>
      <c r="C942" s="77"/>
      <c r="D942" s="77"/>
      <c r="E942" s="77"/>
      <c r="F942" s="2"/>
    </row>
    <row r="943" spans="1:6" ht="13.8">
      <c r="A943" s="31">
        <v>90</v>
      </c>
      <c r="B943" s="74" t="b">
        <v>0</v>
      </c>
      <c r="C943" s="73" t="s">
        <v>94</v>
      </c>
      <c r="D943" s="75" t="s">
        <v>59</v>
      </c>
      <c r="E943" s="76"/>
      <c r="F943" s="2"/>
    </row>
    <row r="944" spans="1:6" ht="13.8">
      <c r="A944" s="31"/>
      <c r="B944" s="74" t="b">
        <v>0</v>
      </c>
      <c r="C944" s="73" t="s">
        <v>44</v>
      </c>
      <c r="D944" s="101" t="s">
        <v>59</v>
      </c>
      <c r="E944" s="76"/>
      <c r="F944" s="2"/>
    </row>
    <row r="945" spans="1:6" ht="13.8">
      <c r="A945" s="31"/>
      <c r="B945" s="74" t="b">
        <v>0</v>
      </c>
      <c r="C945" s="73" t="s">
        <v>59</v>
      </c>
      <c r="D945" s="75" t="s">
        <v>59</v>
      </c>
      <c r="E945" s="76"/>
      <c r="F945" s="2"/>
    </row>
    <row r="946" spans="1:6" ht="13.8">
      <c r="A946" s="31"/>
      <c r="B946" s="74" t="b">
        <v>0</v>
      </c>
      <c r="C946" s="73" t="s">
        <v>59</v>
      </c>
      <c r="D946" s="75" t="s">
        <v>59</v>
      </c>
      <c r="E946" s="76"/>
      <c r="F946" s="2"/>
    </row>
    <row r="947" spans="1:6" ht="13.8">
      <c r="A947" s="31"/>
      <c r="B947" s="74" t="b">
        <v>0</v>
      </c>
      <c r="C947" s="73" t="s">
        <v>59</v>
      </c>
      <c r="D947" s="75" t="s">
        <v>59</v>
      </c>
      <c r="E947" s="76"/>
      <c r="F947" s="2"/>
    </row>
    <row r="948" spans="1:6" ht="13.8">
      <c r="A948" s="31"/>
      <c r="B948" s="74" t="b">
        <v>0</v>
      </c>
      <c r="C948" s="73" t="s">
        <v>43</v>
      </c>
      <c r="D948" s="89" t="s">
        <v>59</v>
      </c>
      <c r="E948" s="76"/>
      <c r="F948" s="2"/>
    </row>
    <row r="949" spans="1:6" ht="13.8">
      <c r="A949" s="31"/>
      <c r="B949" s="74" t="b">
        <v>0</v>
      </c>
      <c r="C949" s="195" t="s">
        <v>59</v>
      </c>
      <c r="D949" s="196"/>
      <c r="E949" s="197"/>
      <c r="F949" s="2"/>
    </row>
    <row r="950" spans="1:6" ht="75" customHeight="1">
      <c r="A950" s="31"/>
      <c r="B950" s="74" t="b">
        <v>0</v>
      </c>
      <c r="C950" s="198" t="s">
        <v>59</v>
      </c>
      <c r="D950" s="199"/>
      <c r="E950" s="200"/>
      <c r="F950" s="2"/>
    </row>
    <row r="951" spans="1:6" ht="13.8">
      <c r="A951" s="31"/>
      <c r="B951" s="74" t="b">
        <v>0</v>
      </c>
      <c r="C951" s="77"/>
      <c r="D951" s="77"/>
      <c r="E951" s="77"/>
      <c r="F951" s="2"/>
    </row>
    <row r="952" spans="1:6" ht="13.8">
      <c r="A952" s="31">
        <v>91</v>
      </c>
      <c r="B952" s="74" t="b">
        <v>0</v>
      </c>
      <c r="C952" s="73" t="s">
        <v>94</v>
      </c>
      <c r="D952" s="75" t="s">
        <v>59</v>
      </c>
      <c r="E952" s="76"/>
      <c r="F952" s="2"/>
    </row>
    <row r="953" spans="1:6" ht="13.8">
      <c r="A953" s="31"/>
      <c r="B953" s="74" t="b">
        <v>0</v>
      </c>
      <c r="C953" s="73" t="s">
        <v>44</v>
      </c>
      <c r="D953" s="101" t="s">
        <v>59</v>
      </c>
      <c r="E953" s="76"/>
      <c r="F953" s="2"/>
    </row>
    <row r="954" spans="1:6" ht="13.8">
      <c r="A954" s="31"/>
      <c r="B954" s="74" t="b">
        <v>0</v>
      </c>
      <c r="C954" s="73" t="s">
        <v>59</v>
      </c>
      <c r="D954" s="75" t="s">
        <v>59</v>
      </c>
      <c r="E954" s="76"/>
      <c r="F954" s="2"/>
    </row>
    <row r="955" spans="1:6" ht="13.8">
      <c r="A955" s="31"/>
      <c r="B955" s="74" t="b">
        <v>0</v>
      </c>
      <c r="C955" s="73" t="s">
        <v>59</v>
      </c>
      <c r="D955" s="75" t="s">
        <v>59</v>
      </c>
      <c r="E955" s="76"/>
      <c r="F955" s="2"/>
    </row>
    <row r="956" spans="1:6" ht="13.8">
      <c r="A956" s="31"/>
      <c r="B956" s="74" t="b">
        <v>0</v>
      </c>
      <c r="C956" s="73" t="s">
        <v>59</v>
      </c>
      <c r="D956" s="75" t="s">
        <v>59</v>
      </c>
      <c r="E956" s="76"/>
      <c r="F956" s="2"/>
    </row>
    <row r="957" spans="1:6" ht="13.8">
      <c r="A957" s="31"/>
      <c r="B957" s="74" t="b">
        <v>0</v>
      </c>
      <c r="C957" s="73" t="s">
        <v>43</v>
      </c>
      <c r="D957" s="89" t="s">
        <v>59</v>
      </c>
      <c r="E957" s="76"/>
      <c r="F957" s="2"/>
    </row>
    <row r="958" spans="1:6" ht="13.8">
      <c r="A958" s="31"/>
      <c r="B958" s="74" t="b">
        <v>0</v>
      </c>
      <c r="C958" s="195" t="s">
        <v>59</v>
      </c>
      <c r="D958" s="196"/>
      <c r="E958" s="197"/>
      <c r="F958" s="2"/>
    </row>
    <row r="959" spans="1:6" ht="75" customHeight="1">
      <c r="A959" s="31"/>
      <c r="B959" s="74" t="b">
        <v>0</v>
      </c>
      <c r="C959" s="198" t="s">
        <v>59</v>
      </c>
      <c r="D959" s="199"/>
      <c r="E959" s="200"/>
      <c r="F959" s="2"/>
    </row>
    <row r="960" spans="1:6" ht="13.8">
      <c r="A960" s="31"/>
      <c r="B960" s="74" t="b">
        <v>0</v>
      </c>
      <c r="C960" s="77"/>
      <c r="D960" s="77"/>
      <c r="E960" s="77"/>
      <c r="F960" s="2"/>
    </row>
    <row r="961" spans="1:6" ht="13.8">
      <c r="A961" s="31">
        <v>92</v>
      </c>
      <c r="B961" s="74" t="b">
        <v>0</v>
      </c>
      <c r="C961" s="73" t="s">
        <v>94</v>
      </c>
      <c r="D961" s="75" t="s">
        <v>59</v>
      </c>
      <c r="E961" s="76"/>
      <c r="F961" s="2"/>
    </row>
    <row r="962" spans="1:6" ht="13.8">
      <c r="A962" s="31"/>
      <c r="B962" s="74" t="b">
        <v>0</v>
      </c>
      <c r="C962" s="73" t="s">
        <v>44</v>
      </c>
      <c r="D962" s="101" t="s">
        <v>59</v>
      </c>
      <c r="E962" s="76"/>
      <c r="F962" s="2"/>
    </row>
    <row r="963" spans="1:6" ht="13.8">
      <c r="A963" s="31"/>
      <c r="B963" s="74" t="b">
        <v>0</v>
      </c>
      <c r="C963" s="73" t="s">
        <v>59</v>
      </c>
      <c r="D963" s="75" t="s">
        <v>59</v>
      </c>
      <c r="E963" s="76"/>
      <c r="F963" s="2"/>
    </row>
    <row r="964" spans="1:6" ht="13.8">
      <c r="A964" s="31"/>
      <c r="B964" s="74" t="b">
        <v>0</v>
      </c>
      <c r="C964" s="73" t="s">
        <v>59</v>
      </c>
      <c r="D964" s="75" t="s">
        <v>59</v>
      </c>
      <c r="E964" s="76"/>
      <c r="F964" s="2"/>
    </row>
    <row r="965" spans="1:6" ht="13.8">
      <c r="A965" s="31"/>
      <c r="B965" s="74" t="b">
        <v>0</v>
      </c>
      <c r="C965" s="73" t="s">
        <v>59</v>
      </c>
      <c r="D965" s="75" t="s">
        <v>59</v>
      </c>
      <c r="E965" s="76"/>
      <c r="F965" s="2"/>
    </row>
    <row r="966" spans="1:6" ht="13.8">
      <c r="A966" s="31"/>
      <c r="B966" s="74" t="b">
        <v>0</v>
      </c>
      <c r="C966" s="73" t="s">
        <v>43</v>
      </c>
      <c r="D966" s="89" t="s">
        <v>59</v>
      </c>
      <c r="E966" s="76"/>
      <c r="F966" s="2"/>
    </row>
    <row r="967" spans="1:6" ht="13.8">
      <c r="A967" s="31"/>
      <c r="B967" s="74" t="b">
        <v>0</v>
      </c>
      <c r="C967" s="195" t="s">
        <v>59</v>
      </c>
      <c r="D967" s="196"/>
      <c r="E967" s="197"/>
      <c r="F967" s="2"/>
    </row>
    <row r="968" spans="1:6" ht="75" customHeight="1">
      <c r="A968" s="31"/>
      <c r="B968" s="74" t="b">
        <v>0</v>
      </c>
      <c r="C968" s="198" t="s">
        <v>59</v>
      </c>
      <c r="D968" s="199"/>
      <c r="E968" s="200"/>
      <c r="F968" s="2"/>
    </row>
    <row r="969" spans="1:6" ht="13.8">
      <c r="A969" s="31"/>
      <c r="B969" s="74" t="b">
        <v>0</v>
      </c>
      <c r="C969" s="77"/>
      <c r="D969" s="77"/>
      <c r="E969" s="77"/>
      <c r="F969" s="2"/>
    </row>
    <row r="970" spans="1:6" ht="13.8">
      <c r="A970" s="31">
        <v>93</v>
      </c>
      <c r="B970" s="74" t="b">
        <v>0</v>
      </c>
      <c r="C970" s="73" t="s">
        <v>94</v>
      </c>
      <c r="D970" s="75" t="s">
        <v>59</v>
      </c>
      <c r="E970" s="76"/>
      <c r="F970" s="2"/>
    </row>
    <row r="971" spans="1:6" ht="13.8">
      <c r="A971" s="31"/>
      <c r="B971" s="74" t="b">
        <v>0</v>
      </c>
      <c r="C971" s="73" t="s">
        <v>44</v>
      </c>
      <c r="D971" s="101" t="s">
        <v>59</v>
      </c>
      <c r="E971" s="76"/>
      <c r="F971" s="2"/>
    </row>
    <row r="972" spans="1:6" ht="13.8">
      <c r="A972" s="31"/>
      <c r="B972" s="74" t="b">
        <v>0</v>
      </c>
      <c r="C972" s="73" t="s">
        <v>59</v>
      </c>
      <c r="D972" s="75" t="s">
        <v>59</v>
      </c>
      <c r="E972" s="76"/>
      <c r="F972" s="2"/>
    </row>
    <row r="973" spans="1:6" ht="13.8">
      <c r="A973" s="31"/>
      <c r="B973" s="74" t="b">
        <v>0</v>
      </c>
      <c r="C973" s="73" t="s">
        <v>59</v>
      </c>
      <c r="D973" s="75" t="s">
        <v>59</v>
      </c>
      <c r="E973" s="76"/>
      <c r="F973" s="2"/>
    </row>
    <row r="974" spans="1:6" ht="13.8">
      <c r="A974" s="31"/>
      <c r="B974" s="74" t="b">
        <v>0</v>
      </c>
      <c r="C974" s="73" t="s">
        <v>59</v>
      </c>
      <c r="D974" s="75" t="s">
        <v>59</v>
      </c>
      <c r="E974" s="76"/>
      <c r="F974" s="2"/>
    </row>
    <row r="975" spans="1:6" ht="13.8">
      <c r="A975" s="31"/>
      <c r="B975" s="74" t="b">
        <v>0</v>
      </c>
      <c r="C975" s="73" t="s">
        <v>43</v>
      </c>
      <c r="D975" s="89" t="s">
        <v>59</v>
      </c>
      <c r="E975" s="76"/>
      <c r="F975" s="2"/>
    </row>
    <row r="976" spans="1:6" ht="13.8">
      <c r="A976" s="31"/>
      <c r="B976" s="74" t="b">
        <v>0</v>
      </c>
      <c r="C976" s="195" t="s">
        <v>59</v>
      </c>
      <c r="D976" s="196"/>
      <c r="E976" s="197"/>
      <c r="F976" s="2"/>
    </row>
    <row r="977" spans="1:6" ht="75" customHeight="1">
      <c r="A977" s="31"/>
      <c r="B977" s="74" t="b">
        <v>0</v>
      </c>
      <c r="C977" s="198" t="s">
        <v>59</v>
      </c>
      <c r="D977" s="199"/>
      <c r="E977" s="200"/>
      <c r="F977" s="2"/>
    </row>
    <row r="978" spans="1:6" ht="13.8">
      <c r="A978" s="31"/>
      <c r="B978" s="74" t="b">
        <v>0</v>
      </c>
      <c r="C978" s="77"/>
      <c r="D978" s="77"/>
      <c r="E978" s="77"/>
      <c r="F978" s="2"/>
    </row>
    <row r="979" spans="1:6" ht="13.8">
      <c r="A979" s="31">
        <v>94</v>
      </c>
      <c r="B979" s="74" t="b">
        <v>0</v>
      </c>
      <c r="C979" s="73" t="s">
        <v>94</v>
      </c>
      <c r="D979" s="75" t="s">
        <v>59</v>
      </c>
      <c r="E979" s="76"/>
      <c r="F979" s="2"/>
    </row>
    <row r="980" spans="1:6" ht="13.8">
      <c r="A980" s="31"/>
      <c r="B980" s="74" t="b">
        <v>0</v>
      </c>
      <c r="C980" s="73" t="s">
        <v>44</v>
      </c>
      <c r="D980" s="101" t="s">
        <v>59</v>
      </c>
      <c r="E980" s="76"/>
      <c r="F980" s="2"/>
    </row>
    <row r="981" spans="1:6" ht="13.8">
      <c r="A981" s="31"/>
      <c r="B981" s="74" t="b">
        <v>0</v>
      </c>
      <c r="C981" s="73" t="s">
        <v>59</v>
      </c>
      <c r="D981" s="75" t="s">
        <v>59</v>
      </c>
      <c r="E981" s="76"/>
      <c r="F981" s="2"/>
    </row>
    <row r="982" spans="1:6" ht="13.8">
      <c r="A982" s="31"/>
      <c r="B982" s="74" t="b">
        <v>0</v>
      </c>
      <c r="C982" s="73" t="s">
        <v>59</v>
      </c>
      <c r="D982" s="75" t="s">
        <v>59</v>
      </c>
      <c r="E982" s="76"/>
      <c r="F982" s="2"/>
    </row>
    <row r="983" spans="1:6" ht="13.8">
      <c r="A983" s="31"/>
      <c r="B983" s="74" t="b">
        <v>0</v>
      </c>
      <c r="C983" s="73" t="s">
        <v>59</v>
      </c>
      <c r="D983" s="75" t="s">
        <v>59</v>
      </c>
      <c r="E983" s="76"/>
      <c r="F983" s="2"/>
    </row>
    <row r="984" spans="1:6" ht="13.8">
      <c r="A984" s="31"/>
      <c r="B984" s="74" t="b">
        <v>0</v>
      </c>
      <c r="C984" s="73" t="s">
        <v>43</v>
      </c>
      <c r="D984" s="89" t="s">
        <v>59</v>
      </c>
      <c r="E984" s="76"/>
      <c r="F984" s="2"/>
    </row>
    <row r="985" spans="1:6" ht="13.8">
      <c r="A985" s="31"/>
      <c r="B985" s="74" t="b">
        <v>0</v>
      </c>
      <c r="C985" s="195" t="s">
        <v>59</v>
      </c>
      <c r="D985" s="196"/>
      <c r="E985" s="197"/>
      <c r="F985" s="2"/>
    </row>
    <row r="986" spans="1:6" ht="75" customHeight="1">
      <c r="A986" s="31"/>
      <c r="B986" s="74" t="b">
        <v>0</v>
      </c>
      <c r="C986" s="198" t="s">
        <v>59</v>
      </c>
      <c r="D986" s="199"/>
      <c r="E986" s="200"/>
      <c r="F986" s="2"/>
    </row>
    <row r="987" spans="1:6" ht="13.8">
      <c r="A987" s="31"/>
      <c r="B987" s="74" t="b">
        <v>0</v>
      </c>
      <c r="C987" s="77"/>
      <c r="D987" s="77"/>
      <c r="E987" s="77"/>
      <c r="F987" s="2"/>
    </row>
    <row r="988" spans="1:6" ht="13.8">
      <c r="A988" s="31">
        <v>95</v>
      </c>
      <c r="B988" s="74" t="b">
        <v>0</v>
      </c>
      <c r="C988" s="73" t="s">
        <v>94</v>
      </c>
      <c r="D988" s="75" t="s">
        <v>59</v>
      </c>
      <c r="E988" s="76"/>
      <c r="F988" s="2"/>
    </row>
    <row r="989" spans="1:6" ht="13.8">
      <c r="A989" s="31"/>
      <c r="B989" s="74" t="b">
        <v>0</v>
      </c>
      <c r="C989" s="73" t="s">
        <v>44</v>
      </c>
      <c r="D989" s="101" t="s">
        <v>59</v>
      </c>
      <c r="E989" s="76"/>
      <c r="F989" s="2"/>
    </row>
    <row r="990" spans="1:6" ht="13.8">
      <c r="A990" s="31"/>
      <c r="B990" s="74" t="b">
        <v>0</v>
      </c>
      <c r="C990" s="73" t="s">
        <v>59</v>
      </c>
      <c r="D990" s="75" t="s">
        <v>59</v>
      </c>
      <c r="E990" s="76"/>
      <c r="F990" s="2"/>
    </row>
    <row r="991" spans="1:6" ht="13.8">
      <c r="A991" s="31"/>
      <c r="B991" s="74" t="b">
        <v>0</v>
      </c>
      <c r="C991" s="73" t="s">
        <v>59</v>
      </c>
      <c r="D991" s="75" t="s">
        <v>59</v>
      </c>
      <c r="E991" s="76"/>
      <c r="F991" s="2"/>
    </row>
    <row r="992" spans="1:6" ht="13.8">
      <c r="A992" s="31"/>
      <c r="B992" s="74" t="b">
        <v>0</v>
      </c>
      <c r="C992" s="73" t="s">
        <v>59</v>
      </c>
      <c r="D992" s="75" t="s">
        <v>59</v>
      </c>
      <c r="E992" s="76"/>
      <c r="F992" s="2"/>
    </row>
    <row r="993" spans="1:6" ht="13.8">
      <c r="A993" s="31"/>
      <c r="B993" s="74" t="b">
        <v>0</v>
      </c>
      <c r="C993" s="73" t="s">
        <v>43</v>
      </c>
      <c r="D993" s="89" t="s">
        <v>59</v>
      </c>
      <c r="E993" s="76"/>
      <c r="F993" s="2"/>
    </row>
    <row r="994" spans="1:6" ht="13.8">
      <c r="A994" s="31"/>
      <c r="B994" s="74" t="b">
        <v>0</v>
      </c>
      <c r="C994" s="195" t="s">
        <v>59</v>
      </c>
      <c r="D994" s="196"/>
      <c r="E994" s="197"/>
      <c r="F994" s="2"/>
    </row>
    <row r="995" spans="1:6" ht="75" customHeight="1">
      <c r="A995" s="31"/>
      <c r="B995" s="74" t="b">
        <v>0</v>
      </c>
      <c r="C995" s="198" t="s">
        <v>59</v>
      </c>
      <c r="D995" s="199"/>
      <c r="E995" s="200"/>
      <c r="F995" s="2"/>
    </row>
    <row r="996" spans="1:6" ht="13.8">
      <c r="A996" s="31"/>
      <c r="B996" s="74" t="b">
        <v>0</v>
      </c>
      <c r="C996" s="77"/>
      <c r="D996" s="77"/>
      <c r="E996" s="77"/>
      <c r="F996" s="2"/>
    </row>
    <row r="997" spans="1:6" ht="13.8">
      <c r="A997" s="31">
        <v>96</v>
      </c>
      <c r="B997" s="74" t="b">
        <v>0</v>
      </c>
      <c r="C997" s="73" t="s">
        <v>94</v>
      </c>
      <c r="D997" s="75" t="s">
        <v>59</v>
      </c>
      <c r="E997" s="76"/>
      <c r="F997" s="2"/>
    </row>
    <row r="998" spans="1:6" ht="13.8">
      <c r="A998" s="31"/>
      <c r="B998" s="74" t="b">
        <v>0</v>
      </c>
      <c r="C998" s="73" t="s">
        <v>44</v>
      </c>
      <c r="D998" s="101" t="s">
        <v>59</v>
      </c>
      <c r="E998" s="76"/>
      <c r="F998" s="2"/>
    </row>
    <row r="999" spans="1:6" ht="13.8">
      <c r="A999" s="31"/>
      <c r="B999" s="74" t="b">
        <v>0</v>
      </c>
      <c r="C999" s="73" t="s">
        <v>59</v>
      </c>
      <c r="D999" s="75" t="s">
        <v>59</v>
      </c>
      <c r="E999" s="76"/>
      <c r="F999" s="2"/>
    </row>
    <row r="1000" spans="1:6" ht="13.8">
      <c r="A1000" s="31"/>
      <c r="B1000" s="74" t="b">
        <v>0</v>
      </c>
      <c r="C1000" s="73" t="s">
        <v>59</v>
      </c>
      <c r="D1000" s="75" t="s">
        <v>59</v>
      </c>
      <c r="E1000" s="76"/>
      <c r="F1000" s="2"/>
    </row>
    <row r="1001" spans="1:6" ht="13.8">
      <c r="A1001" s="31"/>
      <c r="B1001" s="74" t="b">
        <v>0</v>
      </c>
      <c r="C1001" s="73" t="s">
        <v>59</v>
      </c>
      <c r="D1001" s="75" t="s">
        <v>59</v>
      </c>
      <c r="E1001" s="76"/>
      <c r="F1001" s="2"/>
    </row>
    <row r="1002" spans="1:6" ht="13.8">
      <c r="A1002" s="31"/>
      <c r="B1002" s="74" t="b">
        <v>0</v>
      </c>
      <c r="C1002" s="73" t="s">
        <v>43</v>
      </c>
      <c r="D1002" s="89" t="s">
        <v>59</v>
      </c>
      <c r="E1002" s="76"/>
      <c r="F1002" s="2"/>
    </row>
    <row r="1003" spans="1:6" ht="13.8">
      <c r="A1003" s="31"/>
      <c r="B1003" s="74" t="b">
        <v>0</v>
      </c>
      <c r="C1003" s="195" t="s">
        <v>59</v>
      </c>
      <c r="D1003" s="196"/>
      <c r="E1003" s="197"/>
      <c r="F1003" s="2"/>
    </row>
    <row r="1004" spans="1:6" ht="75" customHeight="1">
      <c r="A1004" s="31"/>
      <c r="B1004" s="74" t="b">
        <v>0</v>
      </c>
      <c r="C1004" s="198" t="s">
        <v>59</v>
      </c>
      <c r="D1004" s="199"/>
      <c r="E1004" s="200"/>
      <c r="F1004" s="2"/>
    </row>
    <row r="1005" spans="1:6" ht="13.8">
      <c r="A1005" s="31"/>
      <c r="B1005" s="74" t="b">
        <v>0</v>
      </c>
      <c r="C1005" s="77"/>
      <c r="D1005" s="77"/>
      <c r="E1005" s="77"/>
      <c r="F1005" s="2"/>
    </row>
    <row r="1006" spans="1:6" ht="13.8">
      <c r="A1006" s="31">
        <v>97</v>
      </c>
      <c r="B1006" s="74" t="b">
        <v>0</v>
      </c>
      <c r="C1006" s="73" t="s">
        <v>94</v>
      </c>
      <c r="D1006" s="75" t="s">
        <v>59</v>
      </c>
      <c r="E1006" s="76"/>
      <c r="F1006" s="2"/>
    </row>
    <row r="1007" spans="1:6" ht="13.8">
      <c r="A1007" s="31"/>
      <c r="B1007" s="74" t="b">
        <v>0</v>
      </c>
      <c r="C1007" s="73" t="s">
        <v>44</v>
      </c>
      <c r="D1007" s="101" t="s">
        <v>59</v>
      </c>
      <c r="E1007" s="76"/>
      <c r="F1007" s="2"/>
    </row>
    <row r="1008" spans="1:6" ht="13.8">
      <c r="A1008" s="31"/>
      <c r="B1008" s="74" t="b">
        <v>0</v>
      </c>
      <c r="C1008" s="73" t="s">
        <v>59</v>
      </c>
      <c r="D1008" s="75" t="s">
        <v>59</v>
      </c>
      <c r="E1008" s="76"/>
      <c r="F1008" s="2"/>
    </row>
    <row r="1009" spans="1:6" ht="13.8">
      <c r="A1009" s="31"/>
      <c r="B1009" s="74" t="b">
        <v>0</v>
      </c>
      <c r="C1009" s="73" t="s">
        <v>59</v>
      </c>
      <c r="D1009" s="75" t="s">
        <v>59</v>
      </c>
      <c r="E1009" s="76"/>
      <c r="F1009" s="2"/>
    </row>
    <row r="1010" spans="1:6" ht="13.8">
      <c r="A1010" s="31"/>
      <c r="B1010" s="74" t="b">
        <v>0</v>
      </c>
      <c r="C1010" s="73" t="s">
        <v>59</v>
      </c>
      <c r="D1010" s="75" t="s">
        <v>59</v>
      </c>
      <c r="E1010" s="76"/>
      <c r="F1010" s="2"/>
    </row>
    <row r="1011" spans="1:6" ht="13.8">
      <c r="A1011" s="31"/>
      <c r="B1011" s="74" t="b">
        <v>0</v>
      </c>
      <c r="C1011" s="73" t="s">
        <v>43</v>
      </c>
      <c r="D1011" s="89" t="s">
        <v>59</v>
      </c>
      <c r="E1011" s="76"/>
      <c r="F1011" s="2"/>
    </row>
    <row r="1012" spans="1:6" ht="13.8">
      <c r="A1012" s="31"/>
      <c r="B1012" s="74" t="b">
        <v>0</v>
      </c>
      <c r="C1012" s="195" t="s">
        <v>59</v>
      </c>
      <c r="D1012" s="196"/>
      <c r="E1012" s="197"/>
      <c r="F1012" s="2"/>
    </row>
    <row r="1013" spans="1:6" ht="75" customHeight="1">
      <c r="A1013" s="31"/>
      <c r="B1013" s="74" t="b">
        <v>0</v>
      </c>
      <c r="C1013" s="198" t="s">
        <v>59</v>
      </c>
      <c r="D1013" s="199"/>
      <c r="E1013" s="200"/>
      <c r="F1013" s="2"/>
    </row>
    <row r="1014" spans="1:6" ht="13.8">
      <c r="A1014" s="31"/>
      <c r="B1014" s="74" t="b">
        <v>0</v>
      </c>
      <c r="C1014" s="77"/>
      <c r="D1014" s="77"/>
      <c r="E1014" s="77"/>
      <c r="F1014" s="2"/>
    </row>
    <row r="1015" spans="1:6" ht="13.8">
      <c r="A1015" s="31">
        <v>98</v>
      </c>
      <c r="B1015" s="74" t="b">
        <v>0</v>
      </c>
      <c r="C1015" s="73" t="s">
        <v>94</v>
      </c>
      <c r="D1015" s="75" t="s">
        <v>59</v>
      </c>
      <c r="E1015" s="76"/>
      <c r="F1015" s="2"/>
    </row>
    <row r="1016" spans="1:6" ht="13.8">
      <c r="A1016" s="31"/>
      <c r="B1016" s="74" t="b">
        <v>0</v>
      </c>
      <c r="C1016" s="73" t="s">
        <v>44</v>
      </c>
      <c r="D1016" s="101" t="s">
        <v>59</v>
      </c>
      <c r="E1016" s="76"/>
      <c r="F1016" s="2"/>
    </row>
    <row r="1017" spans="1:6" ht="13.8">
      <c r="A1017" s="31"/>
      <c r="B1017" s="74" t="b">
        <v>0</v>
      </c>
      <c r="C1017" s="73" t="s">
        <v>59</v>
      </c>
      <c r="D1017" s="75" t="s">
        <v>59</v>
      </c>
      <c r="E1017" s="76"/>
      <c r="F1017" s="2"/>
    </row>
    <row r="1018" spans="1:6" ht="13.8">
      <c r="A1018" s="31"/>
      <c r="B1018" s="74" t="b">
        <v>0</v>
      </c>
      <c r="C1018" s="73" t="s">
        <v>59</v>
      </c>
      <c r="D1018" s="75" t="s">
        <v>59</v>
      </c>
      <c r="E1018" s="76"/>
      <c r="F1018" s="2"/>
    </row>
    <row r="1019" spans="1:6" ht="13.8">
      <c r="A1019" s="31"/>
      <c r="B1019" s="74" t="b">
        <v>0</v>
      </c>
      <c r="C1019" s="73" t="s">
        <v>59</v>
      </c>
      <c r="D1019" s="75" t="s">
        <v>59</v>
      </c>
      <c r="E1019" s="76"/>
      <c r="F1019" s="2"/>
    </row>
    <row r="1020" spans="1:6" ht="13.8">
      <c r="A1020" s="31"/>
      <c r="B1020" s="74" t="b">
        <v>0</v>
      </c>
      <c r="C1020" s="73" t="s">
        <v>43</v>
      </c>
      <c r="D1020" s="89" t="s">
        <v>59</v>
      </c>
      <c r="E1020" s="76"/>
      <c r="F1020" s="2"/>
    </row>
    <row r="1021" spans="1:6" ht="13.8">
      <c r="A1021" s="31"/>
      <c r="B1021" s="74" t="b">
        <v>0</v>
      </c>
      <c r="C1021" s="195" t="s">
        <v>59</v>
      </c>
      <c r="D1021" s="196"/>
      <c r="E1021" s="197"/>
      <c r="F1021" s="2"/>
    </row>
    <row r="1022" spans="1:6" ht="75" customHeight="1">
      <c r="A1022" s="31"/>
      <c r="B1022" s="74" t="b">
        <v>0</v>
      </c>
      <c r="C1022" s="198" t="s">
        <v>59</v>
      </c>
      <c r="D1022" s="199"/>
      <c r="E1022" s="200"/>
      <c r="F1022" s="2"/>
    </row>
    <row r="1023" spans="1:6" ht="13.8">
      <c r="A1023" s="31"/>
      <c r="B1023" s="74" t="b">
        <v>0</v>
      </c>
      <c r="C1023" s="77"/>
      <c r="D1023" s="77"/>
      <c r="E1023" s="77"/>
      <c r="F1023" s="2"/>
    </row>
    <row r="1024" spans="1:6" ht="13.8">
      <c r="A1024" s="31">
        <v>99</v>
      </c>
      <c r="B1024" s="74" t="b">
        <v>0</v>
      </c>
      <c r="C1024" s="73" t="s">
        <v>94</v>
      </c>
      <c r="D1024" s="75" t="s">
        <v>59</v>
      </c>
      <c r="E1024" s="76"/>
      <c r="F1024" s="2"/>
    </row>
    <row r="1025" spans="1:6" ht="13.8">
      <c r="A1025" s="31"/>
      <c r="B1025" s="74" t="b">
        <v>0</v>
      </c>
      <c r="C1025" s="73" t="s">
        <v>44</v>
      </c>
      <c r="D1025" s="101" t="s">
        <v>59</v>
      </c>
      <c r="E1025" s="76"/>
      <c r="F1025" s="2"/>
    </row>
    <row r="1026" spans="1:6" ht="13.8">
      <c r="A1026" s="31"/>
      <c r="B1026" s="74" t="b">
        <v>0</v>
      </c>
      <c r="C1026" s="73" t="s">
        <v>59</v>
      </c>
      <c r="D1026" s="75" t="s">
        <v>59</v>
      </c>
      <c r="E1026" s="76"/>
      <c r="F1026" s="2"/>
    </row>
    <row r="1027" spans="1:6" ht="13.8">
      <c r="A1027" s="31"/>
      <c r="B1027" s="74" t="b">
        <v>0</v>
      </c>
      <c r="C1027" s="73" t="s">
        <v>59</v>
      </c>
      <c r="D1027" s="75" t="s">
        <v>59</v>
      </c>
      <c r="E1027" s="76"/>
      <c r="F1027" s="2"/>
    </row>
    <row r="1028" spans="1:6" ht="13.8">
      <c r="A1028" s="31"/>
      <c r="B1028" s="74" t="b">
        <v>0</v>
      </c>
      <c r="C1028" s="73" t="s">
        <v>59</v>
      </c>
      <c r="D1028" s="75" t="s">
        <v>59</v>
      </c>
      <c r="E1028" s="76"/>
      <c r="F1028" s="2"/>
    </row>
    <row r="1029" spans="1:6" ht="13.8">
      <c r="A1029" s="31"/>
      <c r="B1029" s="74" t="b">
        <v>0</v>
      </c>
      <c r="C1029" s="73" t="s">
        <v>43</v>
      </c>
      <c r="D1029" s="89" t="s">
        <v>59</v>
      </c>
      <c r="E1029" s="76"/>
      <c r="F1029" s="2"/>
    </row>
    <row r="1030" spans="1:6" ht="13.8">
      <c r="A1030" s="31"/>
      <c r="B1030" s="74" t="b">
        <v>0</v>
      </c>
      <c r="C1030" s="195" t="s">
        <v>59</v>
      </c>
      <c r="D1030" s="196"/>
      <c r="E1030" s="197"/>
      <c r="F1030" s="2"/>
    </row>
    <row r="1031" spans="1:6" ht="75" customHeight="1">
      <c r="A1031" s="31"/>
      <c r="B1031" s="74" t="b">
        <v>0</v>
      </c>
      <c r="C1031" s="198" t="s">
        <v>59</v>
      </c>
      <c r="D1031" s="199"/>
      <c r="E1031" s="200"/>
      <c r="F1031" s="2"/>
    </row>
    <row r="1032" spans="1:6" ht="13.8">
      <c r="A1032" s="31"/>
      <c r="B1032" s="74" t="b">
        <v>0</v>
      </c>
      <c r="C1032" s="77"/>
      <c r="D1032" s="77"/>
      <c r="E1032" s="77"/>
      <c r="F1032" s="2"/>
    </row>
    <row r="1033" spans="1:6" ht="13.8">
      <c r="A1033" s="31">
        <v>100</v>
      </c>
      <c r="B1033" s="74" t="b">
        <v>0</v>
      </c>
      <c r="C1033" s="73" t="s">
        <v>94</v>
      </c>
      <c r="D1033" s="75" t="s">
        <v>59</v>
      </c>
      <c r="E1033" s="76"/>
      <c r="F1033" s="2"/>
    </row>
    <row r="1034" spans="1:6" ht="13.8">
      <c r="A1034" s="31"/>
      <c r="B1034" s="74" t="b">
        <v>0</v>
      </c>
      <c r="C1034" s="73" t="s">
        <v>44</v>
      </c>
      <c r="D1034" s="101" t="s">
        <v>59</v>
      </c>
      <c r="E1034" s="76"/>
      <c r="F1034" s="2"/>
    </row>
    <row r="1035" spans="1:6" ht="13.8">
      <c r="A1035" s="31"/>
      <c r="B1035" s="74" t="b">
        <v>0</v>
      </c>
      <c r="C1035" s="73" t="s">
        <v>59</v>
      </c>
      <c r="D1035" s="75" t="s">
        <v>59</v>
      </c>
      <c r="E1035" s="76"/>
      <c r="F1035" s="2"/>
    </row>
    <row r="1036" spans="1:6" ht="13.8">
      <c r="A1036" s="31"/>
      <c r="B1036" s="74" t="b">
        <v>0</v>
      </c>
      <c r="C1036" s="73" t="s">
        <v>59</v>
      </c>
      <c r="D1036" s="75" t="s">
        <v>59</v>
      </c>
      <c r="E1036" s="76"/>
      <c r="F1036" s="2"/>
    </row>
    <row r="1037" spans="1:6" ht="13.8">
      <c r="A1037" s="31"/>
      <c r="B1037" s="74" t="b">
        <v>0</v>
      </c>
      <c r="C1037" s="73" t="s">
        <v>59</v>
      </c>
      <c r="D1037" s="75" t="s">
        <v>59</v>
      </c>
      <c r="E1037" s="76"/>
      <c r="F1037" s="2"/>
    </row>
    <row r="1038" spans="1:6" ht="13.8">
      <c r="A1038" s="31"/>
      <c r="B1038" s="74" t="b">
        <v>0</v>
      </c>
      <c r="C1038" s="73" t="s">
        <v>43</v>
      </c>
      <c r="D1038" s="89" t="s">
        <v>59</v>
      </c>
      <c r="E1038" s="76"/>
      <c r="F1038" s="2"/>
    </row>
    <row r="1039" spans="1:6" ht="13.8">
      <c r="A1039" s="31"/>
      <c r="B1039" s="74" t="b">
        <v>0</v>
      </c>
      <c r="C1039" s="195" t="s">
        <v>59</v>
      </c>
      <c r="D1039" s="196"/>
      <c r="E1039" s="197"/>
      <c r="F1039" s="2"/>
    </row>
    <row r="1040" spans="1:6" ht="75" customHeight="1">
      <c r="A1040" s="31"/>
      <c r="B1040" s="74" t="b">
        <v>0</v>
      </c>
      <c r="C1040" s="198" t="s">
        <v>59</v>
      </c>
      <c r="D1040" s="199"/>
      <c r="E1040" s="200"/>
      <c r="F1040" s="2"/>
    </row>
    <row r="1041" spans="1:6" ht="13.8">
      <c r="A1041" s="31"/>
      <c r="B1041" s="74" t="b">
        <v>0</v>
      </c>
      <c r="C1041" s="77"/>
      <c r="D1041" s="77"/>
      <c r="E1041" s="77"/>
      <c r="F1041" s="2"/>
    </row>
  </sheetData>
  <mergeCells count="212">
    <mergeCell ref="C127:D127"/>
    <mergeCell ref="C128:D128"/>
    <mergeCell ref="C129:D129"/>
    <mergeCell ref="C1040:E1040"/>
    <mergeCell ref="C1021:E1021"/>
    <mergeCell ref="C1022:E1022"/>
    <mergeCell ref="C1030:E1030"/>
    <mergeCell ref="C1031:E1031"/>
    <mergeCell ref="C130:D130"/>
    <mergeCell ref="C133:E133"/>
    <mergeCell ref="C140:E140"/>
    <mergeCell ref="D135:E135"/>
    <mergeCell ref="C137:D137"/>
    <mergeCell ref="C139:D139"/>
    <mergeCell ref="C1003:E1003"/>
    <mergeCell ref="C1004:E1004"/>
    <mergeCell ref="C976:E976"/>
    <mergeCell ref="C977:E977"/>
    <mergeCell ref="C985:E985"/>
    <mergeCell ref="C986:E986"/>
    <mergeCell ref="C1012:E1012"/>
    <mergeCell ref="C1013:E1013"/>
    <mergeCell ref="C1039:E1039"/>
    <mergeCell ref="C968:E968"/>
    <mergeCell ref="C157:E157"/>
    <mergeCell ref="C158:E158"/>
    <mergeCell ref="C949:E949"/>
    <mergeCell ref="C950:E950"/>
    <mergeCell ref="C202:E202"/>
    <mergeCell ref="C203:E203"/>
    <mergeCell ref="C994:E994"/>
    <mergeCell ref="C995:E995"/>
    <mergeCell ref="C211:E211"/>
    <mergeCell ref="C212:E212"/>
    <mergeCell ref="C220:E220"/>
    <mergeCell ref="C221:E221"/>
    <mergeCell ref="C229:E229"/>
    <mergeCell ref="C230:E230"/>
    <mergeCell ref="C958:E958"/>
    <mergeCell ref="C959:E959"/>
    <mergeCell ref="C967:E967"/>
    <mergeCell ref="C292:E292"/>
    <mergeCell ref="C293:E293"/>
    <mergeCell ref="C301:E301"/>
    <mergeCell ref="C302:E302"/>
    <mergeCell ref="C310:E310"/>
    <mergeCell ref="C311:E311"/>
    <mergeCell ref="C238:E238"/>
    <mergeCell ref="C239:E239"/>
    <mergeCell ref="C247:E247"/>
    <mergeCell ref="C248:E248"/>
    <mergeCell ref="C274:E274"/>
    <mergeCell ref="C275:E275"/>
    <mergeCell ref="C256:E256"/>
    <mergeCell ref="C257:E257"/>
    <mergeCell ref="C265:E265"/>
    <mergeCell ref="C266:E266"/>
    <mergeCell ref="C346:E346"/>
    <mergeCell ref="C347:E347"/>
    <mergeCell ref="C355:E355"/>
    <mergeCell ref="C356:E356"/>
    <mergeCell ref="C364:E364"/>
    <mergeCell ref="C365:E365"/>
    <mergeCell ref="C319:E319"/>
    <mergeCell ref="C320:E320"/>
    <mergeCell ref="C328:E328"/>
    <mergeCell ref="C329:E329"/>
    <mergeCell ref="C337:E337"/>
    <mergeCell ref="C338:E338"/>
    <mergeCell ref="C400:E400"/>
    <mergeCell ref="C401:E401"/>
    <mergeCell ref="C409:E409"/>
    <mergeCell ref="C410:E410"/>
    <mergeCell ref="C418:E418"/>
    <mergeCell ref="C419:E419"/>
    <mergeCell ref="C373:E373"/>
    <mergeCell ref="C374:E374"/>
    <mergeCell ref="C382:E382"/>
    <mergeCell ref="C383:E383"/>
    <mergeCell ref="C391:E391"/>
    <mergeCell ref="C392:E392"/>
    <mergeCell ref="C454:E454"/>
    <mergeCell ref="C455:E455"/>
    <mergeCell ref="C463:E463"/>
    <mergeCell ref="C464:E464"/>
    <mergeCell ref="C472:E472"/>
    <mergeCell ref="C473:E473"/>
    <mergeCell ref="C427:E427"/>
    <mergeCell ref="C428:E428"/>
    <mergeCell ref="C436:E436"/>
    <mergeCell ref="C437:E437"/>
    <mergeCell ref="C445:E445"/>
    <mergeCell ref="C446:E446"/>
    <mergeCell ref="C508:E508"/>
    <mergeCell ref="C509:E509"/>
    <mergeCell ref="C517:E517"/>
    <mergeCell ref="C518:E518"/>
    <mergeCell ref="C526:E526"/>
    <mergeCell ref="C527:E527"/>
    <mergeCell ref="C481:E481"/>
    <mergeCell ref="C482:E482"/>
    <mergeCell ref="C490:E490"/>
    <mergeCell ref="C491:E491"/>
    <mergeCell ref="C499:E499"/>
    <mergeCell ref="C500:E500"/>
    <mergeCell ref="C562:E562"/>
    <mergeCell ref="C563:E563"/>
    <mergeCell ref="C571:E571"/>
    <mergeCell ref="C572:E572"/>
    <mergeCell ref="C580:E580"/>
    <mergeCell ref="C581:E581"/>
    <mergeCell ref="C535:E535"/>
    <mergeCell ref="C536:E536"/>
    <mergeCell ref="C544:E544"/>
    <mergeCell ref="C545:E545"/>
    <mergeCell ref="C553:E553"/>
    <mergeCell ref="C554:E554"/>
    <mergeCell ref="C616:E616"/>
    <mergeCell ref="C617:E617"/>
    <mergeCell ref="C625:E625"/>
    <mergeCell ref="C626:E626"/>
    <mergeCell ref="C634:E634"/>
    <mergeCell ref="C635:E635"/>
    <mergeCell ref="C589:E589"/>
    <mergeCell ref="C590:E590"/>
    <mergeCell ref="C598:E598"/>
    <mergeCell ref="C599:E599"/>
    <mergeCell ref="C607:E607"/>
    <mergeCell ref="C608:E608"/>
    <mergeCell ref="C671:E671"/>
    <mergeCell ref="C679:E679"/>
    <mergeCell ref="C680:E680"/>
    <mergeCell ref="C688:E688"/>
    <mergeCell ref="C689:E689"/>
    <mergeCell ref="C643:E643"/>
    <mergeCell ref="C644:E644"/>
    <mergeCell ref="C652:E652"/>
    <mergeCell ref="C653:E653"/>
    <mergeCell ref="C661:E661"/>
    <mergeCell ref="C662:E662"/>
    <mergeCell ref="C103:E103"/>
    <mergeCell ref="C104:D104"/>
    <mergeCell ref="D106:E106"/>
    <mergeCell ref="C931:E931"/>
    <mergeCell ref="C823:E823"/>
    <mergeCell ref="C824:E824"/>
    <mergeCell ref="C868:E868"/>
    <mergeCell ref="C869:E869"/>
    <mergeCell ref="C841:E841"/>
    <mergeCell ref="C842:E842"/>
    <mergeCell ref="C796:E796"/>
    <mergeCell ref="C797:E797"/>
    <mergeCell ref="C148:E148"/>
    <mergeCell ref="C149:E149"/>
    <mergeCell ref="C166:E166"/>
    <mergeCell ref="C167:E167"/>
    <mergeCell ref="C778:E778"/>
    <mergeCell ref="C779:E779"/>
    <mergeCell ref="C787:E787"/>
    <mergeCell ref="C788:E788"/>
    <mergeCell ref="C751:E751"/>
    <mergeCell ref="C752:E752"/>
    <mergeCell ref="C760:E760"/>
    <mergeCell ref="C761:E761"/>
    <mergeCell ref="C175:E175"/>
    <mergeCell ref="C176:E176"/>
    <mergeCell ref="C184:E184"/>
    <mergeCell ref="C185:E185"/>
    <mergeCell ref="C805:E805"/>
    <mergeCell ref="C806:E806"/>
    <mergeCell ref="C814:E814"/>
    <mergeCell ref="C815:E815"/>
    <mergeCell ref="C886:E886"/>
    <mergeCell ref="C832:E832"/>
    <mergeCell ref="C833:E833"/>
    <mergeCell ref="C859:E859"/>
    <mergeCell ref="C860:E860"/>
    <mergeCell ref="C769:E769"/>
    <mergeCell ref="C770:E770"/>
    <mergeCell ref="C724:E724"/>
    <mergeCell ref="C725:E725"/>
    <mergeCell ref="C733:E733"/>
    <mergeCell ref="C734:E734"/>
    <mergeCell ref="C742:E742"/>
    <mergeCell ref="C743:E743"/>
    <mergeCell ref="C697:E697"/>
    <mergeCell ref="C698:E698"/>
    <mergeCell ref="C706:E706"/>
    <mergeCell ref="C940:E940"/>
    <mergeCell ref="C941:E941"/>
    <mergeCell ref="C193:E193"/>
    <mergeCell ref="C194:E194"/>
    <mergeCell ref="C283:E283"/>
    <mergeCell ref="C284:E284"/>
    <mergeCell ref="C895:E895"/>
    <mergeCell ref="C896:E896"/>
    <mergeCell ref="C877:E877"/>
    <mergeCell ref="C878:E878"/>
    <mergeCell ref="C850:E850"/>
    <mergeCell ref="C851:E851"/>
    <mergeCell ref="C887:E887"/>
    <mergeCell ref="C932:E932"/>
    <mergeCell ref="C904:E904"/>
    <mergeCell ref="C905:E905"/>
    <mergeCell ref="C913:E913"/>
    <mergeCell ref="C914:E914"/>
    <mergeCell ref="C922:E922"/>
    <mergeCell ref="C923:E923"/>
    <mergeCell ref="C707:E707"/>
    <mergeCell ref="C715:E715"/>
    <mergeCell ref="C716:E716"/>
    <mergeCell ref="C670:E670"/>
  </mergeCells>
  <phoneticPr fontId="2" type="noConversion"/>
  <conditionalFormatting sqref="C142:C147 C151:C156 C160:C165 C169:C174 C178:C183 C187:C192 C196:C201 C205:C210 C214:C219 C223:C228 C232:C237 C241:C246 C250:C255 C259:C264 C268:C273 C277:C282 C286:C291 C295:C300 C304:C309 C313:C318 C322:C327 C331:C336 C340:C345 C349:C354 C358:C363 C367:C372 C376:C381 C385:C390 C394:C399 C403:C408 C412:C417 C421:C426 C430:C435 C439:C444 C448:C453 C457:C462 C466:C471 C475:C480 C484:C489 C493:C498 C502:C507 C511:C516 C520:C525 C529:C534 C538:C543 C547:C552 C556:C561 C565:C570 C574:C579 C583:C588 C592:C597 C601:C606 C610:C615 C619:C624 C628:C633 C637:C642 C646:C651 C655:C660 C664:C669 C673:C678 C682:C687 C691:C696 C700:C705 C709:C714 C718:C723 C727:C732 C736:C741 C745:C750 C754:C759 C763:C768 C772:C777 C781:C786 C790:C795 C799:C804 C808:C813 C817:C822 C826:C831 C835:C840 C844:C849 C853:C858 C862:C867 C871:C876 C880:C885 C889:C894 C898:C903 C907:C912 C916:C921 C925:C930 C934:C939 C943:C948 C952:C957 C961:C966 C970:C975 C979:C984 C988:C993 C997:C1002 C1006:C1011 C1015:C1020 C1024:C1029 C1033:C1038">
    <cfRule type="expression" dxfId="30" priority="12" stopIfTrue="1">
      <formula>B142=FALSE</formula>
    </cfRule>
  </conditionalFormatting>
  <conditionalFormatting sqref="D142:D147 D151:D156 D160:D165 D169:D174 D178:D183 D187:D192 D196:D201 D205:D210 D214:D219 D223:D228 D232:D237 D241:D246 D250:D255 D259:D264 D268:D273 D277:D282 D286:D291 D295:D300 D304:D309 D313:D318 D322:D327 D331:D336 D340:D345 D349:D354 D358:D363 D367:D372 D376:D381 D385:D390 D394:D399 D403:D408 D412:D417 D421:D426 D430:D435 D439:D444 D448:D453 D457:D462 D466:D471 D475:D480 D484:D489 D493:D498 D502:D507 D511:D516 D520:D525 D529:D534 D538:D543 D547:D552 D556:D561 D565:D570 D574:D579 D583:D588 D592:D597 D601:D606 D610:D615 D619:D624 D628:D633 D637:D642 D646:D651 D655:D660 D664:D669 D673:D678 D682:D687 D691:D696 D700:D705 D709:D714 D718:D723 D727:D732 D736:D741 D745:D750 D754:D759 D763:D768 D772:D777 D781:D786 D790:D795 D799:D804 D808:D813 D817:D822 D826:D831 D835:D840 D844:D849 D853:D858 D862:D867 D871:D876 D880:D885 D889:D894 D898:D903 D907:D912 D916:D921 D925:D930 D934:D939 D943:D948 D952:D957 D961:D966 D970:D975 D979:D984 D988:D993 D997:D1002 D1006:D1011 D1015:D1020 D1024:D1029 D1033:D1038">
    <cfRule type="expression" dxfId="29" priority="13" stopIfTrue="1">
      <formula>B142=FALSE</formula>
    </cfRule>
  </conditionalFormatting>
  <conditionalFormatting sqref="E142:E147 E151:E156 E160:E165 E169:E174 E178:E183 E187:E192 E196:E201 E205:E210 E214:E219 E223:E228 E232:E237 E241:E246 E250:E255 E259:E264 E268:E273 E277:E282 E286:E291 E295:E300 E304:E309 E313:E318 E322:E327 E331:E336 E340:E345 E349:E354 E358:E363 E367:E372 E376:E381 E385:E390 E394:E399 E403:E408 E412:E417 E421:E426 E430:E435 E439:E444 E448:E453 E457:E462 E466:E471 E475:E480 E484:E489 E493:E498 E502:E507 E511:E516 E520:E525 E529:E534 E538:E543 E547:E552 E556:E561 E565:E570 E574:E579 E583:E588 E592:E597 E601:E606 E610:E615 E619:E624 E628:E633 E637:E642 E646:E651 E655:E660 E664:E669 E673:E678 E682:E687 E691:E696 E700:E705 E709:E714 E718:E723 E727:E732 E736:E741 E745:E750 E754:E759 E763:E768 E772:E777 E781:E786 E790:E795 E799:E804 E808:E813 E817:E822 E826:E831 E835:E840 E844:E849 E853:E858 E862:E867 E871:E876 E880:E885 E889:E894 E898:E903 E907:E912 E916:E921 E925:E930 E934:E939 E943:E948 E952:E957 E961:E966 E970:E975 E979:E984 E988:E993 E997:E1002 E1006:E1011 E1015:E1020 E1024:E1029 E1033:E1038">
    <cfRule type="expression" dxfId="28" priority="14" stopIfTrue="1">
      <formula>B142=FALSE</formula>
    </cfRule>
  </conditionalFormatting>
  <conditionalFormatting sqref="C148:F150 C157:F159 C166:F168 C175:F177 C184:F186 C193:F195 C202:F204 C211:F213 C220:F222 C229:F231 C238:F240 C247:F249 C256:F258 C265:F267 C274:F276 C283:F285 C292:F294 C301:F303 C310:F312 C319:F321 C328:F330 C337:F339 C346:F348 C355:F357 C364:F366 C373:F375 C382:F384 C391:F393 C400:F402 C409:F411 C418:F420 C427:F429 C436:F438 C445:F447 C454:F456 C463:F465 C472:F474 C481:F483 C490:F492 C499:F501 C508:F510 C517:F519 C526:F528 C535:F537 C544:F546 C553:F555 C562:F564 C571:F573 C580:F582 C589:F591 C598:F600 C607:F609 C616:F618 C625:F627 C634:F636 C643:F645 C652:F654 C661:F663 C670:F672 C679:F681 C688:F690 C697:F699 C706:F708 C715:F717 C724:F726 C733:F735 C742:F744 C751:F753 C760:F762 C769:F771 C778:F780 C787:F789 C796:F798 C805:F807 C814:F816 C823:F825 C832:F834 C841:F843 C850:F852 C859:F861 C868:F870 C877:F879 C886:F888 C895:F897 C904:F906 C913:F915 C922:F924 C931:F933 C940:F942 C949:F951 C958:F960 C967:F969 C976:F978 C985:F987 C994:F996 C1003:F1005 C1012:F1014 C1021:F1023 C1030:F1032 C1039:F1041">
    <cfRule type="expression" dxfId="27" priority="15" stopIfTrue="1">
      <formula>$B148=FALSE</formula>
    </cfRule>
  </conditionalFormatting>
  <conditionalFormatting sqref="F142:F147 F151:F156 F160:F165 F169:F174 F178:F183 F187:F192 F196:F201 F205:F210 F214:F219 F223:F228 F232:F237 F241:F246 F250:F255 F259:F264 F268:F273 F277:F282 F286:F291 F295:F300 F304:F309 F313:F318 F322:F327 F331:F336 F340:F345 F349:F354 F358:F363 F367:F372 F376:F381 F385:F390 F394:F399 F403:F408 F412:F417 F421:F426 F430:F435 F439:F444 F448:F453 F457:F462 F466:F471 F475:F480 F484:F489 F493:F498 F502:F507 F511:F516 F520:F525 F529:F534 F538:F543 F547:F552 F556:F561 F565:F570 F574:F579 F583:F588 F592:F597 F601:F606 F610:F615 F619:F624 F628:F633 F637:F642 F646:F651 F655:F660 F664:F669 F673:F678 F682:F687 F691:F696 F700:F705 F709:F714 F718:F723 F727:F732 F736:F741 F745:F750 F754:F759 F763:F768 F772:F777 F781:F786 F790:F795 F799:F804 F808:F813 F817:F822 F826:F831 F835:F840 F844:F849 F853:F858 F862:F867 F871:F876 F880:F885 F889:F894 F898:F903 F907:F912 F916:F921 F925:F930 F934:F939 F943:F948 F952:F957 F961:F966 F970:F975 F979:F984 F988:F993 F997:F1002 F1006:F1011 F1015:F1020 F1024:F1029 F1033:F1038">
    <cfRule type="expression" dxfId="26" priority="16" stopIfTrue="1">
      <formula>B142=FALSE</formula>
    </cfRule>
  </conditionalFormatting>
  <conditionalFormatting sqref="A142:A1041">
    <cfRule type="expression" dxfId="25" priority="24" stopIfTrue="1">
      <formula>$D$95=TRUE</formula>
    </cfRule>
    <cfRule type="expression" dxfId="24" priority="25" stopIfTrue="1">
      <formula>B142=FALSE</formula>
    </cfRule>
  </conditionalFormatting>
  <conditionalFormatting sqref="C128:C130">
    <cfRule type="expression" dxfId="23" priority="34" stopIfTrue="1">
      <formula>NOT($G128)</formula>
    </cfRule>
    <cfRule type="expression" dxfId="22" priority="35" stopIfTrue="1">
      <formula>H128</formula>
    </cfRule>
  </conditionalFormatting>
  <conditionalFormatting sqref="B142:B1041">
    <cfRule type="expression" dxfId="21" priority="40" stopIfTrue="1">
      <formula>$D$95=TRUE</formula>
    </cfRule>
    <cfRule type="expression" dxfId="20" priority="41" stopIfTrue="1">
      <formula>B142=FALSE</formula>
    </cfRule>
  </conditionalFormatting>
  <conditionalFormatting sqref="G128:H130">
    <cfRule type="expression" dxfId="19" priority="5">
      <formula>G128=TRUE</formula>
    </cfRule>
  </conditionalFormatting>
  <dataValidations count="2">
    <dataValidation type="list" allowBlank="1" showInputMessage="1" showErrorMessage="1" sqref="D101">
      <formula1>$E$86:$E$93</formula1>
    </dataValidation>
    <dataValidation allowBlank="1" showInputMessage="1" showErrorMessage="1" sqref="D105:E110 C114:D125"/>
  </dataValidations>
  <pageMargins left="0.5" right="0.46" top="0.6" bottom="1" header="0.5" footer="0.5"/>
  <pageSetup scale="88" fitToHeight="0" orientation="portrait" verticalDpi="1200" r:id="rId1"/>
  <headerFooter alignWithMargins="0">
    <oddFooter>&amp;L&amp;F&amp;RPage &amp;P of &amp;N</oddFooter>
  </headerFooter>
  <drawing r:id="rId2"/>
  <legacyDrawing r:id="rId3"/>
  <controls>
    <mc:AlternateContent xmlns:mc="http://schemas.openxmlformats.org/markup-compatibility/2006">
      <mc:Choice Requires="x14">
        <control shapeId="3297" r:id="rId4" name="CommandButton5">
          <controlPr defaultSize="0" print="0" autoLine="0" r:id="rId5">
            <anchor moveWithCells="1">
              <from>
                <xdr:col>4</xdr:col>
                <xdr:colOff>137160</xdr:colOff>
                <xdr:row>108</xdr:row>
                <xdr:rowOff>68580</xdr:rowOff>
              </from>
              <to>
                <xdr:col>4</xdr:col>
                <xdr:colOff>1280160</xdr:colOff>
                <xdr:row>110</xdr:row>
                <xdr:rowOff>22860</xdr:rowOff>
              </to>
            </anchor>
          </controlPr>
        </control>
      </mc:Choice>
      <mc:Fallback>
        <control shapeId="3297" r:id="rId4" name="CommandButton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V115"/>
  <sheetViews>
    <sheetView zoomScaleNormal="100" workbookViewId="0"/>
  </sheetViews>
  <sheetFormatPr defaultRowHeight="13.2" outlineLevelCol="1"/>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6.6640625" hidden="1" customWidth="1" outlineLevel="1"/>
    <col min="8" max="8" width="8.44140625" hidden="1" customWidth="1"/>
    <col min="9" max="9" width="7.109375" customWidth="1"/>
    <col min="10" max="10" width="56.88671875" bestFit="1" customWidth="1"/>
    <col min="11" max="11" width="1.88671875" customWidth="1"/>
    <col min="12" max="12" width="3.6640625" style="92" hidden="1" customWidth="1"/>
    <col min="13" max="13" width="7.44140625" style="92" hidden="1" customWidth="1"/>
    <col min="14" max="14" width="7.33203125" hidden="1" customWidth="1"/>
    <col min="15" max="15" width="2.109375" hidden="1" customWidth="1"/>
    <col min="16" max="16" width="7" hidden="1" customWidth="1"/>
    <col min="17" max="17" width="2.44140625" hidden="1" customWidth="1"/>
    <col min="18" max="18" width="5.88671875" hidden="1" customWidth="1"/>
    <col min="19" max="19" width="2.44140625" hidden="1" customWidth="1"/>
    <col min="20" max="20" width="6.5546875" hidden="1" customWidth="1"/>
    <col min="21" max="21" width="2.44140625" hidden="1" customWidth="1"/>
    <col min="22" max="22" width="6.5546875" hidden="1" customWidth="1"/>
    <col min="23" max="23" width="2.44140625" hidden="1" customWidth="1"/>
    <col min="24" max="24" width="6.5546875" hidden="1" customWidth="1"/>
    <col min="25" max="25" width="2.44140625" hidden="1" customWidth="1"/>
    <col min="26" max="26" width="6.5546875" hidden="1" customWidth="1"/>
    <col min="27" max="27" width="2.44140625" hidden="1" customWidth="1"/>
    <col min="28" max="28" width="6.5546875" hidden="1" customWidth="1"/>
    <col min="29" max="29" width="2.44140625" hidden="1" customWidth="1"/>
    <col min="30" max="30" width="6.5546875" hidden="1" customWidth="1"/>
    <col min="31" max="31" width="1.33203125" hidden="1" customWidth="1"/>
    <col min="32" max="32" width="13.6640625" style="106" hidden="1" customWidth="1"/>
    <col min="33" max="33" width="5.109375" style="113" hidden="1" customWidth="1"/>
    <col min="34" max="34" width="13.6640625" style="106" hidden="1" customWidth="1"/>
    <col min="35" max="35" width="9.88671875" style="106" hidden="1" customWidth="1"/>
    <col min="36" max="36" width="5.5546875" style="106" hidden="1" customWidth="1"/>
    <col min="37" max="37" width="6.88671875" style="106" hidden="1" customWidth="1"/>
    <col min="38" max="38" width="5.88671875" style="106" hidden="1" customWidth="1"/>
    <col min="39" max="39" width="6.88671875" style="106" hidden="1" customWidth="1"/>
    <col min="40" max="40" width="5.5546875" style="106" hidden="1" customWidth="1"/>
    <col min="41" max="41" width="1.33203125" hidden="1" customWidth="1"/>
    <col min="42" max="42" width="5.5546875" style="113" hidden="1" customWidth="1"/>
    <col min="43" max="43" width="1.33203125" hidden="1" customWidth="1"/>
    <col min="44" max="45" width="9.109375" style="188" hidden="1" customWidth="1"/>
    <col min="46" max="46" width="1.33203125" hidden="1" customWidth="1"/>
    <col min="47" max="47" width="9.109375" style="189" hidden="1" customWidth="1"/>
    <col min="48" max="48" width="1.33203125" hidden="1" customWidth="1"/>
  </cols>
  <sheetData>
    <row r="1" spans="1:48" ht="39" customHeight="1">
      <c r="A1" s="90"/>
      <c r="B1" s="90"/>
      <c r="C1" s="90"/>
      <c r="D1" s="90"/>
      <c r="E1" s="136" t="s">
        <v>215</v>
      </c>
      <c r="F1" s="90"/>
      <c r="G1" s="90"/>
      <c r="H1" s="90"/>
      <c r="I1" s="90"/>
      <c r="J1" s="90"/>
      <c r="K1" s="90"/>
      <c r="L1" s="149"/>
      <c r="M1" s="93"/>
      <c r="N1" s="93"/>
      <c r="O1" s="93"/>
      <c r="P1" s="93"/>
      <c r="Q1" s="93"/>
      <c r="R1" s="93"/>
      <c r="S1" s="93"/>
      <c r="T1" s="93"/>
      <c r="U1" s="93"/>
      <c r="V1" s="93"/>
      <c r="W1" s="93"/>
      <c r="X1" s="93"/>
      <c r="Y1" s="93"/>
      <c r="Z1" s="93"/>
      <c r="AA1" s="93"/>
      <c r="AB1" s="93"/>
      <c r="AC1" s="93"/>
      <c r="AD1" s="93"/>
      <c r="AE1" s="93"/>
      <c r="AF1" s="103"/>
      <c r="AG1" s="112"/>
      <c r="AH1" s="103"/>
      <c r="AI1" s="103"/>
      <c r="AJ1" s="103"/>
      <c r="AK1" s="103"/>
      <c r="AL1" s="103"/>
      <c r="AM1" s="103"/>
      <c r="AN1" s="103"/>
      <c r="AO1" s="93"/>
      <c r="AP1" s="112"/>
      <c r="AQ1" s="93"/>
      <c r="AR1" s="93"/>
      <c r="AS1" s="93"/>
      <c r="AT1" s="93"/>
      <c r="AU1" s="93"/>
      <c r="AV1" s="93"/>
    </row>
    <row r="2" spans="1:48">
      <c r="A2" s="90"/>
      <c r="B2" s="235" t="s">
        <v>180</v>
      </c>
      <c r="C2" s="235"/>
      <c r="D2" s="236"/>
      <c r="E2" s="237" t="s">
        <v>195</v>
      </c>
      <c r="F2" s="238"/>
      <c r="G2" s="238"/>
      <c r="H2" s="238"/>
      <c r="I2" s="236"/>
      <c r="J2" s="124" t="s">
        <v>216</v>
      </c>
      <c r="K2" s="90"/>
      <c r="L2" s="93"/>
      <c r="M2" s="93"/>
      <c r="N2" s="93"/>
      <c r="O2" s="93"/>
      <c r="P2" s="93"/>
      <c r="Q2" s="93"/>
      <c r="R2" s="93"/>
      <c r="S2" s="93"/>
      <c r="T2" s="93"/>
      <c r="U2" s="93"/>
      <c r="V2" s="93"/>
      <c r="W2" s="93"/>
      <c r="X2" s="93"/>
      <c r="Y2" s="93"/>
      <c r="Z2" s="93"/>
      <c r="AA2" s="93"/>
      <c r="AB2" s="93"/>
      <c r="AC2" s="93"/>
      <c r="AD2" s="93"/>
      <c r="AE2" s="93"/>
      <c r="AF2" s="103"/>
      <c r="AG2" s="112"/>
      <c r="AH2" s="103"/>
      <c r="AI2" s="103"/>
      <c r="AJ2" s="103"/>
      <c r="AK2" s="103"/>
      <c r="AL2" s="103"/>
      <c r="AM2" s="103"/>
      <c r="AN2" s="103"/>
      <c r="AO2" s="93"/>
      <c r="AP2" s="112"/>
      <c r="AQ2" s="93"/>
      <c r="AR2" s="93"/>
      <c r="AS2" s="93"/>
      <c r="AT2" s="93"/>
      <c r="AU2" s="93"/>
      <c r="AV2" s="93"/>
    </row>
    <row r="3" spans="1:48">
      <c r="A3" s="90"/>
      <c r="B3" s="235" t="s">
        <v>11</v>
      </c>
      <c r="C3" s="235"/>
      <c r="D3" s="236"/>
      <c r="E3" s="237" t="s">
        <v>194</v>
      </c>
      <c r="F3" s="238"/>
      <c r="G3" s="238"/>
      <c r="H3" s="238"/>
      <c r="I3" s="236"/>
      <c r="J3" s="124"/>
      <c r="K3" s="90"/>
      <c r="L3" s="93"/>
      <c r="M3" s="93"/>
      <c r="N3" s="93"/>
      <c r="O3" s="93"/>
      <c r="P3" s="93"/>
      <c r="Q3" s="93"/>
      <c r="R3" s="93"/>
      <c r="S3" s="93"/>
      <c r="T3" s="93"/>
      <c r="U3" s="93"/>
      <c r="V3" s="93"/>
      <c r="W3" s="93"/>
      <c r="X3" s="93"/>
      <c r="Y3" s="93"/>
      <c r="Z3" s="93"/>
      <c r="AA3" s="93"/>
      <c r="AB3" s="93"/>
      <c r="AC3" s="93"/>
      <c r="AD3" s="93"/>
      <c r="AE3" s="93"/>
      <c r="AF3" s="103"/>
      <c r="AG3" s="112"/>
      <c r="AH3" s="103"/>
      <c r="AI3" s="103"/>
      <c r="AJ3" s="103"/>
      <c r="AK3" s="103"/>
      <c r="AL3" s="103"/>
      <c r="AM3" s="103"/>
      <c r="AN3" s="103"/>
      <c r="AO3" s="93"/>
      <c r="AP3" s="112"/>
      <c r="AQ3" s="93"/>
      <c r="AR3" s="93"/>
      <c r="AS3" s="93"/>
      <c r="AT3" s="93"/>
      <c r="AU3" s="93"/>
      <c r="AV3" s="93"/>
    </row>
    <row r="4" spans="1:48">
      <c r="A4" s="90"/>
      <c r="B4" s="235" t="s">
        <v>23</v>
      </c>
      <c r="C4" s="235"/>
      <c r="D4" s="236"/>
      <c r="E4" s="237" t="s">
        <v>196</v>
      </c>
      <c r="F4" s="238"/>
      <c r="G4" s="238"/>
      <c r="H4" s="238"/>
      <c r="I4" s="236"/>
      <c r="J4" s="219" t="s">
        <v>12</v>
      </c>
      <c r="K4" s="90"/>
      <c r="L4" s="93"/>
      <c r="M4" s="93"/>
      <c r="N4" s="93"/>
      <c r="O4" s="93"/>
      <c r="P4" s="93"/>
      <c r="Q4" s="93"/>
      <c r="R4" s="93"/>
      <c r="S4" s="93"/>
      <c r="T4" s="93"/>
      <c r="U4" s="93"/>
      <c r="V4" s="93"/>
      <c r="W4" s="93"/>
      <c r="X4" s="93"/>
      <c r="Y4" s="93"/>
      <c r="Z4" s="93"/>
      <c r="AA4" s="93"/>
      <c r="AB4" s="93"/>
      <c r="AC4" s="93"/>
      <c r="AD4" s="93"/>
      <c r="AE4" s="93"/>
      <c r="AF4" s="103"/>
      <c r="AG4" s="112"/>
      <c r="AH4" s="103"/>
      <c r="AI4" s="103"/>
      <c r="AJ4" s="103"/>
      <c r="AK4" s="103"/>
      <c r="AL4" s="103"/>
      <c r="AM4" s="103"/>
      <c r="AN4" s="103"/>
      <c r="AO4" s="93"/>
      <c r="AP4" s="112"/>
      <c r="AQ4" s="93"/>
      <c r="AR4" s="93"/>
      <c r="AS4" s="93"/>
      <c r="AT4" s="93"/>
      <c r="AU4" s="93"/>
      <c r="AV4" s="93"/>
    </row>
    <row r="5" spans="1:48">
      <c r="A5" s="90"/>
      <c r="B5" s="235" t="s">
        <v>24</v>
      </c>
      <c r="C5" s="235"/>
      <c r="D5" s="236"/>
      <c r="E5" s="237" t="s">
        <v>197</v>
      </c>
      <c r="F5" s="238"/>
      <c r="G5" s="238"/>
      <c r="H5" s="238"/>
      <c r="I5" s="236"/>
      <c r="J5" s="219"/>
      <c r="K5" s="90"/>
      <c r="L5" s="93"/>
      <c r="M5" s="93"/>
      <c r="N5" s="93"/>
      <c r="O5" s="93"/>
      <c r="P5" s="93"/>
      <c r="Q5" s="93"/>
      <c r="R5" s="93"/>
      <c r="S5" s="93"/>
      <c r="T5" s="93"/>
      <c r="U5" s="93"/>
      <c r="V5" s="93"/>
      <c r="W5" s="93"/>
      <c r="X5" s="93"/>
      <c r="Y5" s="93"/>
      <c r="Z5" s="93"/>
      <c r="AA5" s="93"/>
      <c r="AB5" s="93"/>
      <c r="AC5" s="93"/>
      <c r="AD5" s="93"/>
      <c r="AE5" s="93"/>
      <c r="AF5" s="103"/>
      <c r="AG5" s="112"/>
      <c r="AH5" s="103"/>
      <c r="AI5" s="103"/>
      <c r="AJ5" s="103"/>
      <c r="AK5" s="103"/>
      <c r="AL5" s="103"/>
      <c r="AM5" s="103"/>
      <c r="AN5" s="103"/>
      <c r="AO5" s="93"/>
      <c r="AP5" s="112"/>
      <c r="AQ5" s="93"/>
      <c r="AR5" s="93"/>
      <c r="AS5" s="93"/>
      <c r="AT5" s="93"/>
      <c r="AU5" s="93"/>
      <c r="AV5" s="93"/>
    </row>
    <row r="6" spans="1:48">
      <c r="A6" s="90"/>
      <c r="B6" s="235" t="s">
        <v>63</v>
      </c>
      <c r="C6" s="235"/>
      <c r="D6" s="236"/>
      <c r="E6" s="237" t="s">
        <v>198</v>
      </c>
      <c r="F6" s="238"/>
      <c r="G6" s="238"/>
      <c r="H6" s="238"/>
      <c r="I6" s="236"/>
      <c r="J6" s="220"/>
      <c r="K6" s="90"/>
      <c r="L6" s="93"/>
      <c r="M6" s="93"/>
      <c r="N6" s="93"/>
      <c r="O6" s="93"/>
      <c r="P6" s="93"/>
      <c r="Q6" s="93"/>
      <c r="R6" s="93"/>
      <c r="S6" s="93"/>
      <c r="T6" s="93"/>
      <c r="U6" s="93"/>
      <c r="V6" s="93"/>
      <c r="W6" s="93"/>
      <c r="X6" s="93"/>
      <c r="Y6" s="93"/>
      <c r="Z6" s="93"/>
      <c r="AA6" s="93"/>
      <c r="AB6" s="93"/>
      <c r="AC6" s="93"/>
      <c r="AD6" s="93"/>
      <c r="AE6" s="93"/>
      <c r="AF6" s="103"/>
      <c r="AG6" s="112"/>
      <c r="AH6" s="103"/>
      <c r="AI6" s="103"/>
      <c r="AJ6" s="103"/>
      <c r="AK6" s="103"/>
      <c r="AL6" s="103"/>
      <c r="AM6" s="103"/>
      <c r="AN6" s="103"/>
      <c r="AO6" s="93"/>
      <c r="AP6" s="112"/>
      <c r="AQ6" s="93"/>
      <c r="AR6" s="93"/>
      <c r="AS6" s="93"/>
      <c r="AT6" s="93"/>
      <c r="AU6" s="93"/>
      <c r="AV6" s="93"/>
    </row>
    <row r="7" spans="1:48">
      <c r="A7" s="90"/>
      <c r="B7" s="242" t="s">
        <v>61</v>
      </c>
      <c r="C7" s="242"/>
      <c r="D7" s="243"/>
      <c r="E7" s="239" t="s">
        <v>203</v>
      </c>
      <c r="F7" s="240"/>
      <c r="G7" s="240"/>
      <c r="H7" s="240"/>
      <c r="I7" s="241"/>
      <c r="J7" s="135" t="s">
        <v>214</v>
      </c>
      <c r="K7" s="90"/>
      <c r="L7" s="93"/>
      <c r="M7" s="93"/>
      <c r="N7" s="93"/>
      <c r="O7" s="93"/>
      <c r="P7" s="93"/>
      <c r="Q7" s="93"/>
      <c r="R7" s="93"/>
      <c r="S7" s="93"/>
      <c r="T7" s="93"/>
      <c r="U7" s="93"/>
      <c r="V7" s="93"/>
      <c r="W7" s="93"/>
      <c r="X7" s="93"/>
      <c r="Y7" s="93"/>
      <c r="Z7" s="93"/>
      <c r="AA7" s="93"/>
      <c r="AB7" s="93"/>
      <c r="AC7" s="93"/>
      <c r="AD7" s="93"/>
      <c r="AE7" s="93"/>
      <c r="AF7" s="103"/>
      <c r="AG7" s="112"/>
      <c r="AH7" s="103"/>
      <c r="AI7" s="103"/>
      <c r="AJ7" s="103"/>
      <c r="AK7" s="103"/>
      <c r="AL7" s="103"/>
      <c r="AM7" s="103"/>
      <c r="AN7" s="103"/>
      <c r="AO7" s="93"/>
      <c r="AP7" s="112"/>
      <c r="AQ7" s="93"/>
      <c r="AR7" s="93"/>
      <c r="AS7" s="93"/>
      <c r="AT7" s="93"/>
      <c r="AU7" s="93"/>
      <c r="AV7" s="93"/>
    </row>
    <row r="8" spans="1:48">
      <c r="A8" s="2"/>
      <c r="B8" s="137" t="s">
        <v>126</v>
      </c>
      <c r="C8" s="229" t="s">
        <v>75</v>
      </c>
      <c r="D8" s="230"/>
      <c r="E8" s="231"/>
      <c r="F8" s="223"/>
      <c r="G8" s="224"/>
      <c r="H8" s="224"/>
      <c r="I8" s="224"/>
      <c r="J8" s="225"/>
      <c r="K8" s="2"/>
      <c r="L8" s="93"/>
      <c r="M8" s="93"/>
      <c r="N8" s="93"/>
      <c r="O8" s="93"/>
      <c r="P8" s="93"/>
      <c r="Q8" s="93"/>
      <c r="R8" s="93"/>
      <c r="S8" s="93"/>
      <c r="T8" s="93"/>
      <c r="U8" s="93"/>
      <c r="V8" s="93"/>
      <c r="W8" s="93"/>
      <c r="X8" s="93"/>
      <c r="Y8" s="93"/>
      <c r="Z8" s="93"/>
      <c r="AA8" s="93"/>
      <c r="AB8" s="93"/>
      <c r="AC8" s="93"/>
      <c r="AD8" s="93"/>
      <c r="AE8" s="93"/>
      <c r="AF8" s="103"/>
      <c r="AG8" s="112"/>
      <c r="AH8" s="103"/>
      <c r="AI8" s="103"/>
      <c r="AJ8" s="103"/>
      <c r="AK8" s="103"/>
      <c r="AL8" s="103"/>
      <c r="AM8" s="103"/>
      <c r="AN8" s="103"/>
      <c r="AO8" s="93"/>
      <c r="AP8" s="112"/>
      <c r="AQ8" s="93"/>
      <c r="AR8" s="93"/>
      <c r="AS8" s="93"/>
      <c r="AT8" s="93"/>
      <c r="AU8" s="93"/>
      <c r="AV8" s="93"/>
    </row>
    <row r="9" spans="1:48">
      <c r="A9" s="2"/>
      <c r="B9" s="232" t="s">
        <v>16</v>
      </c>
      <c r="C9" s="233"/>
      <c r="D9" s="233"/>
      <c r="E9" s="233"/>
      <c r="F9" s="233"/>
      <c r="G9" s="233"/>
      <c r="H9" s="233"/>
      <c r="I9" s="233"/>
      <c r="J9" s="234"/>
      <c r="K9" s="2"/>
      <c r="L9" s="93"/>
      <c r="M9" s="93"/>
      <c r="N9" s="93"/>
      <c r="O9" s="93"/>
      <c r="P9" s="93"/>
      <c r="Q9" s="93"/>
      <c r="R9" s="93"/>
      <c r="S9" s="93"/>
      <c r="T9" s="93"/>
      <c r="U9" s="93"/>
      <c r="V9" s="93"/>
      <c r="W9" s="93"/>
      <c r="X9" s="93"/>
      <c r="Y9" s="93"/>
      <c r="Z9" s="93"/>
      <c r="AA9" s="93"/>
      <c r="AB9" s="93"/>
      <c r="AC9" s="93"/>
      <c r="AD9" s="93"/>
      <c r="AE9" s="93"/>
      <c r="AF9" s="103"/>
      <c r="AG9" s="112"/>
      <c r="AH9" s="103"/>
      <c r="AI9" s="103"/>
      <c r="AJ9" s="103"/>
      <c r="AK9" s="103"/>
      <c r="AL9" s="103"/>
      <c r="AM9" s="103"/>
      <c r="AN9" s="103"/>
      <c r="AO9" s="93"/>
      <c r="AP9" s="112"/>
      <c r="AQ9" s="93"/>
      <c r="AR9" s="93"/>
      <c r="AS9" s="93"/>
      <c r="AT9" s="93"/>
      <c r="AU9" s="93"/>
      <c r="AV9" s="93"/>
    </row>
    <row r="10" spans="1:48">
      <c r="A10" s="2"/>
      <c r="B10" s="232" t="s">
        <v>80</v>
      </c>
      <c r="C10" s="233"/>
      <c r="D10" s="233"/>
      <c r="E10" s="233"/>
      <c r="F10" s="233"/>
      <c r="G10" s="233"/>
      <c r="H10" s="233"/>
      <c r="I10" s="233"/>
      <c r="J10" s="234"/>
      <c r="K10" s="2"/>
      <c r="L10" s="93"/>
      <c r="M10" s="93"/>
      <c r="N10" s="93"/>
      <c r="O10" s="93"/>
      <c r="P10" s="93"/>
      <c r="Q10" s="93"/>
      <c r="R10" s="93"/>
      <c r="S10" s="93"/>
      <c r="T10" s="93"/>
      <c r="U10" s="93"/>
      <c r="V10" s="93"/>
      <c r="W10" s="93"/>
      <c r="X10" s="93"/>
      <c r="Y10" s="93"/>
      <c r="Z10" s="93"/>
      <c r="AA10" s="93"/>
      <c r="AB10" s="93"/>
      <c r="AC10" s="93"/>
      <c r="AD10" s="93"/>
      <c r="AE10" s="93"/>
      <c r="AF10" s="103"/>
      <c r="AG10" s="112"/>
      <c r="AH10" s="103"/>
      <c r="AI10" s="103"/>
      <c r="AJ10" s="103"/>
      <c r="AK10" s="103"/>
      <c r="AL10" s="103"/>
      <c r="AM10" s="103"/>
      <c r="AN10" s="103"/>
      <c r="AO10" s="93"/>
      <c r="AP10" s="112"/>
      <c r="AQ10" s="93"/>
      <c r="AR10" s="93"/>
      <c r="AS10" s="93"/>
      <c r="AT10" s="93"/>
      <c r="AU10" s="93"/>
      <c r="AV10" s="93"/>
    </row>
    <row r="11" spans="1:48">
      <c r="A11" s="2"/>
      <c r="B11" s="226" t="s">
        <v>217</v>
      </c>
      <c r="C11" s="227"/>
      <c r="D11" s="227"/>
      <c r="E11" s="227"/>
      <c r="F11" s="227"/>
      <c r="G11" s="227"/>
      <c r="H11" s="227"/>
      <c r="I11" s="227"/>
      <c r="J11" s="228"/>
      <c r="K11" s="2"/>
      <c r="L11" s="93"/>
      <c r="M11" s="93"/>
      <c r="N11" s="93"/>
      <c r="O11" s="93"/>
      <c r="P11" s="93"/>
      <c r="Q11" s="93"/>
      <c r="R11" s="93"/>
      <c r="S11" s="93"/>
      <c r="T11" s="93"/>
      <c r="U11" s="93"/>
      <c r="V11" s="93"/>
      <c r="W11" s="93"/>
      <c r="X11" s="93"/>
      <c r="Y11" s="93"/>
      <c r="Z11" s="93"/>
      <c r="AA11" s="93"/>
      <c r="AB11" s="93"/>
      <c r="AC11" s="93"/>
      <c r="AD11" s="93"/>
      <c r="AE11" s="93"/>
      <c r="AF11" s="103"/>
      <c r="AG11" s="112"/>
      <c r="AH11" s="103"/>
      <c r="AI11" s="103"/>
      <c r="AJ11" s="103"/>
      <c r="AK11" s="103"/>
      <c r="AL11" s="103"/>
      <c r="AM11" s="103"/>
      <c r="AN11" s="103"/>
      <c r="AO11" s="93"/>
      <c r="AP11" s="112"/>
      <c r="AQ11" s="93"/>
      <c r="AR11" s="93"/>
      <c r="AS11" s="93"/>
      <c r="AT11" s="93"/>
      <c r="AU11" s="93"/>
      <c r="AV11" s="93"/>
    </row>
    <row r="12" spans="1:48">
      <c r="A12" s="2"/>
      <c r="B12" s="226" t="s">
        <v>218</v>
      </c>
      <c r="C12" s="227"/>
      <c r="D12" s="227"/>
      <c r="E12" s="227"/>
      <c r="F12" s="227"/>
      <c r="G12" s="227"/>
      <c r="H12" s="227"/>
      <c r="I12" s="227"/>
      <c r="J12" s="228"/>
      <c r="K12" s="2"/>
      <c r="L12" s="93"/>
      <c r="M12" s="93"/>
      <c r="N12" s="93"/>
      <c r="O12" s="93"/>
      <c r="P12" s="93"/>
      <c r="Q12" s="93"/>
      <c r="R12" s="93"/>
      <c r="S12" s="93"/>
      <c r="T12" s="93"/>
      <c r="U12" s="93"/>
      <c r="V12" s="93"/>
      <c r="W12" s="93"/>
      <c r="X12" s="93"/>
      <c r="Y12" s="93"/>
      <c r="Z12" s="93"/>
      <c r="AA12" s="93"/>
      <c r="AB12" s="93"/>
      <c r="AC12" s="93"/>
      <c r="AD12" s="93"/>
      <c r="AE12" s="93"/>
      <c r="AF12" s="103"/>
      <c r="AG12" s="112"/>
      <c r="AH12" s="103"/>
      <c r="AI12" s="103"/>
      <c r="AJ12" s="103"/>
      <c r="AK12" s="103"/>
      <c r="AL12" s="103"/>
      <c r="AM12" s="103"/>
      <c r="AN12" s="103"/>
      <c r="AO12" s="93"/>
      <c r="AP12" s="112"/>
      <c r="AQ12" s="93"/>
      <c r="AR12" s="93"/>
      <c r="AS12" s="93"/>
      <c r="AT12" s="93"/>
      <c r="AU12" s="93"/>
      <c r="AV12" s="93"/>
    </row>
    <row r="13" spans="1:48">
      <c r="A13" s="2"/>
      <c r="B13" s="226" t="s">
        <v>219</v>
      </c>
      <c r="C13" s="227"/>
      <c r="D13" s="227"/>
      <c r="E13" s="227"/>
      <c r="F13" s="227"/>
      <c r="G13" s="227"/>
      <c r="H13" s="227"/>
      <c r="I13" s="227"/>
      <c r="J13" s="228"/>
      <c r="K13" s="2"/>
      <c r="L13" s="93"/>
      <c r="M13" s="93"/>
      <c r="N13" s="93"/>
      <c r="O13" s="93"/>
      <c r="P13" s="93"/>
      <c r="Q13" s="93"/>
      <c r="R13" s="93"/>
      <c r="S13" s="93"/>
      <c r="T13" s="93"/>
      <c r="U13" s="93"/>
      <c r="V13" s="93"/>
      <c r="W13" s="93"/>
      <c r="X13" s="93"/>
      <c r="Y13" s="93"/>
      <c r="Z13" s="93"/>
      <c r="AA13" s="93"/>
      <c r="AB13" s="93"/>
      <c r="AC13" s="93"/>
      <c r="AD13" s="93"/>
      <c r="AE13" s="93"/>
      <c r="AF13" s="103"/>
      <c r="AG13" s="112"/>
      <c r="AH13" s="103"/>
      <c r="AI13" s="103"/>
      <c r="AJ13" s="103"/>
      <c r="AK13" s="103"/>
      <c r="AL13" s="103"/>
      <c r="AM13" s="103"/>
      <c r="AN13" s="103"/>
      <c r="AO13" s="93"/>
      <c r="AP13" s="112"/>
      <c r="AQ13" s="93"/>
      <c r="AR13" s="93"/>
      <c r="AS13" s="93"/>
      <c r="AT13" s="93"/>
      <c r="AU13" s="93"/>
      <c r="AV13" s="93"/>
    </row>
    <row r="14" spans="1:48">
      <c r="A14" s="2"/>
      <c r="B14" s="226" t="s">
        <v>220</v>
      </c>
      <c r="C14" s="227"/>
      <c r="D14" s="227"/>
      <c r="E14" s="227"/>
      <c r="F14" s="227"/>
      <c r="G14" s="227"/>
      <c r="H14" s="227"/>
      <c r="I14" s="227"/>
      <c r="J14" s="228"/>
      <c r="K14" s="2"/>
      <c r="L14" s="93"/>
      <c r="M14" s="93"/>
      <c r="N14" s="93"/>
      <c r="O14" s="93"/>
      <c r="P14" s="93"/>
      <c r="Q14" s="93"/>
      <c r="R14" s="93"/>
      <c r="S14" s="93"/>
      <c r="T14" s="93"/>
      <c r="U14" s="93"/>
      <c r="V14" s="93"/>
      <c r="W14" s="93"/>
      <c r="X14" s="93"/>
      <c r="Y14" s="93"/>
      <c r="Z14" s="93"/>
      <c r="AA14" s="93"/>
      <c r="AB14" s="93"/>
      <c r="AC14" s="93"/>
      <c r="AD14" s="93"/>
      <c r="AE14" s="93"/>
      <c r="AF14" s="103"/>
      <c r="AG14" s="112"/>
      <c r="AH14" s="103"/>
      <c r="AI14" s="103"/>
      <c r="AJ14" s="103"/>
      <c r="AK14" s="103"/>
      <c r="AL14" s="103"/>
      <c r="AM14" s="103"/>
      <c r="AN14" s="103"/>
      <c r="AO14" s="93"/>
      <c r="AP14" s="112"/>
      <c r="AQ14" s="93"/>
      <c r="AR14" s="93"/>
      <c r="AS14" s="93"/>
      <c r="AT14" s="93"/>
      <c r="AU14" s="93"/>
      <c r="AV14" s="93"/>
    </row>
    <row r="15" spans="1:48">
      <c r="A15" s="2"/>
      <c r="B15" s="226" t="s">
        <v>221</v>
      </c>
      <c r="C15" s="227"/>
      <c r="D15" s="227"/>
      <c r="E15" s="227"/>
      <c r="F15" s="227"/>
      <c r="G15" s="227"/>
      <c r="H15" s="227"/>
      <c r="I15" s="227"/>
      <c r="J15" s="228"/>
      <c r="K15" s="2"/>
      <c r="L15" s="93"/>
      <c r="M15" s="93"/>
      <c r="N15" s="93"/>
      <c r="O15" s="93"/>
      <c r="P15" s="93"/>
      <c r="Q15" s="93"/>
      <c r="R15" s="93"/>
      <c r="S15" s="93"/>
      <c r="T15" s="93"/>
      <c r="U15" s="93"/>
      <c r="V15" s="93"/>
      <c r="W15" s="93"/>
      <c r="X15" s="93"/>
      <c r="Y15" s="93"/>
      <c r="Z15" s="93"/>
      <c r="AA15" s="93"/>
      <c r="AB15" s="93"/>
      <c r="AC15" s="93"/>
      <c r="AD15" s="93"/>
      <c r="AE15" s="93"/>
      <c r="AF15" s="103"/>
      <c r="AG15" s="112"/>
      <c r="AH15" s="103"/>
      <c r="AI15" s="103"/>
      <c r="AJ15" s="103"/>
      <c r="AK15" s="103"/>
      <c r="AL15" s="103"/>
      <c r="AM15" s="103"/>
      <c r="AN15" s="103"/>
      <c r="AO15" s="93"/>
      <c r="AP15" s="112"/>
      <c r="AQ15" s="93"/>
      <c r="AR15" s="93"/>
      <c r="AS15" s="93"/>
      <c r="AT15" s="93"/>
      <c r="AU15" s="93"/>
      <c r="AV15" s="93"/>
    </row>
    <row r="16" spans="1:48">
      <c r="A16" s="2"/>
      <c r="B16" s="226" t="s">
        <v>222</v>
      </c>
      <c r="C16" s="227"/>
      <c r="D16" s="227"/>
      <c r="E16" s="227"/>
      <c r="F16" s="227"/>
      <c r="G16" s="227"/>
      <c r="H16" s="227"/>
      <c r="I16" s="227"/>
      <c r="J16" s="228"/>
      <c r="K16" s="2"/>
      <c r="L16" s="93"/>
      <c r="M16" s="93"/>
      <c r="N16" s="93"/>
      <c r="O16" s="93"/>
      <c r="P16" s="93"/>
      <c r="Q16" s="93"/>
      <c r="R16" s="93"/>
      <c r="S16" s="93"/>
      <c r="T16" s="93"/>
      <c r="U16" s="93"/>
      <c r="V16" s="93"/>
      <c r="W16" s="93"/>
      <c r="X16" s="93"/>
      <c r="Y16" s="93"/>
      <c r="Z16" s="93"/>
      <c r="AA16" s="93"/>
      <c r="AB16" s="93"/>
      <c r="AC16" s="93"/>
      <c r="AD16" s="93"/>
      <c r="AE16" s="93"/>
      <c r="AF16" s="103"/>
      <c r="AG16" s="112"/>
      <c r="AH16" s="103"/>
      <c r="AI16" s="103"/>
      <c r="AJ16" s="103"/>
      <c r="AK16" s="103"/>
      <c r="AL16" s="103"/>
      <c r="AM16" s="103"/>
      <c r="AN16" s="103"/>
      <c r="AO16" s="93"/>
      <c r="AP16" s="112"/>
      <c r="AQ16" s="93"/>
      <c r="AR16" s="93"/>
      <c r="AS16" s="93"/>
      <c r="AT16" s="93"/>
      <c r="AU16" s="93"/>
      <c r="AV16" s="93"/>
    </row>
    <row r="17" spans="1:48">
      <c r="A17" s="2"/>
      <c r="B17" s="226" t="s">
        <v>223</v>
      </c>
      <c r="C17" s="227"/>
      <c r="D17" s="227"/>
      <c r="E17" s="227"/>
      <c r="F17" s="227"/>
      <c r="G17" s="227"/>
      <c r="H17" s="227"/>
      <c r="I17" s="227"/>
      <c r="J17" s="228"/>
      <c r="K17" s="2"/>
      <c r="L17" s="93"/>
      <c r="M17" s="93"/>
      <c r="N17" s="93"/>
      <c r="O17" s="93"/>
      <c r="P17" s="93"/>
      <c r="Q17" s="93"/>
      <c r="R17" s="93"/>
      <c r="S17" s="93"/>
      <c r="T17" s="93"/>
      <c r="U17" s="93"/>
      <c r="V17" s="93"/>
      <c r="W17" s="93"/>
      <c r="X17" s="93"/>
      <c r="Y17" s="93"/>
      <c r="Z17" s="93"/>
      <c r="AA17" s="93"/>
      <c r="AB17" s="93"/>
      <c r="AC17" s="93"/>
      <c r="AD17" s="93"/>
      <c r="AE17" s="93"/>
      <c r="AF17" s="103"/>
      <c r="AG17" s="112"/>
      <c r="AH17" s="103"/>
      <c r="AI17" s="103"/>
      <c r="AJ17" s="103"/>
      <c r="AK17" s="103"/>
      <c r="AL17" s="103"/>
      <c r="AM17" s="103"/>
      <c r="AN17" s="103"/>
      <c r="AO17" s="93"/>
      <c r="AP17" s="112"/>
      <c r="AQ17" s="93"/>
      <c r="AR17" s="93"/>
      <c r="AS17" s="93"/>
      <c r="AT17" s="93"/>
      <c r="AU17" s="93"/>
      <c r="AV17" s="93"/>
    </row>
    <row r="18" spans="1:48">
      <c r="A18" s="2"/>
      <c r="B18" s="226" t="s">
        <v>224</v>
      </c>
      <c r="C18" s="227"/>
      <c r="D18" s="227"/>
      <c r="E18" s="227"/>
      <c r="F18" s="227"/>
      <c r="G18" s="227"/>
      <c r="H18" s="227"/>
      <c r="I18" s="227"/>
      <c r="J18" s="228"/>
      <c r="K18" s="2"/>
      <c r="L18" s="93"/>
      <c r="M18" s="93"/>
      <c r="N18" s="93"/>
      <c r="O18" s="93"/>
      <c r="P18" s="93"/>
      <c r="Q18" s="93"/>
      <c r="R18" s="93"/>
      <c r="S18" s="93"/>
      <c r="T18" s="93"/>
      <c r="U18" s="93"/>
      <c r="V18" s="93"/>
      <c r="W18" s="93"/>
      <c r="X18" s="93"/>
      <c r="Y18" s="93"/>
      <c r="Z18" s="93"/>
      <c r="AA18" s="93"/>
      <c r="AB18" s="93"/>
      <c r="AC18" s="93"/>
      <c r="AD18" s="93"/>
      <c r="AE18" s="93"/>
      <c r="AF18" s="103"/>
      <c r="AG18" s="112"/>
      <c r="AH18" s="103"/>
      <c r="AI18" s="103"/>
      <c r="AJ18" s="103"/>
      <c r="AK18" s="103"/>
      <c r="AL18" s="103"/>
      <c r="AM18" s="103"/>
      <c r="AN18" s="103"/>
      <c r="AO18" s="93"/>
      <c r="AP18" s="112"/>
      <c r="AQ18" s="93"/>
      <c r="AR18" s="93"/>
      <c r="AS18" s="93"/>
      <c r="AT18" s="93"/>
      <c r="AU18" s="93"/>
      <c r="AV18" s="93"/>
    </row>
    <row r="19" spans="1:48">
      <c r="A19" s="2"/>
      <c r="B19" s="226" t="s">
        <v>225</v>
      </c>
      <c r="C19" s="227"/>
      <c r="D19" s="227"/>
      <c r="E19" s="227"/>
      <c r="F19" s="227"/>
      <c r="G19" s="227"/>
      <c r="H19" s="227"/>
      <c r="I19" s="227"/>
      <c r="J19" s="228"/>
      <c r="K19" s="2"/>
      <c r="L19" s="93"/>
      <c r="M19" s="93"/>
      <c r="N19" s="93"/>
      <c r="O19" s="93"/>
      <c r="P19" s="93"/>
      <c r="Q19" s="93"/>
      <c r="R19" s="93"/>
      <c r="S19" s="93"/>
      <c r="T19" s="93"/>
      <c r="U19" s="93"/>
      <c r="V19" s="93"/>
      <c r="W19" s="93"/>
      <c r="X19" s="93"/>
      <c r="Y19" s="93"/>
      <c r="Z19" s="93"/>
      <c r="AA19" s="93"/>
      <c r="AB19" s="93"/>
      <c r="AC19" s="93"/>
      <c r="AD19" s="93"/>
      <c r="AE19" s="93"/>
      <c r="AF19" s="103"/>
      <c r="AG19" s="112"/>
      <c r="AH19" s="103"/>
      <c r="AI19" s="103"/>
      <c r="AJ19" s="103"/>
      <c r="AK19" s="103"/>
      <c r="AL19" s="103"/>
      <c r="AM19" s="103"/>
      <c r="AN19" s="103"/>
      <c r="AO19" s="93"/>
      <c r="AP19" s="112"/>
      <c r="AQ19" s="93"/>
      <c r="AR19" s="93"/>
      <c r="AS19" s="93"/>
      <c r="AT19" s="93"/>
      <c r="AU19" s="93"/>
      <c r="AV19" s="93"/>
    </row>
    <row r="20" spans="1:48">
      <c r="A20" s="2"/>
      <c r="B20" s="226" t="s">
        <v>226</v>
      </c>
      <c r="C20" s="227"/>
      <c r="D20" s="227"/>
      <c r="E20" s="227"/>
      <c r="F20" s="227"/>
      <c r="G20" s="227"/>
      <c r="H20" s="227"/>
      <c r="I20" s="227"/>
      <c r="J20" s="228"/>
      <c r="K20" s="2"/>
      <c r="L20" s="93"/>
      <c r="M20" s="93"/>
      <c r="N20" s="93"/>
      <c r="O20" s="93"/>
      <c r="P20" s="93"/>
      <c r="Q20" s="93"/>
      <c r="R20" s="93"/>
      <c r="S20" s="93"/>
      <c r="T20" s="93"/>
      <c r="U20" s="93"/>
      <c r="V20" s="93"/>
      <c r="W20" s="93"/>
      <c r="X20" s="93"/>
      <c r="Y20" s="93"/>
      <c r="Z20" s="93"/>
      <c r="AA20" s="93"/>
      <c r="AB20" s="93"/>
      <c r="AC20" s="93"/>
      <c r="AD20" s="93"/>
      <c r="AE20" s="93"/>
      <c r="AF20" s="103"/>
      <c r="AG20" s="112"/>
      <c r="AH20" s="103"/>
      <c r="AI20" s="103"/>
      <c r="AJ20" s="103"/>
      <c r="AK20" s="103"/>
      <c r="AL20" s="103"/>
      <c r="AM20" s="103"/>
      <c r="AN20" s="103"/>
      <c r="AO20" s="93"/>
      <c r="AP20" s="112"/>
      <c r="AQ20" s="93"/>
      <c r="AR20" s="93"/>
      <c r="AS20" s="93"/>
      <c r="AT20" s="93"/>
      <c r="AU20" s="93"/>
      <c r="AV20" s="93"/>
    </row>
    <row r="21" spans="1:48">
      <c r="A21" s="2"/>
      <c r="B21" s="141" t="s">
        <v>127</v>
      </c>
      <c r="C21" s="229" t="s">
        <v>76</v>
      </c>
      <c r="D21" s="230"/>
      <c r="E21" s="231"/>
      <c r="F21" s="142"/>
      <c r="G21" s="142"/>
      <c r="H21" s="142"/>
      <c r="I21" s="142"/>
      <c r="J21" s="176" t="s">
        <v>227</v>
      </c>
      <c r="K21" s="2"/>
      <c r="L21" s="93"/>
      <c r="M21" s="93"/>
      <c r="N21" s="93"/>
      <c r="O21" s="93"/>
      <c r="P21" s="93"/>
      <c r="Q21" s="93"/>
      <c r="R21" s="93"/>
      <c r="S21" s="93"/>
      <c r="T21" s="93"/>
      <c r="U21" s="93"/>
      <c r="V21" s="93"/>
      <c r="W21" s="93"/>
      <c r="X21" s="93"/>
      <c r="Y21" s="93"/>
      <c r="Z21" s="93"/>
      <c r="AA21" s="93"/>
      <c r="AB21" s="93"/>
      <c r="AC21" s="93"/>
      <c r="AD21" s="93"/>
      <c r="AE21" s="93"/>
      <c r="AF21" s="103"/>
      <c r="AG21" s="112"/>
      <c r="AH21" s="103"/>
      <c r="AI21" s="103"/>
      <c r="AJ21" s="103"/>
      <c r="AK21" s="103"/>
      <c r="AL21" s="103"/>
      <c r="AM21" s="103"/>
      <c r="AN21" s="103"/>
      <c r="AO21" s="93"/>
      <c r="AP21" s="112">
        <f>SUM(AP24:AP100)</f>
        <v>60</v>
      </c>
      <c r="AQ21" s="93"/>
      <c r="AR21" s="93"/>
      <c r="AS21" s="93"/>
      <c r="AT21" s="93"/>
      <c r="AU21" s="93"/>
      <c r="AV21" s="93"/>
    </row>
    <row r="22" spans="1:48" ht="16.5" customHeight="1">
      <c r="A22" s="90"/>
      <c r="B22" s="126" t="s">
        <v>59</v>
      </c>
      <c r="C22" s="90"/>
      <c r="D22" s="90"/>
      <c r="E22" s="90"/>
      <c r="F22" s="90"/>
      <c r="G22" s="90"/>
      <c r="H22" s="90"/>
      <c r="I22" s="90"/>
      <c r="J22" s="90"/>
      <c r="K22" s="90"/>
      <c r="L22" s="149"/>
      <c r="M22" s="125"/>
      <c r="N22" s="125"/>
      <c r="O22" s="125"/>
      <c r="P22" s="125"/>
      <c r="Q22" s="93"/>
      <c r="R22" s="122"/>
      <c r="S22" s="93"/>
      <c r="T22" s="93"/>
      <c r="U22" s="93"/>
      <c r="V22" s="93"/>
      <c r="W22" s="93"/>
      <c r="X22" s="93"/>
      <c r="Y22" s="93"/>
      <c r="Z22" s="93"/>
      <c r="AA22" s="93"/>
      <c r="AB22" s="93"/>
      <c r="AC22" s="93"/>
      <c r="AD22" s="93"/>
      <c r="AE22" s="93"/>
      <c r="AF22" s="103"/>
      <c r="AG22" s="112"/>
      <c r="AH22" s="103"/>
      <c r="AI22" s="103"/>
      <c r="AJ22" s="103"/>
      <c r="AK22" s="103"/>
      <c r="AL22" s="103"/>
      <c r="AM22" s="103"/>
      <c r="AN22" s="103"/>
      <c r="AO22" s="93"/>
      <c r="AP22" s="112"/>
      <c r="AQ22" s="93"/>
      <c r="AR22" s="93"/>
      <c r="AS22" s="93"/>
      <c r="AT22" s="93"/>
      <c r="AU22" s="93"/>
      <c r="AV22" s="93"/>
    </row>
    <row r="23" spans="1:48" ht="26.4">
      <c r="A23" s="90"/>
      <c r="B23" s="138" t="s">
        <v>68</v>
      </c>
      <c r="C23" s="138" t="s">
        <v>67</v>
      </c>
      <c r="D23" s="244" t="s">
        <v>41</v>
      </c>
      <c r="E23" s="245"/>
      <c r="F23" s="139" t="s">
        <v>30</v>
      </c>
      <c r="G23" s="139" t="s">
        <v>157</v>
      </c>
      <c r="H23" s="139" t="s">
        <v>53</v>
      </c>
      <c r="I23" s="139" t="s">
        <v>228</v>
      </c>
      <c r="J23" s="140" t="s">
        <v>229</v>
      </c>
      <c r="K23" s="90"/>
      <c r="L23" s="108"/>
      <c r="M23" s="108"/>
      <c r="N23" s="108"/>
      <c r="O23" s="108"/>
      <c r="P23" s="108"/>
      <c r="Q23" s="108"/>
      <c r="R23" s="108"/>
      <c r="S23" s="108"/>
      <c r="T23" s="108"/>
      <c r="U23" s="108"/>
      <c r="V23" s="108"/>
      <c r="W23" s="108"/>
      <c r="X23" s="108"/>
      <c r="Y23" s="108"/>
      <c r="Z23" s="108"/>
      <c r="AA23" s="108"/>
      <c r="AB23" s="108"/>
      <c r="AC23" s="108"/>
      <c r="AD23" s="108"/>
      <c r="AE23" s="93"/>
      <c r="AF23" s="104"/>
      <c r="AG23" s="104"/>
      <c r="AH23" s="104"/>
      <c r="AI23" s="104"/>
      <c r="AJ23" s="104"/>
      <c r="AK23" s="105"/>
      <c r="AL23" s="105"/>
      <c r="AM23" s="105"/>
      <c r="AN23" s="105"/>
      <c r="AO23" s="93"/>
      <c r="AP23" s="105" t="s">
        <v>157</v>
      </c>
      <c r="AQ23" s="93"/>
      <c r="AR23" s="105" t="s">
        <v>170</v>
      </c>
      <c r="AS23" s="105" t="s">
        <v>171</v>
      </c>
      <c r="AT23" s="93"/>
      <c r="AU23" s="105" t="s">
        <v>172</v>
      </c>
      <c r="AV23" s="93"/>
    </row>
    <row r="24" spans="1:48">
      <c r="A24" s="90"/>
      <c r="B24" s="121" t="s">
        <v>66</v>
      </c>
      <c r="C24" s="117" t="s">
        <v>69</v>
      </c>
      <c r="D24" s="221" t="s">
        <v>70</v>
      </c>
      <c r="E24" s="222"/>
      <c r="F24" s="174" t="s">
        <v>102</v>
      </c>
      <c r="G24" s="117">
        <v>2</v>
      </c>
      <c r="H24" s="123"/>
      <c r="I24" s="118" t="s">
        <v>113</v>
      </c>
      <c r="J24" s="150" t="s">
        <v>59</v>
      </c>
      <c r="K24" s="90"/>
      <c r="L24" s="119"/>
      <c r="M24" s="119"/>
      <c r="N24" s="120"/>
      <c r="O24" s="120"/>
      <c r="P24" s="120"/>
      <c r="Q24" s="120"/>
      <c r="R24" s="120"/>
      <c r="S24" s="120"/>
      <c r="T24" s="120"/>
      <c r="U24" s="120"/>
      <c r="V24" s="120"/>
      <c r="W24" s="120"/>
      <c r="X24" s="120"/>
      <c r="Y24" s="120"/>
      <c r="Z24" s="120"/>
      <c r="AA24" s="120"/>
      <c r="AB24" s="120"/>
      <c r="AC24" s="120"/>
      <c r="AD24" s="120"/>
      <c r="AE24" s="93"/>
      <c r="AF24" s="143"/>
      <c r="AG24" s="144"/>
      <c r="AH24" s="143"/>
      <c r="AI24" s="143"/>
      <c r="AJ24" s="143"/>
      <c r="AK24" s="143"/>
      <c r="AL24" s="143"/>
      <c r="AM24" s="143"/>
      <c r="AN24" s="143"/>
      <c r="AO24" s="93"/>
      <c r="AP24" s="144">
        <f>IF(OR(F24="y",F24="Y",F24="Yes",F24="yes"),G24,0)</f>
        <v>0</v>
      </c>
      <c r="AQ24" s="93"/>
      <c r="AR24" s="144" t="e">
        <f>#REF!</f>
        <v>#REF!</v>
      </c>
      <c r="AS24" s="144" t="str">
        <f>IF(AG24="","",IF(AG24,AR24,""))</f>
        <v/>
      </c>
      <c r="AT24" s="93"/>
      <c r="AU24" s="144" t="b">
        <f>IF(OR(F24="y", F24="Y"),TRUE,FALSE)</f>
        <v>0</v>
      </c>
      <c r="AV24" s="93"/>
    </row>
    <row r="25" spans="1:48">
      <c r="A25" s="90"/>
      <c r="B25" s="121" t="s">
        <v>66</v>
      </c>
      <c r="C25" s="117">
        <v>4.0999999999999996</v>
      </c>
      <c r="D25" s="221" t="s">
        <v>50</v>
      </c>
      <c r="E25" s="222"/>
      <c r="F25" s="174" t="s">
        <v>102</v>
      </c>
      <c r="G25" s="117">
        <v>4</v>
      </c>
      <c r="H25" s="123"/>
      <c r="I25" s="118" t="s">
        <v>113</v>
      </c>
      <c r="J25" s="150" t="s">
        <v>59</v>
      </c>
      <c r="K25" s="90"/>
      <c r="L25" s="119"/>
      <c r="M25" s="119"/>
      <c r="N25" s="120"/>
      <c r="O25" s="120"/>
      <c r="P25" s="120"/>
      <c r="Q25" s="120"/>
      <c r="R25" s="120"/>
      <c r="S25" s="120"/>
      <c r="T25" s="120"/>
      <c r="U25" s="120"/>
      <c r="V25" s="120"/>
      <c r="W25" s="120"/>
      <c r="X25" s="120"/>
      <c r="Y25" s="120"/>
      <c r="Z25" s="120"/>
      <c r="AA25" s="120"/>
      <c r="AB25" s="120"/>
      <c r="AC25" s="120"/>
      <c r="AD25" s="120"/>
      <c r="AE25" s="93"/>
      <c r="AF25" s="143"/>
      <c r="AG25" s="144"/>
      <c r="AH25" s="143"/>
      <c r="AI25" s="143"/>
      <c r="AJ25" s="143"/>
      <c r="AK25" s="143"/>
      <c r="AL25" s="143"/>
      <c r="AM25" s="143"/>
      <c r="AN25" s="143"/>
      <c r="AO25" s="93"/>
      <c r="AP25" s="144">
        <f>IF(OR(F25="y",F25="Y",F25="Yes",F25="yes"),G25,0)</f>
        <v>0</v>
      </c>
      <c r="AQ25" s="93"/>
      <c r="AR25" s="144" t="e">
        <f>#REF!</f>
        <v>#REF!</v>
      </c>
      <c r="AS25" s="144" t="str">
        <f t="shared" ref="AS25:AS88" si="0">IF(AG25="","",IF(AG25,AR25,""))</f>
        <v/>
      </c>
      <c r="AT25" s="93"/>
      <c r="AU25" s="144" t="b">
        <f t="shared" ref="AU25:AU88" si="1">IF(OR(F25="y", F25="Y"),TRUE,FALSE)</f>
        <v>0</v>
      </c>
      <c r="AV25" s="93"/>
    </row>
    <row r="26" spans="1:48">
      <c r="A26" s="90"/>
      <c r="B26" s="121" t="s">
        <v>66</v>
      </c>
      <c r="C26" s="117">
        <v>4.2</v>
      </c>
      <c r="D26" s="221" t="s">
        <v>51</v>
      </c>
      <c r="E26" s="222"/>
      <c r="F26" s="174" t="s">
        <v>102</v>
      </c>
      <c r="G26" s="117">
        <v>10</v>
      </c>
      <c r="H26" s="123"/>
      <c r="I26" s="118" t="s">
        <v>113</v>
      </c>
      <c r="J26" s="150" t="s">
        <v>59</v>
      </c>
      <c r="K26" s="90"/>
      <c r="L26" s="119"/>
      <c r="M26" s="119"/>
      <c r="N26" s="120"/>
      <c r="O26" s="120"/>
      <c r="P26" s="120"/>
      <c r="Q26" s="120"/>
      <c r="R26" s="120"/>
      <c r="S26" s="120"/>
      <c r="T26" s="120"/>
      <c r="U26" s="120"/>
      <c r="V26" s="120"/>
      <c r="W26" s="120"/>
      <c r="X26" s="120"/>
      <c r="Y26" s="120"/>
      <c r="Z26" s="120"/>
      <c r="AA26" s="120"/>
      <c r="AB26" s="120"/>
      <c r="AC26" s="120"/>
      <c r="AD26" s="120"/>
      <c r="AE26" s="93"/>
      <c r="AF26" s="143"/>
      <c r="AG26" s="144"/>
      <c r="AH26" s="143"/>
      <c r="AI26" s="143"/>
      <c r="AJ26" s="143"/>
      <c r="AK26" s="143"/>
      <c r="AL26" s="143"/>
      <c r="AM26" s="143"/>
      <c r="AN26" s="143"/>
      <c r="AO26" s="93"/>
      <c r="AP26" s="144">
        <f t="shared" ref="AP26:AP89" si="2">IF(OR(F26="y",F26="Y",F26="Yes",F26="yes"),G26,0)</f>
        <v>0</v>
      </c>
      <c r="AQ26" s="93"/>
      <c r="AR26" s="144" t="e">
        <f>#REF!</f>
        <v>#REF!</v>
      </c>
      <c r="AS26" s="144" t="str">
        <f t="shared" si="0"/>
        <v/>
      </c>
      <c r="AT26" s="93"/>
      <c r="AU26" s="144" t="b">
        <f t="shared" si="1"/>
        <v>0</v>
      </c>
      <c r="AV26" s="93"/>
    </row>
    <row r="27" spans="1:48">
      <c r="A27" s="90"/>
      <c r="B27" s="121" t="s">
        <v>66</v>
      </c>
      <c r="C27" s="117">
        <v>4.3</v>
      </c>
      <c r="D27" s="221" t="s">
        <v>17</v>
      </c>
      <c r="E27" s="222"/>
      <c r="F27" s="174" t="s">
        <v>102</v>
      </c>
      <c r="G27" s="117">
        <v>1</v>
      </c>
      <c r="H27" s="123"/>
      <c r="I27" s="118" t="s">
        <v>113</v>
      </c>
      <c r="J27" s="150" t="s">
        <v>59</v>
      </c>
      <c r="K27" s="90"/>
      <c r="L27" s="119"/>
      <c r="M27" s="119"/>
      <c r="N27" s="120"/>
      <c r="O27" s="120"/>
      <c r="P27" s="120"/>
      <c r="Q27" s="120"/>
      <c r="R27" s="120"/>
      <c r="S27" s="120"/>
      <c r="T27" s="120"/>
      <c r="U27" s="120"/>
      <c r="V27" s="120"/>
      <c r="W27" s="120"/>
      <c r="X27" s="120"/>
      <c r="Y27" s="120"/>
      <c r="Z27" s="120"/>
      <c r="AA27" s="120"/>
      <c r="AB27" s="120"/>
      <c r="AC27" s="120"/>
      <c r="AD27" s="120"/>
      <c r="AE27" s="93"/>
      <c r="AF27" s="143"/>
      <c r="AG27" s="144"/>
      <c r="AH27" s="143"/>
      <c r="AI27" s="143"/>
      <c r="AJ27" s="143"/>
      <c r="AK27" s="143"/>
      <c r="AL27" s="143"/>
      <c r="AM27" s="143"/>
      <c r="AN27" s="143"/>
      <c r="AO27" s="93"/>
      <c r="AP27" s="144">
        <f t="shared" si="2"/>
        <v>0</v>
      </c>
      <c r="AQ27" s="93"/>
      <c r="AR27" s="144" t="e">
        <f>#REF!</f>
        <v>#REF!</v>
      </c>
      <c r="AS27" s="144" t="str">
        <f t="shared" si="0"/>
        <v/>
      </c>
      <c r="AT27" s="93"/>
      <c r="AU27" s="144" t="b">
        <f t="shared" si="1"/>
        <v>0</v>
      </c>
      <c r="AV27" s="93"/>
    </row>
    <row r="28" spans="1:48">
      <c r="A28" s="90"/>
      <c r="B28" s="121" t="s">
        <v>66</v>
      </c>
      <c r="C28" s="117">
        <v>4.4000000000000004</v>
      </c>
      <c r="D28" s="221" t="s">
        <v>18</v>
      </c>
      <c r="E28" s="222"/>
      <c r="F28" s="174" t="s">
        <v>202</v>
      </c>
      <c r="G28" s="117">
        <v>1</v>
      </c>
      <c r="H28" s="123"/>
      <c r="I28" s="118" t="s">
        <v>144</v>
      </c>
      <c r="J28" s="150" t="s">
        <v>59</v>
      </c>
      <c r="K28" s="90"/>
      <c r="L28" s="119"/>
      <c r="M28" s="119"/>
      <c r="N28" s="120"/>
      <c r="O28" s="120"/>
      <c r="P28" s="120"/>
      <c r="Q28" s="120"/>
      <c r="R28" s="120"/>
      <c r="S28" s="120"/>
      <c r="T28" s="120"/>
      <c r="U28" s="120"/>
      <c r="V28" s="120"/>
      <c r="W28" s="120"/>
      <c r="X28" s="120"/>
      <c r="Y28" s="120"/>
      <c r="Z28" s="120"/>
      <c r="AA28" s="120"/>
      <c r="AB28" s="120"/>
      <c r="AC28" s="120"/>
      <c r="AD28" s="120"/>
      <c r="AE28" s="93"/>
      <c r="AF28" s="143"/>
      <c r="AG28" s="144"/>
      <c r="AH28" s="143"/>
      <c r="AI28" s="143"/>
      <c r="AJ28" s="143"/>
      <c r="AK28" s="143"/>
      <c r="AL28" s="143"/>
      <c r="AM28" s="143"/>
      <c r="AN28" s="143"/>
      <c r="AO28" s="93"/>
      <c r="AP28" s="144">
        <f t="shared" si="2"/>
        <v>1</v>
      </c>
      <c r="AQ28" s="93"/>
      <c r="AR28" s="144" t="e">
        <f>#REF!</f>
        <v>#REF!</v>
      </c>
      <c r="AS28" s="144" t="str">
        <f t="shared" si="0"/>
        <v/>
      </c>
      <c r="AT28" s="93"/>
      <c r="AU28" s="144" t="b">
        <f t="shared" si="1"/>
        <v>1</v>
      </c>
      <c r="AV28" s="93"/>
    </row>
    <row r="29" spans="1:48">
      <c r="A29" s="90"/>
      <c r="B29" s="121" t="s">
        <v>66</v>
      </c>
      <c r="C29" s="117">
        <v>4.5</v>
      </c>
      <c r="D29" s="221" t="s">
        <v>19</v>
      </c>
      <c r="E29" s="222"/>
      <c r="F29" s="174" t="s">
        <v>102</v>
      </c>
      <c r="G29" s="117">
        <v>8</v>
      </c>
      <c r="H29" s="123"/>
      <c r="I29" s="118" t="s">
        <v>113</v>
      </c>
      <c r="J29" s="150" t="s">
        <v>59</v>
      </c>
      <c r="K29" s="90"/>
      <c r="L29" s="119"/>
      <c r="M29" s="119"/>
      <c r="N29" s="120"/>
      <c r="O29" s="120"/>
      <c r="P29" s="120"/>
      <c r="Q29" s="120"/>
      <c r="R29" s="120"/>
      <c r="S29" s="120"/>
      <c r="T29" s="120"/>
      <c r="U29" s="120"/>
      <c r="V29" s="120"/>
      <c r="W29" s="120"/>
      <c r="X29" s="120"/>
      <c r="Y29" s="120"/>
      <c r="Z29" s="120"/>
      <c r="AA29" s="120"/>
      <c r="AB29" s="120"/>
      <c r="AC29" s="120"/>
      <c r="AD29" s="120"/>
      <c r="AE29" s="93"/>
      <c r="AF29" s="143"/>
      <c r="AG29" s="144"/>
      <c r="AH29" s="143"/>
      <c r="AI29" s="143"/>
      <c r="AJ29" s="143"/>
      <c r="AK29" s="143"/>
      <c r="AL29" s="143"/>
      <c r="AM29" s="143"/>
      <c r="AN29" s="143"/>
      <c r="AO29" s="93"/>
      <c r="AP29" s="144">
        <f t="shared" si="2"/>
        <v>0</v>
      </c>
      <c r="AQ29" s="93"/>
      <c r="AR29" s="144" t="e">
        <f>#REF!</f>
        <v>#REF!</v>
      </c>
      <c r="AS29" s="144" t="str">
        <f t="shared" si="0"/>
        <v/>
      </c>
      <c r="AT29" s="93"/>
      <c r="AU29" s="144" t="b">
        <f t="shared" si="1"/>
        <v>0</v>
      </c>
      <c r="AV29" s="93"/>
    </row>
    <row r="30" spans="1:48">
      <c r="A30" s="90"/>
      <c r="B30" s="121" t="s">
        <v>66</v>
      </c>
      <c r="C30" s="117">
        <v>4.5999999999999996</v>
      </c>
      <c r="D30" s="221" t="s">
        <v>20</v>
      </c>
      <c r="E30" s="222"/>
      <c r="F30" s="174" t="s">
        <v>102</v>
      </c>
      <c r="G30" s="117">
        <v>2</v>
      </c>
      <c r="H30" s="123"/>
      <c r="I30" s="118" t="s">
        <v>113</v>
      </c>
      <c r="J30" s="150" t="s">
        <v>59</v>
      </c>
      <c r="K30" s="90"/>
      <c r="L30" s="119"/>
      <c r="M30" s="119"/>
      <c r="N30" s="120"/>
      <c r="O30" s="120"/>
      <c r="P30" s="120"/>
      <c r="Q30" s="120"/>
      <c r="R30" s="120"/>
      <c r="S30" s="120"/>
      <c r="T30" s="120"/>
      <c r="U30" s="120"/>
      <c r="V30" s="120"/>
      <c r="W30" s="120"/>
      <c r="X30" s="120"/>
      <c r="Y30" s="120"/>
      <c r="Z30" s="120"/>
      <c r="AA30" s="120"/>
      <c r="AB30" s="120"/>
      <c r="AC30" s="120"/>
      <c r="AD30" s="120"/>
      <c r="AE30" s="93"/>
      <c r="AF30" s="143"/>
      <c r="AG30" s="144"/>
      <c r="AH30" s="143"/>
      <c r="AI30" s="143"/>
      <c r="AJ30" s="143"/>
      <c r="AK30" s="143"/>
      <c r="AL30" s="143"/>
      <c r="AM30" s="143"/>
      <c r="AN30" s="143"/>
      <c r="AO30" s="93"/>
      <c r="AP30" s="144">
        <f t="shared" si="2"/>
        <v>0</v>
      </c>
      <c r="AQ30" s="93"/>
      <c r="AR30" s="144" t="e">
        <f>#REF!</f>
        <v>#REF!</v>
      </c>
      <c r="AS30" s="144" t="str">
        <f t="shared" si="0"/>
        <v/>
      </c>
      <c r="AT30" s="93"/>
      <c r="AU30" s="144" t="b">
        <f t="shared" si="1"/>
        <v>0</v>
      </c>
      <c r="AV30" s="93"/>
    </row>
    <row r="31" spans="1:48">
      <c r="A31" s="90"/>
      <c r="B31" s="121" t="s">
        <v>66</v>
      </c>
      <c r="C31" s="117">
        <v>4.7</v>
      </c>
      <c r="D31" s="221" t="s">
        <v>22</v>
      </c>
      <c r="E31" s="222"/>
      <c r="F31" s="174" t="s">
        <v>202</v>
      </c>
      <c r="G31" s="117">
        <v>2</v>
      </c>
      <c r="H31" s="123"/>
      <c r="I31" s="118" t="s">
        <v>144</v>
      </c>
      <c r="J31" s="150" t="s">
        <v>230</v>
      </c>
      <c r="K31" s="90"/>
      <c r="L31" s="119"/>
      <c r="M31" s="119"/>
      <c r="N31" s="120"/>
      <c r="O31" s="120"/>
      <c r="P31" s="120"/>
      <c r="Q31" s="120"/>
      <c r="R31" s="120"/>
      <c r="S31" s="120"/>
      <c r="T31" s="120"/>
      <c r="U31" s="120"/>
      <c r="V31" s="120"/>
      <c r="W31" s="120"/>
      <c r="X31" s="120"/>
      <c r="Y31" s="120"/>
      <c r="Z31" s="120"/>
      <c r="AA31" s="120"/>
      <c r="AB31" s="120"/>
      <c r="AC31" s="120"/>
      <c r="AD31" s="120"/>
      <c r="AE31" s="93"/>
      <c r="AF31" s="143"/>
      <c r="AG31" s="144"/>
      <c r="AH31" s="143"/>
      <c r="AI31" s="143"/>
      <c r="AJ31" s="143"/>
      <c r="AK31" s="143"/>
      <c r="AL31" s="143"/>
      <c r="AM31" s="143"/>
      <c r="AN31" s="143"/>
      <c r="AO31" s="93"/>
      <c r="AP31" s="144">
        <f t="shared" si="2"/>
        <v>2</v>
      </c>
      <c r="AQ31" s="93"/>
      <c r="AR31" s="144" t="e">
        <f>#REF!</f>
        <v>#REF!</v>
      </c>
      <c r="AS31" s="144" t="str">
        <f t="shared" si="0"/>
        <v/>
      </c>
      <c r="AT31" s="93"/>
      <c r="AU31" s="144" t="b">
        <f t="shared" si="1"/>
        <v>1</v>
      </c>
      <c r="AV31" s="93"/>
    </row>
    <row r="32" spans="1:48">
      <c r="A32" s="90"/>
      <c r="B32" s="121" t="s">
        <v>66</v>
      </c>
      <c r="C32" s="117">
        <v>4.8</v>
      </c>
      <c r="D32" s="221" t="s">
        <v>62</v>
      </c>
      <c r="E32" s="222"/>
      <c r="F32" s="174" t="s">
        <v>102</v>
      </c>
      <c r="G32" s="117">
        <v>5</v>
      </c>
      <c r="H32" s="123"/>
      <c r="I32" s="118" t="s">
        <v>113</v>
      </c>
      <c r="J32" s="150" t="s">
        <v>59</v>
      </c>
      <c r="K32" s="90"/>
      <c r="L32" s="119"/>
      <c r="M32" s="119"/>
      <c r="N32" s="120"/>
      <c r="O32" s="120"/>
      <c r="P32" s="120"/>
      <c r="Q32" s="120"/>
      <c r="R32" s="120"/>
      <c r="S32" s="120"/>
      <c r="T32" s="120"/>
      <c r="U32" s="120"/>
      <c r="V32" s="120"/>
      <c r="W32" s="120"/>
      <c r="X32" s="120"/>
      <c r="Y32" s="120"/>
      <c r="Z32" s="120"/>
      <c r="AA32" s="120"/>
      <c r="AB32" s="120"/>
      <c r="AC32" s="120"/>
      <c r="AD32" s="120"/>
      <c r="AE32" s="93"/>
      <c r="AF32" s="143"/>
      <c r="AG32" s="144"/>
      <c r="AH32" s="143"/>
      <c r="AI32" s="143"/>
      <c r="AJ32" s="143"/>
      <c r="AK32" s="143"/>
      <c r="AL32" s="143"/>
      <c r="AM32" s="143"/>
      <c r="AN32" s="143"/>
      <c r="AO32" s="93"/>
      <c r="AP32" s="144">
        <f t="shared" si="2"/>
        <v>0</v>
      </c>
      <c r="AQ32" s="93"/>
      <c r="AR32" s="144" t="e">
        <f>#REF!</f>
        <v>#REF!</v>
      </c>
      <c r="AS32" s="144" t="str">
        <f t="shared" si="0"/>
        <v/>
      </c>
      <c r="AT32" s="93"/>
      <c r="AU32" s="144" t="b">
        <f t="shared" si="1"/>
        <v>0</v>
      </c>
      <c r="AV32" s="93"/>
    </row>
    <row r="33" spans="1:48">
      <c r="A33" s="90"/>
      <c r="B33" s="121" t="s">
        <v>66</v>
      </c>
      <c r="C33" s="117">
        <v>4.9000000000000004</v>
      </c>
      <c r="D33" s="221" t="s">
        <v>91</v>
      </c>
      <c r="E33" s="222"/>
      <c r="F33" s="174" t="s">
        <v>102</v>
      </c>
      <c r="G33" s="117">
        <v>2</v>
      </c>
      <c r="H33" s="123"/>
      <c r="I33" s="118" t="s">
        <v>113</v>
      </c>
      <c r="J33" s="150" t="s">
        <v>59</v>
      </c>
      <c r="K33" s="90"/>
      <c r="L33" s="119"/>
      <c r="M33" s="119"/>
      <c r="N33" s="120"/>
      <c r="O33" s="120"/>
      <c r="P33" s="120"/>
      <c r="Q33" s="120"/>
      <c r="R33" s="120"/>
      <c r="S33" s="120"/>
      <c r="T33" s="120"/>
      <c r="U33" s="120"/>
      <c r="V33" s="120"/>
      <c r="W33" s="120"/>
      <c r="X33" s="120"/>
      <c r="Y33" s="120"/>
      <c r="Z33" s="120"/>
      <c r="AA33" s="120"/>
      <c r="AB33" s="120"/>
      <c r="AC33" s="120"/>
      <c r="AD33" s="120"/>
      <c r="AE33" s="93"/>
      <c r="AF33" s="143"/>
      <c r="AG33" s="144"/>
      <c r="AH33" s="143"/>
      <c r="AI33" s="143"/>
      <c r="AJ33" s="143"/>
      <c r="AK33" s="143"/>
      <c r="AL33" s="143"/>
      <c r="AM33" s="143"/>
      <c r="AN33" s="143"/>
      <c r="AO33" s="93"/>
      <c r="AP33" s="144">
        <f t="shared" si="2"/>
        <v>0</v>
      </c>
      <c r="AQ33" s="93"/>
      <c r="AR33" s="144" t="e">
        <f>#REF!</f>
        <v>#REF!</v>
      </c>
      <c r="AS33" s="144" t="str">
        <f t="shared" si="0"/>
        <v/>
      </c>
      <c r="AT33" s="93"/>
      <c r="AU33" s="144" t="b">
        <f t="shared" si="1"/>
        <v>0</v>
      </c>
      <c r="AV33" s="93"/>
    </row>
    <row r="34" spans="1:48">
      <c r="A34" s="90"/>
      <c r="B34" s="121" t="s">
        <v>66</v>
      </c>
      <c r="C34" s="117" t="s">
        <v>92</v>
      </c>
      <c r="D34" s="221" t="s">
        <v>93</v>
      </c>
      <c r="E34" s="222"/>
      <c r="F34" s="174" t="s">
        <v>102</v>
      </c>
      <c r="G34" s="117">
        <v>2</v>
      </c>
      <c r="H34" s="123"/>
      <c r="I34" s="118" t="s">
        <v>113</v>
      </c>
      <c r="J34" s="150" t="s">
        <v>59</v>
      </c>
      <c r="K34" s="90"/>
      <c r="L34" s="119"/>
      <c r="M34" s="119"/>
      <c r="N34" s="120"/>
      <c r="O34" s="120"/>
      <c r="P34" s="120"/>
      <c r="Q34" s="120"/>
      <c r="R34" s="120"/>
      <c r="S34" s="120"/>
      <c r="T34" s="120"/>
      <c r="U34" s="120"/>
      <c r="V34" s="120"/>
      <c r="W34" s="120"/>
      <c r="X34" s="120"/>
      <c r="Y34" s="120"/>
      <c r="Z34" s="120"/>
      <c r="AA34" s="120"/>
      <c r="AB34" s="120"/>
      <c r="AC34" s="120"/>
      <c r="AD34" s="120"/>
      <c r="AE34" s="93"/>
      <c r="AF34" s="143"/>
      <c r="AG34" s="144"/>
      <c r="AH34" s="143"/>
      <c r="AI34" s="143"/>
      <c r="AJ34" s="143"/>
      <c r="AK34" s="143"/>
      <c r="AL34" s="143"/>
      <c r="AM34" s="143"/>
      <c r="AN34" s="143"/>
      <c r="AO34" s="93"/>
      <c r="AP34" s="144">
        <f t="shared" si="2"/>
        <v>0</v>
      </c>
      <c r="AQ34" s="93"/>
      <c r="AR34" s="144" t="e">
        <f>#REF!</f>
        <v>#REF!</v>
      </c>
      <c r="AS34" s="144" t="str">
        <f t="shared" si="0"/>
        <v/>
      </c>
      <c r="AT34" s="93"/>
      <c r="AU34" s="144" t="b">
        <f t="shared" si="1"/>
        <v>0</v>
      </c>
      <c r="AV34" s="93"/>
    </row>
    <row r="35" spans="1:48">
      <c r="A35" s="90"/>
      <c r="B35" s="121" t="s">
        <v>66</v>
      </c>
      <c r="C35" s="117" t="s">
        <v>122</v>
      </c>
      <c r="D35" s="221" t="s">
        <v>40</v>
      </c>
      <c r="E35" s="222"/>
      <c r="F35" s="174" t="s">
        <v>202</v>
      </c>
      <c r="G35" s="117">
        <v>5</v>
      </c>
      <c r="H35" s="123"/>
      <c r="I35" s="118" t="s">
        <v>144</v>
      </c>
      <c r="J35" s="150" t="s">
        <v>59</v>
      </c>
      <c r="K35" s="90"/>
      <c r="L35" s="119"/>
      <c r="M35" s="119"/>
      <c r="N35" s="120"/>
      <c r="O35" s="120"/>
      <c r="P35" s="120"/>
      <c r="Q35" s="120"/>
      <c r="R35" s="120"/>
      <c r="S35" s="120"/>
      <c r="T35" s="120"/>
      <c r="U35" s="120"/>
      <c r="V35" s="120"/>
      <c r="W35" s="120"/>
      <c r="X35" s="120"/>
      <c r="Y35" s="120"/>
      <c r="Z35" s="120"/>
      <c r="AA35" s="120"/>
      <c r="AB35" s="120"/>
      <c r="AC35" s="120"/>
      <c r="AD35" s="120"/>
      <c r="AE35" s="93"/>
      <c r="AF35" s="143"/>
      <c r="AG35" s="144"/>
      <c r="AH35" s="143"/>
      <c r="AI35" s="143"/>
      <c r="AJ35" s="143"/>
      <c r="AK35" s="143"/>
      <c r="AL35" s="143"/>
      <c r="AM35" s="143"/>
      <c r="AN35" s="143"/>
      <c r="AO35" s="93"/>
      <c r="AP35" s="144">
        <f t="shared" si="2"/>
        <v>5</v>
      </c>
      <c r="AQ35" s="93"/>
      <c r="AR35" s="144" t="e">
        <f>#REF!</f>
        <v>#REF!</v>
      </c>
      <c r="AS35" s="144" t="str">
        <f t="shared" si="0"/>
        <v/>
      </c>
      <c r="AT35" s="93"/>
      <c r="AU35" s="144" t="b">
        <f t="shared" si="1"/>
        <v>1</v>
      </c>
      <c r="AV35" s="93"/>
    </row>
    <row r="36" spans="1:48">
      <c r="A36" s="90"/>
      <c r="B36" s="121" t="s">
        <v>66</v>
      </c>
      <c r="C36" s="117">
        <v>6</v>
      </c>
      <c r="D36" s="221" t="s">
        <v>135</v>
      </c>
      <c r="E36" s="222"/>
      <c r="F36" s="174" t="s">
        <v>102</v>
      </c>
      <c r="G36" s="117">
        <v>1</v>
      </c>
      <c r="H36" s="123"/>
      <c r="I36" s="118" t="s">
        <v>113</v>
      </c>
      <c r="J36" s="150" t="s">
        <v>59</v>
      </c>
      <c r="K36" s="90"/>
      <c r="L36" s="119"/>
      <c r="M36" s="119"/>
      <c r="N36" s="120"/>
      <c r="O36" s="120"/>
      <c r="P36" s="120"/>
      <c r="Q36" s="120"/>
      <c r="R36" s="120"/>
      <c r="S36" s="120"/>
      <c r="T36" s="120"/>
      <c r="U36" s="120"/>
      <c r="V36" s="120"/>
      <c r="W36" s="120"/>
      <c r="X36" s="120"/>
      <c r="Y36" s="120"/>
      <c r="Z36" s="120"/>
      <c r="AA36" s="120"/>
      <c r="AB36" s="120"/>
      <c r="AC36" s="120"/>
      <c r="AD36" s="120"/>
      <c r="AE36" s="93"/>
      <c r="AF36" s="143"/>
      <c r="AG36" s="144"/>
      <c r="AH36" s="143"/>
      <c r="AI36" s="143"/>
      <c r="AJ36" s="143"/>
      <c r="AK36" s="143"/>
      <c r="AL36" s="143"/>
      <c r="AM36" s="143"/>
      <c r="AN36" s="143"/>
      <c r="AO36" s="93"/>
      <c r="AP36" s="144">
        <f t="shared" si="2"/>
        <v>0</v>
      </c>
      <c r="AQ36" s="93"/>
      <c r="AR36" s="144" t="e">
        <f>#REF!</f>
        <v>#REF!</v>
      </c>
      <c r="AS36" s="144" t="str">
        <f t="shared" si="0"/>
        <v/>
      </c>
      <c r="AT36" s="93"/>
      <c r="AU36" s="144" t="b">
        <f t="shared" si="1"/>
        <v>0</v>
      </c>
      <c r="AV36" s="93"/>
    </row>
    <row r="37" spans="1:48">
      <c r="A37" s="90"/>
      <c r="B37" s="121" t="s">
        <v>66</v>
      </c>
      <c r="C37" s="117" t="s">
        <v>121</v>
      </c>
      <c r="D37" s="221" t="s">
        <v>56</v>
      </c>
      <c r="E37" s="222"/>
      <c r="F37" s="174" t="s">
        <v>202</v>
      </c>
      <c r="G37" s="117">
        <v>2</v>
      </c>
      <c r="H37" s="123"/>
      <c r="I37" s="118" t="s">
        <v>144</v>
      </c>
      <c r="J37" s="150" t="s">
        <v>59</v>
      </c>
      <c r="K37" s="90"/>
      <c r="L37" s="119"/>
      <c r="M37" s="119"/>
      <c r="N37" s="120"/>
      <c r="O37" s="120"/>
      <c r="P37" s="120"/>
      <c r="Q37" s="120"/>
      <c r="R37" s="120"/>
      <c r="S37" s="120"/>
      <c r="T37" s="120"/>
      <c r="U37" s="120"/>
      <c r="V37" s="120"/>
      <c r="W37" s="120"/>
      <c r="X37" s="120"/>
      <c r="Y37" s="120"/>
      <c r="Z37" s="120"/>
      <c r="AA37" s="120"/>
      <c r="AB37" s="120"/>
      <c r="AC37" s="120"/>
      <c r="AD37" s="120"/>
      <c r="AE37" s="93"/>
      <c r="AF37" s="143"/>
      <c r="AG37" s="144"/>
      <c r="AH37" s="143"/>
      <c r="AI37" s="143"/>
      <c r="AJ37" s="143"/>
      <c r="AK37" s="143"/>
      <c r="AL37" s="143"/>
      <c r="AM37" s="143"/>
      <c r="AN37" s="143"/>
      <c r="AO37" s="93"/>
      <c r="AP37" s="144">
        <f t="shared" si="2"/>
        <v>2</v>
      </c>
      <c r="AQ37" s="93"/>
      <c r="AR37" s="144" t="e">
        <f>#REF!</f>
        <v>#REF!</v>
      </c>
      <c r="AS37" s="144" t="str">
        <f t="shared" si="0"/>
        <v/>
      </c>
      <c r="AT37" s="93"/>
      <c r="AU37" s="144" t="b">
        <f t="shared" si="1"/>
        <v>1</v>
      </c>
      <c r="AV37" s="93"/>
    </row>
    <row r="38" spans="1:48">
      <c r="A38" s="90"/>
      <c r="B38" s="121" t="s">
        <v>66</v>
      </c>
      <c r="C38" s="117" t="s">
        <v>153</v>
      </c>
      <c r="D38" s="221" t="s">
        <v>60</v>
      </c>
      <c r="E38" s="222"/>
      <c r="F38" s="174" t="s">
        <v>102</v>
      </c>
      <c r="G38" s="117">
        <v>5</v>
      </c>
      <c r="H38" s="123"/>
      <c r="I38" s="118" t="s">
        <v>113</v>
      </c>
      <c r="J38" s="150" t="s">
        <v>59</v>
      </c>
      <c r="K38" s="90"/>
      <c r="L38" s="119"/>
      <c r="M38" s="119"/>
      <c r="N38" s="120"/>
      <c r="O38" s="120"/>
      <c r="P38" s="120"/>
      <c r="Q38" s="120"/>
      <c r="R38" s="120"/>
      <c r="S38" s="120"/>
      <c r="T38" s="120"/>
      <c r="U38" s="120"/>
      <c r="V38" s="120"/>
      <c r="W38" s="120"/>
      <c r="X38" s="120"/>
      <c r="Y38" s="120"/>
      <c r="Z38" s="120"/>
      <c r="AA38" s="120"/>
      <c r="AB38" s="120"/>
      <c r="AC38" s="120"/>
      <c r="AD38" s="120"/>
      <c r="AE38" s="93"/>
      <c r="AF38" s="143"/>
      <c r="AG38" s="144"/>
      <c r="AH38" s="143"/>
      <c r="AI38" s="143"/>
      <c r="AJ38" s="143"/>
      <c r="AK38" s="143"/>
      <c r="AL38" s="143"/>
      <c r="AM38" s="143"/>
      <c r="AN38" s="143"/>
      <c r="AO38" s="93"/>
      <c r="AP38" s="144">
        <f t="shared" si="2"/>
        <v>0</v>
      </c>
      <c r="AQ38" s="93"/>
      <c r="AR38" s="144" t="e">
        <f>#REF!</f>
        <v>#REF!</v>
      </c>
      <c r="AS38" s="144" t="str">
        <f t="shared" si="0"/>
        <v/>
      </c>
      <c r="AT38" s="93"/>
      <c r="AU38" s="144" t="b">
        <f t="shared" si="1"/>
        <v>0</v>
      </c>
      <c r="AV38" s="93"/>
    </row>
    <row r="39" spans="1:48">
      <c r="A39" s="90"/>
      <c r="B39" s="121" t="s">
        <v>66</v>
      </c>
      <c r="C39" s="117" t="s">
        <v>77</v>
      </c>
      <c r="D39" s="221" t="s">
        <v>78</v>
      </c>
      <c r="E39" s="222"/>
      <c r="F39" s="174" t="s">
        <v>202</v>
      </c>
      <c r="G39" s="117">
        <v>5</v>
      </c>
      <c r="H39" s="123"/>
      <c r="I39" s="118" t="s">
        <v>144</v>
      </c>
      <c r="J39" s="150" t="s">
        <v>59</v>
      </c>
      <c r="K39" s="90"/>
      <c r="L39" s="119"/>
      <c r="M39" s="119"/>
      <c r="N39" s="120"/>
      <c r="O39" s="120"/>
      <c r="P39" s="120"/>
      <c r="Q39" s="120"/>
      <c r="R39" s="120"/>
      <c r="S39" s="120"/>
      <c r="T39" s="120"/>
      <c r="U39" s="120"/>
      <c r="V39" s="120"/>
      <c r="W39" s="120"/>
      <c r="X39" s="120"/>
      <c r="Y39" s="120"/>
      <c r="Z39" s="120"/>
      <c r="AA39" s="120"/>
      <c r="AB39" s="120"/>
      <c r="AC39" s="120"/>
      <c r="AD39" s="120"/>
      <c r="AE39" s="93"/>
      <c r="AF39" s="143"/>
      <c r="AG39" s="144"/>
      <c r="AH39" s="143"/>
      <c r="AI39" s="143"/>
      <c r="AJ39" s="143"/>
      <c r="AK39" s="143"/>
      <c r="AL39" s="143"/>
      <c r="AM39" s="143"/>
      <c r="AN39" s="143"/>
      <c r="AO39" s="93"/>
      <c r="AP39" s="144">
        <f t="shared" si="2"/>
        <v>5</v>
      </c>
      <c r="AQ39" s="93"/>
      <c r="AR39" s="144" t="e">
        <f>#REF!</f>
        <v>#REF!</v>
      </c>
      <c r="AS39" s="144" t="str">
        <f t="shared" si="0"/>
        <v/>
      </c>
      <c r="AT39" s="93"/>
      <c r="AU39" s="144" t="b">
        <f t="shared" si="1"/>
        <v>1</v>
      </c>
      <c r="AV39" s="93"/>
    </row>
    <row r="40" spans="1:48">
      <c r="A40" s="90"/>
      <c r="B40" s="121" t="s">
        <v>66</v>
      </c>
      <c r="C40" s="117">
        <v>10</v>
      </c>
      <c r="D40" s="221" t="s">
        <v>118</v>
      </c>
      <c r="E40" s="222"/>
      <c r="F40" s="174" t="s">
        <v>202</v>
      </c>
      <c r="G40" s="117">
        <v>1</v>
      </c>
      <c r="H40" s="123"/>
      <c r="I40" s="118" t="s">
        <v>144</v>
      </c>
      <c r="J40" s="150" t="s">
        <v>59</v>
      </c>
      <c r="K40" s="90"/>
      <c r="L40" s="119"/>
      <c r="M40" s="119"/>
      <c r="N40" s="120"/>
      <c r="O40" s="120"/>
      <c r="P40" s="120"/>
      <c r="Q40" s="120"/>
      <c r="R40" s="120"/>
      <c r="S40" s="120"/>
      <c r="T40" s="120"/>
      <c r="U40" s="120"/>
      <c r="V40" s="120"/>
      <c r="W40" s="120"/>
      <c r="X40" s="120"/>
      <c r="Y40" s="120"/>
      <c r="Z40" s="120"/>
      <c r="AA40" s="120"/>
      <c r="AB40" s="120"/>
      <c r="AC40" s="120"/>
      <c r="AD40" s="120"/>
      <c r="AE40" s="93"/>
      <c r="AF40" s="143"/>
      <c r="AG40" s="144"/>
      <c r="AH40" s="143"/>
      <c r="AI40" s="143"/>
      <c r="AJ40" s="143"/>
      <c r="AK40" s="143"/>
      <c r="AL40" s="143"/>
      <c r="AM40" s="143"/>
      <c r="AN40" s="143"/>
      <c r="AO40" s="93"/>
      <c r="AP40" s="144">
        <f t="shared" si="2"/>
        <v>1</v>
      </c>
      <c r="AQ40" s="93"/>
      <c r="AR40" s="144" t="e">
        <f>#REF!</f>
        <v>#REF!</v>
      </c>
      <c r="AS40" s="144" t="str">
        <f t="shared" si="0"/>
        <v/>
      </c>
      <c r="AT40" s="93"/>
      <c r="AU40" s="144" t="b">
        <f t="shared" si="1"/>
        <v>1</v>
      </c>
      <c r="AV40" s="93"/>
    </row>
    <row r="41" spans="1:48">
      <c r="A41" s="90"/>
      <c r="B41" s="121" t="s">
        <v>66</v>
      </c>
      <c r="C41" s="117">
        <v>11</v>
      </c>
      <c r="D41" s="221" t="s">
        <v>119</v>
      </c>
      <c r="E41" s="222"/>
      <c r="F41" s="174" t="s">
        <v>202</v>
      </c>
      <c r="G41" s="117">
        <v>2</v>
      </c>
      <c r="H41" s="123"/>
      <c r="I41" s="118" t="s">
        <v>144</v>
      </c>
      <c r="J41" s="150" t="s">
        <v>59</v>
      </c>
      <c r="K41" s="90"/>
      <c r="L41" s="119"/>
      <c r="M41" s="119"/>
      <c r="N41" s="120"/>
      <c r="O41" s="120"/>
      <c r="P41" s="120"/>
      <c r="Q41" s="120"/>
      <c r="R41" s="120"/>
      <c r="S41" s="120"/>
      <c r="T41" s="120"/>
      <c r="U41" s="120"/>
      <c r="V41" s="120"/>
      <c r="W41" s="120"/>
      <c r="X41" s="120"/>
      <c r="Y41" s="120"/>
      <c r="Z41" s="120"/>
      <c r="AA41" s="120"/>
      <c r="AB41" s="120"/>
      <c r="AC41" s="120"/>
      <c r="AD41" s="120"/>
      <c r="AE41" s="93"/>
      <c r="AF41" s="143"/>
      <c r="AG41" s="144"/>
      <c r="AH41" s="143"/>
      <c r="AI41" s="143"/>
      <c r="AJ41" s="143"/>
      <c r="AK41" s="143"/>
      <c r="AL41" s="143"/>
      <c r="AM41" s="143"/>
      <c r="AN41" s="143"/>
      <c r="AO41" s="93"/>
      <c r="AP41" s="144">
        <f t="shared" si="2"/>
        <v>2</v>
      </c>
      <c r="AQ41" s="93"/>
      <c r="AR41" s="144" t="e">
        <f>#REF!</f>
        <v>#REF!</v>
      </c>
      <c r="AS41" s="144" t="str">
        <f t="shared" si="0"/>
        <v/>
      </c>
      <c r="AT41" s="93"/>
      <c r="AU41" s="144" t="b">
        <f t="shared" si="1"/>
        <v>1</v>
      </c>
      <c r="AV41" s="93"/>
    </row>
    <row r="42" spans="1:48">
      <c r="A42" s="90"/>
      <c r="B42" s="121" t="s">
        <v>66</v>
      </c>
      <c r="C42" s="117" t="s">
        <v>81</v>
      </c>
      <c r="D42" s="221" t="s">
        <v>103</v>
      </c>
      <c r="E42" s="222"/>
      <c r="F42" s="174" t="s">
        <v>202</v>
      </c>
      <c r="G42" s="117">
        <v>4</v>
      </c>
      <c r="H42" s="123"/>
      <c r="I42" s="118" t="s">
        <v>144</v>
      </c>
      <c r="J42" s="150" t="s">
        <v>59</v>
      </c>
      <c r="K42" s="90"/>
      <c r="L42" s="119"/>
      <c r="M42" s="119"/>
      <c r="N42" s="120"/>
      <c r="O42" s="120"/>
      <c r="P42" s="120"/>
      <c r="Q42" s="120"/>
      <c r="R42" s="120"/>
      <c r="S42" s="120"/>
      <c r="T42" s="120"/>
      <c r="U42" s="120"/>
      <c r="V42" s="120"/>
      <c r="W42" s="120"/>
      <c r="X42" s="120"/>
      <c r="Y42" s="120"/>
      <c r="Z42" s="120"/>
      <c r="AA42" s="120"/>
      <c r="AB42" s="120"/>
      <c r="AC42" s="120"/>
      <c r="AD42" s="120"/>
      <c r="AE42" s="93"/>
      <c r="AF42" s="143"/>
      <c r="AG42" s="144"/>
      <c r="AH42" s="143"/>
      <c r="AI42" s="143"/>
      <c r="AJ42" s="143"/>
      <c r="AK42" s="143"/>
      <c r="AL42" s="143"/>
      <c r="AM42" s="143"/>
      <c r="AN42" s="143"/>
      <c r="AO42" s="93"/>
      <c r="AP42" s="144">
        <f t="shared" si="2"/>
        <v>4</v>
      </c>
      <c r="AQ42" s="93"/>
      <c r="AR42" s="144" t="e">
        <f>#REF!</f>
        <v>#REF!</v>
      </c>
      <c r="AS42" s="144" t="str">
        <f t="shared" si="0"/>
        <v/>
      </c>
      <c r="AT42" s="93"/>
      <c r="AU42" s="144" t="b">
        <f t="shared" si="1"/>
        <v>1</v>
      </c>
      <c r="AV42" s="93"/>
    </row>
    <row r="43" spans="1:48">
      <c r="A43" s="90"/>
      <c r="B43" s="121" t="s">
        <v>66</v>
      </c>
      <c r="C43" s="117" t="s">
        <v>71</v>
      </c>
      <c r="D43" s="221" t="s">
        <v>3</v>
      </c>
      <c r="E43" s="222"/>
      <c r="F43" s="174" t="s">
        <v>202</v>
      </c>
      <c r="G43" s="117">
        <v>5</v>
      </c>
      <c r="H43" s="123"/>
      <c r="I43" s="118" t="s">
        <v>144</v>
      </c>
      <c r="J43" s="150" t="s">
        <v>59</v>
      </c>
      <c r="K43" s="90"/>
      <c r="L43" s="119"/>
      <c r="M43" s="119"/>
      <c r="N43" s="120"/>
      <c r="O43" s="120"/>
      <c r="P43" s="120"/>
      <c r="Q43" s="120"/>
      <c r="R43" s="120"/>
      <c r="S43" s="120"/>
      <c r="T43" s="120"/>
      <c r="U43" s="120"/>
      <c r="V43" s="120"/>
      <c r="W43" s="120"/>
      <c r="X43" s="120"/>
      <c r="Y43" s="120"/>
      <c r="Z43" s="120"/>
      <c r="AA43" s="120"/>
      <c r="AB43" s="120"/>
      <c r="AC43" s="120"/>
      <c r="AD43" s="120"/>
      <c r="AE43" s="93"/>
      <c r="AF43" s="143"/>
      <c r="AG43" s="144"/>
      <c r="AH43" s="143"/>
      <c r="AI43" s="143"/>
      <c r="AJ43" s="143"/>
      <c r="AK43" s="143"/>
      <c r="AL43" s="143"/>
      <c r="AM43" s="143"/>
      <c r="AN43" s="143"/>
      <c r="AO43" s="93"/>
      <c r="AP43" s="144">
        <f t="shared" si="2"/>
        <v>5</v>
      </c>
      <c r="AQ43" s="93"/>
      <c r="AR43" s="144" t="e">
        <f>#REF!</f>
        <v>#REF!</v>
      </c>
      <c r="AS43" s="144" t="str">
        <f t="shared" si="0"/>
        <v/>
      </c>
      <c r="AT43" s="93"/>
      <c r="AU43" s="144" t="b">
        <f t="shared" si="1"/>
        <v>1</v>
      </c>
      <c r="AV43" s="93"/>
    </row>
    <row r="44" spans="1:48">
      <c r="A44" s="90"/>
      <c r="B44" s="121" t="s">
        <v>66</v>
      </c>
      <c r="C44" s="117" t="s">
        <v>55</v>
      </c>
      <c r="D44" s="221" t="s">
        <v>146</v>
      </c>
      <c r="E44" s="222"/>
      <c r="F44" s="174" t="s">
        <v>102</v>
      </c>
      <c r="G44" s="117">
        <v>3</v>
      </c>
      <c r="H44" s="123"/>
      <c r="I44" s="118" t="s">
        <v>113</v>
      </c>
      <c r="J44" s="150" t="s">
        <v>59</v>
      </c>
      <c r="K44" s="90"/>
      <c r="L44" s="119"/>
      <c r="M44" s="119"/>
      <c r="N44" s="120"/>
      <c r="O44" s="120"/>
      <c r="P44" s="120"/>
      <c r="Q44" s="120"/>
      <c r="R44" s="120"/>
      <c r="S44" s="120"/>
      <c r="T44" s="120"/>
      <c r="U44" s="120"/>
      <c r="V44" s="120"/>
      <c r="W44" s="120"/>
      <c r="X44" s="120"/>
      <c r="Y44" s="120"/>
      <c r="Z44" s="120"/>
      <c r="AA44" s="120"/>
      <c r="AB44" s="120"/>
      <c r="AC44" s="120"/>
      <c r="AD44" s="120"/>
      <c r="AE44" s="93"/>
      <c r="AF44" s="143"/>
      <c r="AG44" s="144"/>
      <c r="AH44" s="143"/>
      <c r="AI44" s="143"/>
      <c r="AJ44" s="143"/>
      <c r="AK44" s="143"/>
      <c r="AL44" s="143"/>
      <c r="AM44" s="143"/>
      <c r="AN44" s="143"/>
      <c r="AO44" s="93"/>
      <c r="AP44" s="144">
        <f t="shared" si="2"/>
        <v>0</v>
      </c>
      <c r="AQ44" s="93"/>
      <c r="AR44" s="144" t="e">
        <f>#REF!</f>
        <v>#REF!</v>
      </c>
      <c r="AS44" s="144" t="str">
        <f t="shared" si="0"/>
        <v/>
      </c>
      <c r="AT44" s="93"/>
      <c r="AU44" s="144" t="b">
        <f t="shared" si="1"/>
        <v>0</v>
      </c>
      <c r="AV44" s="93"/>
    </row>
    <row r="45" spans="1:48">
      <c r="A45" s="90"/>
      <c r="B45" s="121" t="s">
        <v>66</v>
      </c>
      <c r="C45" s="117">
        <v>15</v>
      </c>
      <c r="D45" s="221" t="s">
        <v>138</v>
      </c>
      <c r="E45" s="222"/>
      <c r="F45" s="174" t="s">
        <v>102</v>
      </c>
      <c r="G45" s="117">
        <v>1</v>
      </c>
      <c r="H45" s="123"/>
      <c r="I45" s="118" t="s">
        <v>113</v>
      </c>
      <c r="J45" s="150" t="s">
        <v>59</v>
      </c>
      <c r="K45" s="90"/>
      <c r="L45" s="119"/>
      <c r="M45" s="119"/>
      <c r="N45" s="120"/>
      <c r="O45" s="120"/>
      <c r="P45" s="120"/>
      <c r="Q45" s="120"/>
      <c r="R45" s="120"/>
      <c r="S45" s="120"/>
      <c r="T45" s="120"/>
      <c r="U45" s="120"/>
      <c r="V45" s="120"/>
      <c r="W45" s="120"/>
      <c r="X45" s="120"/>
      <c r="Y45" s="120"/>
      <c r="Z45" s="120"/>
      <c r="AA45" s="120"/>
      <c r="AB45" s="120"/>
      <c r="AC45" s="120"/>
      <c r="AD45" s="120"/>
      <c r="AE45" s="93"/>
      <c r="AF45" s="143"/>
      <c r="AG45" s="144"/>
      <c r="AH45" s="143"/>
      <c r="AI45" s="143"/>
      <c r="AJ45" s="143"/>
      <c r="AK45" s="143"/>
      <c r="AL45" s="143"/>
      <c r="AM45" s="143"/>
      <c r="AN45" s="143"/>
      <c r="AO45" s="93"/>
      <c r="AP45" s="144">
        <f t="shared" si="2"/>
        <v>0</v>
      </c>
      <c r="AQ45" s="93"/>
      <c r="AR45" s="144" t="e">
        <f>#REF!</f>
        <v>#REF!</v>
      </c>
      <c r="AS45" s="144" t="str">
        <f t="shared" si="0"/>
        <v/>
      </c>
      <c r="AT45" s="93"/>
      <c r="AU45" s="144" t="b">
        <f t="shared" si="1"/>
        <v>0</v>
      </c>
      <c r="AV45" s="93"/>
    </row>
    <row r="46" spans="1:48">
      <c r="A46" s="90"/>
      <c r="B46" s="121" t="s">
        <v>79</v>
      </c>
      <c r="C46" s="117">
        <v>1</v>
      </c>
      <c r="D46" s="221" t="s">
        <v>70</v>
      </c>
      <c r="E46" s="222"/>
      <c r="F46" s="174" t="s">
        <v>102</v>
      </c>
      <c r="G46" s="117">
        <v>1</v>
      </c>
      <c r="H46" s="123"/>
      <c r="I46" s="118" t="s">
        <v>113</v>
      </c>
      <c r="J46" s="150" t="s">
        <v>59</v>
      </c>
      <c r="K46" s="90"/>
      <c r="L46" s="119"/>
      <c r="M46" s="119"/>
      <c r="N46" s="120"/>
      <c r="O46" s="120"/>
      <c r="P46" s="120"/>
      <c r="Q46" s="120"/>
      <c r="R46" s="120"/>
      <c r="S46" s="120"/>
      <c r="T46" s="120"/>
      <c r="U46" s="120"/>
      <c r="V46" s="120"/>
      <c r="W46" s="120"/>
      <c r="X46" s="120"/>
      <c r="Y46" s="120"/>
      <c r="Z46" s="120"/>
      <c r="AA46" s="120"/>
      <c r="AB46" s="120"/>
      <c r="AC46" s="120"/>
      <c r="AD46" s="120"/>
      <c r="AE46" s="93"/>
      <c r="AF46" s="143"/>
      <c r="AG46" s="144"/>
      <c r="AH46" s="143"/>
      <c r="AI46" s="143"/>
      <c r="AJ46" s="143"/>
      <c r="AK46" s="143"/>
      <c r="AL46" s="143"/>
      <c r="AM46" s="143"/>
      <c r="AN46" s="143"/>
      <c r="AO46" s="93"/>
      <c r="AP46" s="144">
        <f t="shared" si="2"/>
        <v>0</v>
      </c>
      <c r="AQ46" s="93"/>
      <c r="AR46" s="144" t="e">
        <f>#REF!</f>
        <v>#REF!</v>
      </c>
      <c r="AS46" s="144" t="str">
        <f t="shared" si="0"/>
        <v/>
      </c>
      <c r="AT46" s="93"/>
      <c r="AU46" s="144" t="b">
        <f t="shared" si="1"/>
        <v>0</v>
      </c>
      <c r="AV46" s="93"/>
    </row>
    <row r="47" spans="1:48">
      <c r="A47" s="90"/>
      <c r="B47" s="121" t="s">
        <v>79</v>
      </c>
      <c r="C47" s="117">
        <v>4.0999999999999996</v>
      </c>
      <c r="D47" s="221" t="s">
        <v>151</v>
      </c>
      <c r="E47" s="222"/>
      <c r="F47" s="174" t="s">
        <v>102</v>
      </c>
      <c r="G47" s="117">
        <v>2</v>
      </c>
      <c r="H47" s="123"/>
      <c r="I47" s="118" t="s">
        <v>113</v>
      </c>
      <c r="J47" s="150" t="s">
        <v>59</v>
      </c>
      <c r="K47" s="90"/>
      <c r="L47" s="119"/>
      <c r="M47" s="119"/>
      <c r="N47" s="120"/>
      <c r="O47" s="120"/>
      <c r="P47" s="120"/>
      <c r="Q47" s="120"/>
      <c r="R47" s="120"/>
      <c r="S47" s="120"/>
      <c r="T47" s="120"/>
      <c r="U47" s="120"/>
      <c r="V47" s="120"/>
      <c r="W47" s="120"/>
      <c r="X47" s="120"/>
      <c r="Y47" s="120"/>
      <c r="Z47" s="120"/>
      <c r="AA47" s="120"/>
      <c r="AB47" s="120"/>
      <c r="AC47" s="120"/>
      <c r="AD47" s="120"/>
      <c r="AE47" s="93"/>
      <c r="AF47" s="143"/>
      <c r="AG47" s="144"/>
      <c r="AH47" s="143"/>
      <c r="AI47" s="143"/>
      <c r="AJ47" s="143"/>
      <c r="AK47" s="143"/>
      <c r="AL47" s="143"/>
      <c r="AM47" s="143"/>
      <c r="AN47" s="143"/>
      <c r="AO47" s="93"/>
      <c r="AP47" s="144">
        <f t="shared" si="2"/>
        <v>0</v>
      </c>
      <c r="AQ47" s="93"/>
      <c r="AR47" s="144" t="e">
        <f>#REF!</f>
        <v>#REF!</v>
      </c>
      <c r="AS47" s="144" t="str">
        <f t="shared" si="0"/>
        <v/>
      </c>
      <c r="AT47" s="93"/>
      <c r="AU47" s="144" t="b">
        <f t="shared" si="1"/>
        <v>0</v>
      </c>
      <c r="AV47" s="93"/>
    </row>
    <row r="48" spans="1:48">
      <c r="A48" s="90"/>
      <c r="B48" s="121" t="s">
        <v>79</v>
      </c>
      <c r="C48" s="117">
        <v>4.2</v>
      </c>
      <c r="D48" s="221" t="s">
        <v>89</v>
      </c>
      <c r="E48" s="222"/>
      <c r="F48" s="174" t="s">
        <v>102</v>
      </c>
      <c r="G48" s="117">
        <v>5</v>
      </c>
      <c r="H48" s="123"/>
      <c r="I48" s="118" t="s">
        <v>113</v>
      </c>
      <c r="J48" s="150" t="s">
        <v>59</v>
      </c>
      <c r="K48" s="90"/>
      <c r="L48" s="119"/>
      <c r="M48" s="119"/>
      <c r="N48" s="120"/>
      <c r="O48" s="120"/>
      <c r="P48" s="120"/>
      <c r="Q48" s="120"/>
      <c r="R48" s="120"/>
      <c r="S48" s="120"/>
      <c r="T48" s="120"/>
      <c r="U48" s="120"/>
      <c r="V48" s="120"/>
      <c r="W48" s="120"/>
      <c r="X48" s="120"/>
      <c r="Y48" s="120"/>
      <c r="Z48" s="120"/>
      <c r="AA48" s="120"/>
      <c r="AB48" s="120"/>
      <c r="AC48" s="120"/>
      <c r="AD48" s="120"/>
      <c r="AE48" s="93"/>
      <c r="AF48" s="143"/>
      <c r="AG48" s="144"/>
      <c r="AH48" s="143"/>
      <c r="AI48" s="143"/>
      <c r="AJ48" s="143"/>
      <c r="AK48" s="143"/>
      <c r="AL48" s="143"/>
      <c r="AM48" s="143"/>
      <c r="AN48" s="143"/>
      <c r="AO48" s="93"/>
      <c r="AP48" s="144">
        <f t="shared" si="2"/>
        <v>0</v>
      </c>
      <c r="AQ48" s="93"/>
      <c r="AR48" s="144" t="e">
        <f>#REF!</f>
        <v>#REF!</v>
      </c>
      <c r="AS48" s="144" t="str">
        <f t="shared" si="0"/>
        <v/>
      </c>
      <c r="AT48" s="93"/>
      <c r="AU48" s="144" t="b">
        <f t="shared" si="1"/>
        <v>0</v>
      </c>
      <c r="AV48" s="93"/>
    </row>
    <row r="49" spans="1:48">
      <c r="A49" s="90"/>
      <c r="B49" s="121" t="s">
        <v>79</v>
      </c>
      <c r="C49" s="117">
        <v>4.3</v>
      </c>
      <c r="D49" s="221" t="s">
        <v>110</v>
      </c>
      <c r="E49" s="222"/>
      <c r="F49" s="174" t="s">
        <v>202</v>
      </c>
      <c r="G49" s="117">
        <v>2</v>
      </c>
      <c r="H49" s="123"/>
      <c r="I49" s="118" t="s">
        <v>144</v>
      </c>
      <c r="J49" s="150" t="s">
        <v>59</v>
      </c>
      <c r="K49" s="90"/>
      <c r="L49" s="119"/>
      <c r="M49" s="119"/>
      <c r="N49" s="120"/>
      <c r="O49" s="120"/>
      <c r="P49" s="120"/>
      <c r="Q49" s="120"/>
      <c r="R49" s="120"/>
      <c r="S49" s="120"/>
      <c r="T49" s="120"/>
      <c r="U49" s="120"/>
      <c r="V49" s="120"/>
      <c r="W49" s="120"/>
      <c r="X49" s="120"/>
      <c r="Y49" s="120"/>
      <c r="Z49" s="120"/>
      <c r="AA49" s="120"/>
      <c r="AB49" s="120"/>
      <c r="AC49" s="120"/>
      <c r="AD49" s="120"/>
      <c r="AE49" s="93"/>
      <c r="AF49" s="143"/>
      <c r="AG49" s="144"/>
      <c r="AH49" s="143"/>
      <c r="AI49" s="143"/>
      <c r="AJ49" s="143"/>
      <c r="AK49" s="143"/>
      <c r="AL49" s="143"/>
      <c r="AM49" s="143"/>
      <c r="AN49" s="143"/>
      <c r="AO49" s="93"/>
      <c r="AP49" s="144">
        <f t="shared" si="2"/>
        <v>2</v>
      </c>
      <c r="AQ49" s="93"/>
      <c r="AR49" s="144" t="e">
        <f>#REF!</f>
        <v>#REF!</v>
      </c>
      <c r="AS49" s="144" t="str">
        <f t="shared" si="0"/>
        <v/>
      </c>
      <c r="AT49" s="93"/>
      <c r="AU49" s="144" t="b">
        <f t="shared" si="1"/>
        <v>1</v>
      </c>
      <c r="AV49" s="93"/>
    </row>
    <row r="50" spans="1:48">
      <c r="A50" s="90"/>
      <c r="B50" s="121" t="s">
        <v>79</v>
      </c>
      <c r="C50" s="117">
        <v>4.4000000000000004</v>
      </c>
      <c r="D50" s="221" t="s">
        <v>111</v>
      </c>
      <c r="E50" s="222"/>
      <c r="F50" s="174" t="s">
        <v>102</v>
      </c>
      <c r="G50" s="117">
        <v>1</v>
      </c>
      <c r="H50" s="123"/>
      <c r="I50" s="118" t="s">
        <v>113</v>
      </c>
      <c r="J50" s="150" t="s">
        <v>59</v>
      </c>
      <c r="K50" s="90"/>
      <c r="L50" s="119"/>
      <c r="M50" s="119"/>
      <c r="N50" s="120"/>
      <c r="O50" s="120"/>
      <c r="P50" s="120"/>
      <c r="Q50" s="120"/>
      <c r="R50" s="120"/>
      <c r="S50" s="120"/>
      <c r="T50" s="120"/>
      <c r="U50" s="120"/>
      <c r="V50" s="120"/>
      <c r="W50" s="120"/>
      <c r="X50" s="120"/>
      <c r="Y50" s="120"/>
      <c r="Z50" s="120"/>
      <c r="AA50" s="120"/>
      <c r="AB50" s="120"/>
      <c r="AC50" s="120"/>
      <c r="AD50" s="120"/>
      <c r="AE50" s="93"/>
      <c r="AF50" s="143"/>
      <c r="AG50" s="144"/>
      <c r="AH50" s="143"/>
      <c r="AI50" s="143"/>
      <c r="AJ50" s="143"/>
      <c r="AK50" s="143"/>
      <c r="AL50" s="143"/>
      <c r="AM50" s="143"/>
      <c r="AN50" s="143"/>
      <c r="AO50" s="93"/>
      <c r="AP50" s="144">
        <f t="shared" si="2"/>
        <v>0</v>
      </c>
      <c r="AQ50" s="93"/>
      <c r="AR50" s="144" t="e">
        <f>#REF!</f>
        <v>#REF!</v>
      </c>
      <c r="AS50" s="144" t="str">
        <f t="shared" si="0"/>
        <v/>
      </c>
      <c r="AT50" s="93"/>
      <c r="AU50" s="144" t="b">
        <f t="shared" si="1"/>
        <v>0</v>
      </c>
      <c r="AV50" s="93"/>
    </row>
    <row r="51" spans="1:48">
      <c r="A51" s="90"/>
      <c r="B51" s="121" t="s">
        <v>79</v>
      </c>
      <c r="C51" s="117">
        <v>4.5</v>
      </c>
      <c r="D51" s="221" t="s">
        <v>83</v>
      </c>
      <c r="E51" s="222"/>
      <c r="F51" s="174" t="s">
        <v>102</v>
      </c>
      <c r="G51" s="117">
        <v>11</v>
      </c>
      <c r="H51" s="123"/>
      <c r="I51" s="118" t="s">
        <v>113</v>
      </c>
      <c r="J51" s="150" t="s">
        <v>59</v>
      </c>
      <c r="K51" s="90"/>
      <c r="L51" s="119"/>
      <c r="M51" s="119"/>
      <c r="N51" s="120"/>
      <c r="O51" s="120"/>
      <c r="P51" s="120"/>
      <c r="Q51" s="120"/>
      <c r="R51" s="120"/>
      <c r="S51" s="120"/>
      <c r="T51" s="120"/>
      <c r="U51" s="120"/>
      <c r="V51" s="120"/>
      <c r="W51" s="120"/>
      <c r="X51" s="120"/>
      <c r="Y51" s="120"/>
      <c r="Z51" s="120"/>
      <c r="AA51" s="120"/>
      <c r="AB51" s="120"/>
      <c r="AC51" s="120"/>
      <c r="AD51" s="120"/>
      <c r="AE51" s="93"/>
      <c r="AF51" s="143"/>
      <c r="AG51" s="144"/>
      <c r="AH51" s="143"/>
      <c r="AI51" s="143"/>
      <c r="AJ51" s="143"/>
      <c r="AK51" s="143"/>
      <c r="AL51" s="143"/>
      <c r="AM51" s="143"/>
      <c r="AN51" s="143"/>
      <c r="AO51" s="93"/>
      <c r="AP51" s="144">
        <f t="shared" si="2"/>
        <v>0</v>
      </c>
      <c r="AQ51" s="93"/>
      <c r="AR51" s="144" t="e">
        <f>#REF!</f>
        <v>#REF!</v>
      </c>
      <c r="AS51" s="144" t="str">
        <f t="shared" si="0"/>
        <v/>
      </c>
      <c r="AT51" s="93"/>
      <c r="AU51" s="144" t="b">
        <f t="shared" si="1"/>
        <v>0</v>
      </c>
      <c r="AV51" s="93"/>
    </row>
    <row r="52" spans="1:48">
      <c r="A52" s="90"/>
      <c r="B52" s="121" t="s">
        <v>79</v>
      </c>
      <c r="C52" s="117">
        <v>4.5999999999999996</v>
      </c>
      <c r="D52" s="221" t="s">
        <v>105</v>
      </c>
      <c r="E52" s="222"/>
      <c r="F52" s="174" t="s">
        <v>102</v>
      </c>
      <c r="G52" s="117">
        <v>3</v>
      </c>
      <c r="H52" s="123"/>
      <c r="I52" s="118" t="s">
        <v>113</v>
      </c>
      <c r="J52" s="150" t="s">
        <v>59</v>
      </c>
      <c r="K52" s="90"/>
      <c r="L52" s="119"/>
      <c r="M52" s="119"/>
      <c r="N52" s="120"/>
      <c r="O52" s="120"/>
      <c r="P52" s="120"/>
      <c r="Q52" s="120"/>
      <c r="R52" s="120"/>
      <c r="S52" s="120"/>
      <c r="T52" s="120"/>
      <c r="U52" s="120"/>
      <c r="V52" s="120"/>
      <c r="W52" s="120"/>
      <c r="X52" s="120"/>
      <c r="Y52" s="120"/>
      <c r="Z52" s="120"/>
      <c r="AA52" s="120"/>
      <c r="AB52" s="120"/>
      <c r="AC52" s="120"/>
      <c r="AD52" s="120"/>
      <c r="AE52" s="93"/>
      <c r="AF52" s="143"/>
      <c r="AG52" s="144"/>
      <c r="AH52" s="143"/>
      <c r="AI52" s="143"/>
      <c r="AJ52" s="143"/>
      <c r="AK52" s="143"/>
      <c r="AL52" s="143"/>
      <c r="AM52" s="143"/>
      <c r="AN52" s="143"/>
      <c r="AO52" s="93"/>
      <c r="AP52" s="144">
        <f t="shared" si="2"/>
        <v>0</v>
      </c>
      <c r="AQ52" s="93"/>
      <c r="AR52" s="144" t="e">
        <f>#REF!</f>
        <v>#REF!</v>
      </c>
      <c r="AS52" s="144" t="str">
        <f t="shared" si="0"/>
        <v/>
      </c>
      <c r="AT52" s="93"/>
      <c r="AU52" s="144" t="b">
        <f t="shared" si="1"/>
        <v>0</v>
      </c>
      <c r="AV52" s="93"/>
    </row>
    <row r="53" spans="1:48">
      <c r="A53" s="90"/>
      <c r="B53" s="121" t="s">
        <v>79</v>
      </c>
      <c r="C53" s="117">
        <v>4.7</v>
      </c>
      <c r="D53" s="221" t="s">
        <v>137</v>
      </c>
      <c r="E53" s="222"/>
      <c r="F53" s="174" t="s">
        <v>102</v>
      </c>
      <c r="G53" s="117">
        <v>6</v>
      </c>
      <c r="H53" s="123"/>
      <c r="I53" s="118" t="s">
        <v>113</v>
      </c>
      <c r="J53" s="150" t="s">
        <v>59</v>
      </c>
      <c r="K53" s="90"/>
      <c r="L53" s="119"/>
      <c r="M53" s="119"/>
      <c r="N53" s="120"/>
      <c r="O53" s="120"/>
      <c r="P53" s="120"/>
      <c r="Q53" s="120"/>
      <c r="R53" s="120"/>
      <c r="S53" s="120"/>
      <c r="T53" s="120"/>
      <c r="U53" s="120"/>
      <c r="V53" s="120"/>
      <c r="W53" s="120"/>
      <c r="X53" s="120"/>
      <c r="Y53" s="120"/>
      <c r="Z53" s="120"/>
      <c r="AA53" s="120"/>
      <c r="AB53" s="120"/>
      <c r="AC53" s="120"/>
      <c r="AD53" s="120"/>
      <c r="AE53" s="93"/>
      <c r="AF53" s="143"/>
      <c r="AG53" s="144"/>
      <c r="AH53" s="143"/>
      <c r="AI53" s="143"/>
      <c r="AJ53" s="143"/>
      <c r="AK53" s="143"/>
      <c r="AL53" s="143"/>
      <c r="AM53" s="143"/>
      <c r="AN53" s="143"/>
      <c r="AO53" s="93"/>
      <c r="AP53" s="144">
        <f t="shared" si="2"/>
        <v>0</v>
      </c>
      <c r="AQ53" s="93"/>
      <c r="AR53" s="144" t="e">
        <f>#REF!</f>
        <v>#REF!</v>
      </c>
      <c r="AS53" s="144" t="str">
        <f t="shared" si="0"/>
        <v/>
      </c>
      <c r="AT53" s="93"/>
      <c r="AU53" s="144" t="b">
        <f t="shared" si="1"/>
        <v>0</v>
      </c>
      <c r="AV53" s="93"/>
    </row>
    <row r="54" spans="1:48">
      <c r="A54" s="90"/>
      <c r="B54" s="121" t="s">
        <v>79</v>
      </c>
      <c r="C54" s="117">
        <v>4.8</v>
      </c>
      <c r="D54" s="221" t="s">
        <v>109</v>
      </c>
      <c r="E54" s="222"/>
      <c r="F54" s="174" t="s">
        <v>202</v>
      </c>
      <c r="G54" s="117">
        <v>3</v>
      </c>
      <c r="H54" s="123"/>
      <c r="I54" s="118" t="s">
        <v>144</v>
      </c>
      <c r="J54" s="150" t="s">
        <v>59</v>
      </c>
      <c r="K54" s="90"/>
      <c r="L54" s="119"/>
      <c r="M54" s="119"/>
      <c r="N54" s="120"/>
      <c r="O54" s="120"/>
      <c r="P54" s="120"/>
      <c r="Q54" s="120"/>
      <c r="R54" s="120"/>
      <c r="S54" s="120"/>
      <c r="T54" s="120"/>
      <c r="U54" s="120"/>
      <c r="V54" s="120"/>
      <c r="W54" s="120"/>
      <c r="X54" s="120"/>
      <c r="Y54" s="120"/>
      <c r="Z54" s="120"/>
      <c r="AA54" s="120"/>
      <c r="AB54" s="120"/>
      <c r="AC54" s="120"/>
      <c r="AD54" s="120"/>
      <c r="AE54" s="93"/>
      <c r="AF54" s="143"/>
      <c r="AG54" s="144"/>
      <c r="AH54" s="143"/>
      <c r="AI54" s="143"/>
      <c r="AJ54" s="143"/>
      <c r="AK54" s="143"/>
      <c r="AL54" s="143"/>
      <c r="AM54" s="143"/>
      <c r="AN54" s="143"/>
      <c r="AO54" s="93"/>
      <c r="AP54" s="144">
        <f t="shared" si="2"/>
        <v>3</v>
      </c>
      <c r="AQ54" s="93"/>
      <c r="AR54" s="144" t="e">
        <f>#REF!</f>
        <v>#REF!</v>
      </c>
      <c r="AS54" s="144" t="str">
        <f t="shared" si="0"/>
        <v/>
      </c>
      <c r="AT54" s="93"/>
      <c r="AU54" s="144" t="b">
        <f t="shared" si="1"/>
        <v>1</v>
      </c>
      <c r="AV54" s="93"/>
    </row>
    <row r="55" spans="1:48">
      <c r="A55" s="90"/>
      <c r="B55" s="121" t="s">
        <v>79</v>
      </c>
      <c r="C55" s="117">
        <v>4.9000000000000004</v>
      </c>
      <c r="D55" s="221" t="s">
        <v>54</v>
      </c>
      <c r="E55" s="222"/>
      <c r="F55" s="174" t="s">
        <v>102</v>
      </c>
      <c r="G55" s="117">
        <v>3</v>
      </c>
      <c r="H55" s="123"/>
      <c r="I55" s="118" t="s">
        <v>113</v>
      </c>
      <c r="J55" s="150" t="s">
        <v>59</v>
      </c>
      <c r="K55" s="90"/>
      <c r="L55" s="119"/>
      <c r="M55" s="119"/>
      <c r="N55" s="120"/>
      <c r="O55" s="120"/>
      <c r="P55" s="120"/>
      <c r="Q55" s="120"/>
      <c r="R55" s="120"/>
      <c r="S55" s="120"/>
      <c r="T55" s="120"/>
      <c r="U55" s="120"/>
      <c r="V55" s="120"/>
      <c r="W55" s="120"/>
      <c r="X55" s="120"/>
      <c r="Y55" s="120"/>
      <c r="Z55" s="120"/>
      <c r="AA55" s="120"/>
      <c r="AB55" s="120"/>
      <c r="AC55" s="120"/>
      <c r="AD55" s="120"/>
      <c r="AE55" s="93"/>
      <c r="AF55" s="143"/>
      <c r="AG55" s="144"/>
      <c r="AH55" s="143"/>
      <c r="AI55" s="143"/>
      <c r="AJ55" s="143"/>
      <c r="AK55" s="143"/>
      <c r="AL55" s="143"/>
      <c r="AM55" s="143"/>
      <c r="AN55" s="143"/>
      <c r="AO55" s="93"/>
      <c r="AP55" s="144">
        <f t="shared" si="2"/>
        <v>0</v>
      </c>
      <c r="AQ55" s="93"/>
      <c r="AR55" s="144" t="e">
        <f>#REF!</f>
        <v>#REF!</v>
      </c>
      <c r="AS55" s="144" t="str">
        <f t="shared" si="0"/>
        <v/>
      </c>
      <c r="AT55" s="93"/>
      <c r="AU55" s="144" t="b">
        <f t="shared" si="1"/>
        <v>0</v>
      </c>
      <c r="AV55" s="93"/>
    </row>
    <row r="56" spans="1:48">
      <c r="A56" s="90"/>
      <c r="B56" s="121" t="s">
        <v>231</v>
      </c>
      <c r="C56" s="117" t="s">
        <v>115</v>
      </c>
      <c r="D56" s="221" t="s">
        <v>70</v>
      </c>
      <c r="E56" s="222"/>
      <c r="F56" s="174" t="s">
        <v>102</v>
      </c>
      <c r="G56" s="117">
        <v>1</v>
      </c>
      <c r="H56" s="123"/>
      <c r="I56" s="118" t="s">
        <v>113</v>
      </c>
      <c r="J56" s="150" t="s">
        <v>59</v>
      </c>
      <c r="K56" s="90"/>
      <c r="L56" s="119"/>
      <c r="M56" s="119"/>
      <c r="N56" s="120"/>
      <c r="O56" s="120"/>
      <c r="P56" s="120"/>
      <c r="Q56" s="120"/>
      <c r="R56" s="120"/>
      <c r="S56" s="120"/>
      <c r="T56" s="120"/>
      <c r="U56" s="120"/>
      <c r="V56" s="120"/>
      <c r="W56" s="120"/>
      <c r="X56" s="120"/>
      <c r="Y56" s="120"/>
      <c r="Z56" s="120"/>
      <c r="AA56" s="120"/>
      <c r="AB56" s="120"/>
      <c r="AC56" s="120"/>
      <c r="AD56" s="120"/>
      <c r="AE56" s="93"/>
      <c r="AF56" s="143"/>
      <c r="AG56" s="144"/>
      <c r="AH56" s="143"/>
      <c r="AI56" s="143"/>
      <c r="AJ56" s="143"/>
      <c r="AK56" s="143"/>
      <c r="AL56" s="143"/>
      <c r="AM56" s="143"/>
      <c r="AN56" s="143"/>
      <c r="AO56" s="93"/>
      <c r="AP56" s="144">
        <f t="shared" si="2"/>
        <v>0</v>
      </c>
      <c r="AQ56" s="93"/>
      <c r="AR56" s="144" t="e">
        <f>#REF!</f>
        <v>#REF!</v>
      </c>
      <c r="AS56" s="144" t="str">
        <f t="shared" si="0"/>
        <v/>
      </c>
      <c r="AT56" s="93"/>
      <c r="AU56" s="144" t="b">
        <f t="shared" si="1"/>
        <v>0</v>
      </c>
      <c r="AV56" s="93"/>
    </row>
    <row r="57" spans="1:48">
      <c r="A57" s="90"/>
      <c r="B57" s="121" t="s">
        <v>231</v>
      </c>
      <c r="C57" s="117" t="s">
        <v>139</v>
      </c>
      <c r="D57" s="221" t="s">
        <v>50</v>
      </c>
      <c r="E57" s="222"/>
      <c r="F57" s="174" t="s">
        <v>102</v>
      </c>
      <c r="G57" s="117">
        <v>5</v>
      </c>
      <c r="H57" s="123"/>
      <c r="I57" s="118" t="s">
        <v>113</v>
      </c>
      <c r="J57" s="150" t="s">
        <v>59</v>
      </c>
      <c r="K57" s="90"/>
      <c r="L57" s="119"/>
      <c r="M57" s="119"/>
      <c r="N57" s="120"/>
      <c r="O57" s="120"/>
      <c r="P57" s="120"/>
      <c r="Q57" s="120"/>
      <c r="R57" s="120"/>
      <c r="S57" s="120"/>
      <c r="T57" s="120"/>
      <c r="U57" s="120"/>
      <c r="V57" s="120"/>
      <c r="W57" s="120"/>
      <c r="X57" s="120"/>
      <c r="Y57" s="120"/>
      <c r="Z57" s="120"/>
      <c r="AA57" s="120"/>
      <c r="AB57" s="120"/>
      <c r="AC57" s="120"/>
      <c r="AD57" s="120"/>
      <c r="AE57" s="93"/>
      <c r="AF57" s="143"/>
      <c r="AG57" s="144"/>
      <c r="AH57" s="143"/>
      <c r="AI57" s="143"/>
      <c r="AJ57" s="143"/>
      <c r="AK57" s="143"/>
      <c r="AL57" s="143"/>
      <c r="AM57" s="143"/>
      <c r="AN57" s="143"/>
      <c r="AO57" s="93"/>
      <c r="AP57" s="144">
        <f t="shared" si="2"/>
        <v>0</v>
      </c>
      <c r="AQ57" s="93"/>
      <c r="AR57" s="144" t="e">
        <f>#REF!</f>
        <v>#REF!</v>
      </c>
      <c r="AS57" s="144" t="str">
        <f t="shared" si="0"/>
        <v/>
      </c>
      <c r="AT57" s="93"/>
      <c r="AU57" s="144" t="b">
        <f t="shared" si="1"/>
        <v>0</v>
      </c>
      <c r="AV57" s="93"/>
    </row>
    <row r="58" spans="1:48">
      <c r="A58" s="90"/>
      <c r="B58" s="121" t="s">
        <v>231</v>
      </c>
      <c r="C58" s="117" t="s">
        <v>104</v>
      </c>
      <c r="D58" s="221" t="s">
        <v>51</v>
      </c>
      <c r="E58" s="222"/>
      <c r="F58" s="174" t="s">
        <v>102</v>
      </c>
      <c r="G58" s="117">
        <v>32</v>
      </c>
      <c r="H58" s="123"/>
      <c r="I58" s="118" t="s">
        <v>113</v>
      </c>
      <c r="J58" s="150" t="s">
        <v>59</v>
      </c>
      <c r="K58" s="90"/>
      <c r="L58" s="119"/>
      <c r="M58" s="119"/>
      <c r="N58" s="120"/>
      <c r="O58" s="120"/>
      <c r="P58" s="120"/>
      <c r="Q58" s="120"/>
      <c r="R58" s="120"/>
      <c r="S58" s="120"/>
      <c r="T58" s="120"/>
      <c r="U58" s="120"/>
      <c r="V58" s="120"/>
      <c r="W58" s="120"/>
      <c r="X58" s="120"/>
      <c r="Y58" s="120"/>
      <c r="Z58" s="120"/>
      <c r="AA58" s="120"/>
      <c r="AB58" s="120"/>
      <c r="AC58" s="120"/>
      <c r="AD58" s="120"/>
      <c r="AE58" s="93"/>
      <c r="AF58" s="143"/>
      <c r="AG58" s="144"/>
      <c r="AH58" s="143"/>
      <c r="AI58" s="143"/>
      <c r="AJ58" s="143"/>
      <c r="AK58" s="143"/>
      <c r="AL58" s="143"/>
      <c r="AM58" s="143"/>
      <c r="AN58" s="143"/>
      <c r="AO58" s="93"/>
      <c r="AP58" s="144">
        <f t="shared" si="2"/>
        <v>0</v>
      </c>
      <c r="AQ58" s="93"/>
      <c r="AR58" s="144" t="e">
        <f>#REF!</f>
        <v>#REF!</v>
      </c>
      <c r="AS58" s="144" t="str">
        <f t="shared" si="0"/>
        <v/>
      </c>
      <c r="AT58" s="93"/>
      <c r="AU58" s="144" t="b">
        <f t="shared" si="1"/>
        <v>0</v>
      </c>
      <c r="AV58" s="93"/>
    </row>
    <row r="59" spans="1:48">
      <c r="A59" s="90"/>
      <c r="B59" s="121" t="s">
        <v>231</v>
      </c>
      <c r="C59" s="117" t="s">
        <v>114</v>
      </c>
      <c r="D59" s="221" t="s">
        <v>17</v>
      </c>
      <c r="E59" s="222"/>
      <c r="F59" s="174" t="s">
        <v>102</v>
      </c>
      <c r="G59" s="117">
        <v>3</v>
      </c>
      <c r="H59" s="123"/>
      <c r="I59" s="118" t="s">
        <v>113</v>
      </c>
      <c r="J59" s="150" t="s">
        <v>59</v>
      </c>
      <c r="K59" s="90"/>
      <c r="L59" s="119"/>
      <c r="M59" s="119"/>
      <c r="N59" s="120"/>
      <c r="O59" s="120"/>
      <c r="P59" s="120"/>
      <c r="Q59" s="120"/>
      <c r="R59" s="120"/>
      <c r="S59" s="120"/>
      <c r="T59" s="120"/>
      <c r="U59" s="120"/>
      <c r="V59" s="120"/>
      <c r="W59" s="120"/>
      <c r="X59" s="120"/>
      <c r="Y59" s="120"/>
      <c r="Z59" s="120"/>
      <c r="AA59" s="120"/>
      <c r="AB59" s="120"/>
      <c r="AC59" s="120"/>
      <c r="AD59" s="120"/>
      <c r="AE59" s="93"/>
      <c r="AF59" s="143"/>
      <c r="AG59" s="144"/>
      <c r="AH59" s="143"/>
      <c r="AI59" s="143"/>
      <c r="AJ59" s="143"/>
      <c r="AK59" s="143"/>
      <c r="AL59" s="143"/>
      <c r="AM59" s="143"/>
      <c r="AN59" s="143"/>
      <c r="AO59" s="93"/>
      <c r="AP59" s="144">
        <f t="shared" si="2"/>
        <v>0</v>
      </c>
      <c r="AQ59" s="93"/>
      <c r="AR59" s="144" t="e">
        <f>#REF!</f>
        <v>#REF!</v>
      </c>
      <c r="AS59" s="144" t="str">
        <f t="shared" si="0"/>
        <v/>
      </c>
      <c r="AT59" s="93"/>
      <c r="AU59" s="144" t="b">
        <f t="shared" si="1"/>
        <v>0</v>
      </c>
      <c r="AV59" s="93"/>
    </row>
    <row r="60" spans="1:48">
      <c r="A60" s="90"/>
      <c r="B60" s="121" t="s">
        <v>231</v>
      </c>
      <c r="C60" s="117" t="s">
        <v>116</v>
      </c>
      <c r="D60" s="221" t="s">
        <v>18</v>
      </c>
      <c r="E60" s="222"/>
      <c r="F60" s="174" t="s">
        <v>202</v>
      </c>
      <c r="G60" s="117">
        <v>6</v>
      </c>
      <c r="H60" s="123"/>
      <c r="I60" s="118" t="s">
        <v>144</v>
      </c>
      <c r="J60" s="150" t="s">
        <v>59</v>
      </c>
      <c r="K60" s="90"/>
      <c r="L60" s="119"/>
      <c r="M60" s="119"/>
      <c r="N60" s="120"/>
      <c r="O60" s="120"/>
      <c r="P60" s="120"/>
      <c r="Q60" s="120"/>
      <c r="R60" s="120"/>
      <c r="S60" s="120"/>
      <c r="T60" s="120"/>
      <c r="U60" s="120"/>
      <c r="V60" s="120"/>
      <c r="W60" s="120"/>
      <c r="X60" s="120"/>
      <c r="Y60" s="120"/>
      <c r="Z60" s="120"/>
      <c r="AA60" s="120"/>
      <c r="AB60" s="120"/>
      <c r="AC60" s="120"/>
      <c r="AD60" s="120"/>
      <c r="AE60" s="93"/>
      <c r="AF60" s="143"/>
      <c r="AG60" s="144"/>
      <c r="AH60" s="143"/>
      <c r="AI60" s="143"/>
      <c r="AJ60" s="143"/>
      <c r="AK60" s="143"/>
      <c r="AL60" s="143"/>
      <c r="AM60" s="143"/>
      <c r="AN60" s="143"/>
      <c r="AO60" s="93"/>
      <c r="AP60" s="144">
        <f t="shared" si="2"/>
        <v>6</v>
      </c>
      <c r="AQ60" s="93"/>
      <c r="AR60" s="144" t="e">
        <f>#REF!</f>
        <v>#REF!</v>
      </c>
      <c r="AS60" s="144" t="str">
        <f t="shared" si="0"/>
        <v/>
      </c>
      <c r="AT60" s="93"/>
      <c r="AU60" s="144" t="b">
        <f t="shared" si="1"/>
        <v>1</v>
      </c>
      <c r="AV60" s="93"/>
    </row>
    <row r="61" spans="1:48">
      <c r="A61" s="90"/>
      <c r="B61" s="121" t="s">
        <v>231</v>
      </c>
      <c r="C61" s="117" t="s">
        <v>35</v>
      </c>
      <c r="D61" s="221" t="s">
        <v>19</v>
      </c>
      <c r="E61" s="222"/>
      <c r="F61" s="174" t="s">
        <v>102</v>
      </c>
      <c r="G61" s="117">
        <v>1</v>
      </c>
      <c r="H61" s="123"/>
      <c r="I61" s="118" t="s">
        <v>113</v>
      </c>
      <c r="J61" s="150" t="s">
        <v>59</v>
      </c>
      <c r="K61" s="90"/>
      <c r="L61" s="119"/>
      <c r="M61" s="119"/>
      <c r="N61" s="120"/>
      <c r="O61" s="120"/>
      <c r="P61" s="120"/>
      <c r="Q61" s="120"/>
      <c r="R61" s="120"/>
      <c r="S61" s="120"/>
      <c r="T61" s="120"/>
      <c r="U61" s="120"/>
      <c r="V61" s="120"/>
      <c r="W61" s="120"/>
      <c r="X61" s="120"/>
      <c r="Y61" s="120"/>
      <c r="Z61" s="120"/>
      <c r="AA61" s="120"/>
      <c r="AB61" s="120"/>
      <c r="AC61" s="120"/>
      <c r="AD61" s="120"/>
      <c r="AE61" s="93"/>
      <c r="AF61" s="143"/>
      <c r="AG61" s="144"/>
      <c r="AH61" s="143"/>
      <c r="AI61" s="143"/>
      <c r="AJ61" s="143"/>
      <c r="AK61" s="143"/>
      <c r="AL61" s="143"/>
      <c r="AM61" s="143"/>
      <c r="AN61" s="143"/>
      <c r="AO61" s="93"/>
      <c r="AP61" s="144">
        <f t="shared" si="2"/>
        <v>0</v>
      </c>
      <c r="AQ61" s="93"/>
      <c r="AR61" s="144" t="e">
        <f>#REF!</f>
        <v>#REF!</v>
      </c>
      <c r="AS61" s="144" t="str">
        <f t="shared" si="0"/>
        <v/>
      </c>
      <c r="AT61" s="93"/>
      <c r="AU61" s="144" t="b">
        <f t="shared" si="1"/>
        <v>0</v>
      </c>
      <c r="AV61" s="93"/>
    </row>
    <row r="62" spans="1:48">
      <c r="A62" s="90"/>
      <c r="B62" s="121" t="s">
        <v>231</v>
      </c>
      <c r="C62" s="117" t="s">
        <v>36</v>
      </c>
      <c r="D62" s="221" t="s">
        <v>20</v>
      </c>
      <c r="E62" s="222"/>
      <c r="F62" s="174" t="s">
        <v>102</v>
      </c>
      <c r="G62" s="117">
        <v>1</v>
      </c>
      <c r="H62" s="123"/>
      <c r="I62" s="118" t="s">
        <v>113</v>
      </c>
      <c r="J62" s="150" t="s">
        <v>59</v>
      </c>
      <c r="K62" s="90"/>
      <c r="L62" s="119"/>
      <c r="M62" s="119"/>
      <c r="N62" s="120"/>
      <c r="O62" s="120"/>
      <c r="P62" s="120"/>
      <c r="Q62" s="120"/>
      <c r="R62" s="120"/>
      <c r="S62" s="120"/>
      <c r="T62" s="120"/>
      <c r="U62" s="120"/>
      <c r="V62" s="120"/>
      <c r="W62" s="120"/>
      <c r="X62" s="120"/>
      <c r="Y62" s="120"/>
      <c r="Z62" s="120"/>
      <c r="AA62" s="120"/>
      <c r="AB62" s="120"/>
      <c r="AC62" s="120"/>
      <c r="AD62" s="120"/>
      <c r="AE62" s="93"/>
      <c r="AF62" s="143"/>
      <c r="AG62" s="144"/>
      <c r="AH62" s="143"/>
      <c r="AI62" s="143"/>
      <c r="AJ62" s="143"/>
      <c r="AK62" s="143"/>
      <c r="AL62" s="143"/>
      <c r="AM62" s="143"/>
      <c r="AN62" s="143"/>
      <c r="AO62" s="93"/>
      <c r="AP62" s="144">
        <f t="shared" si="2"/>
        <v>0</v>
      </c>
      <c r="AQ62" s="93"/>
      <c r="AR62" s="144" t="e">
        <f>#REF!</f>
        <v>#REF!</v>
      </c>
      <c r="AS62" s="144" t="str">
        <f t="shared" si="0"/>
        <v/>
      </c>
      <c r="AT62" s="93"/>
      <c r="AU62" s="144" t="b">
        <f t="shared" si="1"/>
        <v>0</v>
      </c>
      <c r="AV62" s="93"/>
    </row>
    <row r="63" spans="1:48">
      <c r="A63" s="90"/>
      <c r="B63" s="121" t="s">
        <v>231</v>
      </c>
      <c r="C63" s="117" t="s">
        <v>37</v>
      </c>
      <c r="D63" s="221" t="s">
        <v>22</v>
      </c>
      <c r="E63" s="222"/>
      <c r="F63" s="174" t="s">
        <v>202</v>
      </c>
      <c r="G63" s="117">
        <v>2</v>
      </c>
      <c r="H63" s="123"/>
      <c r="I63" s="118" t="s">
        <v>144</v>
      </c>
      <c r="J63" s="150" t="s">
        <v>59</v>
      </c>
      <c r="K63" s="90"/>
      <c r="L63" s="119"/>
      <c r="M63" s="119"/>
      <c r="N63" s="120"/>
      <c r="O63" s="120"/>
      <c r="P63" s="120"/>
      <c r="Q63" s="120"/>
      <c r="R63" s="120"/>
      <c r="S63" s="120"/>
      <c r="T63" s="120"/>
      <c r="U63" s="120"/>
      <c r="V63" s="120"/>
      <c r="W63" s="120"/>
      <c r="X63" s="120"/>
      <c r="Y63" s="120"/>
      <c r="Z63" s="120"/>
      <c r="AA63" s="120"/>
      <c r="AB63" s="120"/>
      <c r="AC63" s="120"/>
      <c r="AD63" s="120"/>
      <c r="AE63" s="93"/>
      <c r="AF63" s="143"/>
      <c r="AG63" s="144"/>
      <c r="AH63" s="143"/>
      <c r="AI63" s="143"/>
      <c r="AJ63" s="143"/>
      <c r="AK63" s="143"/>
      <c r="AL63" s="143"/>
      <c r="AM63" s="143"/>
      <c r="AN63" s="143"/>
      <c r="AO63" s="93"/>
      <c r="AP63" s="144">
        <f t="shared" si="2"/>
        <v>2</v>
      </c>
      <c r="AQ63" s="93"/>
      <c r="AR63" s="144" t="e">
        <f>#REF!</f>
        <v>#REF!</v>
      </c>
      <c r="AS63" s="144" t="str">
        <f t="shared" si="0"/>
        <v/>
      </c>
      <c r="AT63" s="93"/>
      <c r="AU63" s="144" t="b">
        <f t="shared" si="1"/>
        <v>1</v>
      </c>
      <c r="AV63" s="93"/>
    </row>
    <row r="64" spans="1:48">
      <c r="A64" s="90"/>
      <c r="B64" s="121" t="s">
        <v>231</v>
      </c>
      <c r="C64" s="117" t="s">
        <v>38</v>
      </c>
      <c r="D64" s="221" t="s">
        <v>62</v>
      </c>
      <c r="E64" s="222"/>
      <c r="F64" s="174" t="s">
        <v>102</v>
      </c>
      <c r="G64" s="117">
        <v>1</v>
      </c>
      <c r="H64" s="123"/>
      <c r="I64" s="118" t="s">
        <v>113</v>
      </c>
      <c r="J64" s="150" t="s">
        <v>59</v>
      </c>
      <c r="K64" s="90"/>
      <c r="L64" s="119"/>
      <c r="M64" s="119"/>
      <c r="N64" s="120"/>
      <c r="O64" s="120"/>
      <c r="P64" s="120"/>
      <c r="Q64" s="120"/>
      <c r="R64" s="120"/>
      <c r="S64" s="120"/>
      <c r="T64" s="120"/>
      <c r="U64" s="120"/>
      <c r="V64" s="120"/>
      <c r="W64" s="120"/>
      <c r="X64" s="120"/>
      <c r="Y64" s="120"/>
      <c r="Z64" s="120"/>
      <c r="AA64" s="120"/>
      <c r="AB64" s="120"/>
      <c r="AC64" s="120"/>
      <c r="AD64" s="120"/>
      <c r="AE64" s="93"/>
      <c r="AF64" s="143"/>
      <c r="AG64" s="144"/>
      <c r="AH64" s="143"/>
      <c r="AI64" s="143"/>
      <c r="AJ64" s="143"/>
      <c r="AK64" s="143"/>
      <c r="AL64" s="143"/>
      <c r="AM64" s="143"/>
      <c r="AN64" s="143"/>
      <c r="AO64" s="93"/>
      <c r="AP64" s="144">
        <f t="shared" si="2"/>
        <v>0</v>
      </c>
      <c r="AQ64" s="93"/>
      <c r="AR64" s="144" t="e">
        <f>#REF!</f>
        <v>#REF!</v>
      </c>
      <c r="AS64" s="144" t="str">
        <f t="shared" si="0"/>
        <v/>
      </c>
      <c r="AT64" s="93"/>
      <c r="AU64" s="144" t="b">
        <f t="shared" si="1"/>
        <v>0</v>
      </c>
      <c r="AV64" s="93"/>
    </row>
    <row r="65" spans="1:48">
      <c r="A65" s="90"/>
      <c r="B65" s="121" t="s">
        <v>231</v>
      </c>
      <c r="C65" s="117" t="s">
        <v>73</v>
      </c>
      <c r="D65" s="221" t="s">
        <v>40</v>
      </c>
      <c r="E65" s="222"/>
      <c r="F65" s="174" t="s">
        <v>202</v>
      </c>
      <c r="G65" s="117">
        <v>2</v>
      </c>
      <c r="H65" s="123"/>
      <c r="I65" s="118" t="s">
        <v>144</v>
      </c>
      <c r="J65" s="150" t="s">
        <v>59</v>
      </c>
      <c r="K65" s="90"/>
      <c r="L65" s="119"/>
      <c r="M65" s="119"/>
      <c r="N65" s="120"/>
      <c r="O65" s="120"/>
      <c r="P65" s="120"/>
      <c r="Q65" s="120"/>
      <c r="R65" s="120"/>
      <c r="S65" s="120"/>
      <c r="T65" s="120"/>
      <c r="U65" s="120"/>
      <c r="V65" s="120"/>
      <c r="W65" s="120"/>
      <c r="X65" s="120"/>
      <c r="Y65" s="120"/>
      <c r="Z65" s="120"/>
      <c r="AA65" s="120"/>
      <c r="AB65" s="120"/>
      <c r="AC65" s="120"/>
      <c r="AD65" s="120"/>
      <c r="AE65" s="93"/>
      <c r="AF65" s="143"/>
      <c r="AG65" s="144"/>
      <c r="AH65" s="143"/>
      <c r="AI65" s="143"/>
      <c r="AJ65" s="143"/>
      <c r="AK65" s="143"/>
      <c r="AL65" s="143"/>
      <c r="AM65" s="143"/>
      <c r="AN65" s="143"/>
      <c r="AO65" s="93"/>
      <c r="AP65" s="144">
        <f t="shared" si="2"/>
        <v>2</v>
      </c>
      <c r="AQ65" s="93"/>
      <c r="AR65" s="144" t="e">
        <f>#REF!</f>
        <v>#REF!</v>
      </c>
      <c r="AS65" s="144" t="str">
        <f t="shared" si="0"/>
        <v/>
      </c>
      <c r="AT65" s="93"/>
      <c r="AU65" s="144" t="b">
        <f t="shared" si="1"/>
        <v>1</v>
      </c>
      <c r="AV65" s="93"/>
    </row>
    <row r="66" spans="1:48">
      <c r="A66" s="90"/>
      <c r="B66" s="121" t="s">
        <v>231</v>
      </c>
      <c r="C66" s="117" t="s">
        <v>52</v>
      </c>
      <c r="D66" s="221" t="s">
        <v>56</v>
      </c>
      <c r="E66" s="222"/>
      <c r="F66" s="174" t="s">
        <v>202</v>
      </c>
      <c r="G66" s="117">
        <v>3</v>
      </c>
      <c r="H66" s="123"/>
      <c r="I66" s="118" t="s">
        <v>144</v>
      </c>
      <c r="J66" s="150" t="s">
        <v>59</v>
      </c>
      <c r="K66" s="90"/>
      <c r="L66" s="119"/>
      <c r="M66" s="119"/>
      <c r="N66" s="120"/>
      <c r="O66" s="120"/>
      <c r="P66" s="120"/>
      <c r="Q66" s="120"/>
      <c r="R66" s="120"/>
      <c r="S66" s="120"/>
      <c r="T66" s="120"/>
      <c r="U66" s="120"/>
      <c r="V66" s="120"/>
      <c r="W66" s="120"/>
      <c r="X66" s="120"/>
      <c r="Y66" s="120"/>
      <c r="Z66" s="120"/>
      <c r="AA66" s="120"/>
      <c r="AB66" s="120"/>
      <c r="AC66" s="120"/>
      <c r="AD66" s="120"/>
      <c r="AE66" s="93"/>
      <c r="AF66" s="143"/>
      <c r="AG66" s="144"/>
      <c r="AH66" s="143"/>
      <c r="AI66" s="143"/>
      <c r="AJ66" s="143"/>
      <c r="AK66" s="143"/>
      <c r="AL66" s="143"/>
      <c r="AM66" s="143"/>
      <c r="AN66" s="143"/>
      <c r="AO66" s="93"/>
      <c r="AP66" s="144">
        <f t="shared" si="2"/>
        <v>3</v>
      </c>
      <c r="AQ66" s="93"/>
      <c r="AR66" s="144" t="e">
        <f>#REF!</f>
        <v>#REF!</v>
      </c>
      <c r="AS66" s="144" t="str">
        <f t="shared" si="0"/>
        <v/>
      </c>
      <c r="AT66" s="93"/>
      <c r="AU66" s="144" t="b">
        <f t="shared" si="1"/>
        <v>1</v>
      </c>
      <c r="AV66" s="93"/>
    </row>
    <row r="67" spans="1:48">
      <c r="A67" s="90"/>
      <c r="B67" s="121" t="s">
        <v>231</v>
      </c>
      <c r="C67" s="117" t="s">
        <v>10</v>
      </c>
      <c r="D67" s="221" t="s">
        <v>78</v>
      </c>
      <c r="E67" s="222"/>
      <c r="F67" s="174" t="s">
        <v>202</v>
      </c>
      <c r="G67" s="117">
        <v>1</v>
      </c>
      <c r="H67" s="123"/>
      <c r="I67" s="118" t="s">
        <v>144</v>
      </c>
      <c r="J67" s="150" t="s">
        <v>59</v>
      </c>
      <c r="K67" s="90"/>
      <c r="L67" s="119"/>
      <c r="M67" s="119"/>
      <c r="N67" s="120"/>
      <c r="O67" s="120"/>
      <c r="P67" s="120"/>
      <c r="Q67" s="120"/>
      <c r="R67" s="120"/>
      <c r="S67" s="120"/>
      <c r="T67" s="120"/>
      <c r="U67" s="120"/>
      <c r="V67" s="120"/>
      <c r="W67" s="120"/>
      <c r="X67" s="120"/>
      <c r="Y67" s="120"/>
      <c r="Z67" s="120"/>
      <c r="AA67" s="120"/>
      <c r="AB67" s="120"/>
      <c r="AC67" s="120"/>
      <c r="AD67" s="120"/>
      <c r="AE67" s="93"/>
      <c r="AF67" s="143"/>
      <c r="AG67" s="144"/>
      <c r="AH67" s="143"/>
      <c r="AI67" s="143"/>
      <c r="AJ67" s="143"/>
      <c r="AK67" s="143"/>
      <c r="AL67" s="143"/>
      <c r="AM67" s="143"/>
      <c r="AN67" s="143"/>
      <c r="AO67" s="93"/>
      <c r="AP67" s="144">
        <f t="shared" si="2"/>
        <v>1</v>
      </c>
      <c r="AQ67" s="93"/>
      <c r="AR67" s="144" t="e">
        <f>#REF!</f>
        <v>#REF!</v>
      </c>
      <c r="AS67" s="144" t="str">
        <f t="shared" si="0"/>
        <v/>
      </c>
      <c r="AT67" s="93"/>
      <c r="AU67" s="144" t="b">
        <f t="shared" si="1"/>
        <v>1</v>
      </c>
      <c r="AV67" s="93"/>
    </row>
    <row r="68" spans="1:48">
      <c r="A68" s="90"/>
      <c r="B68" s="121" t="s">
        <v>231</v>
      </c>
      <c r="C68" s="117" t="s">
        <v>64</v>
      </c>
      <c r="D68" s="221" t="s">
        <v>103</v>
      </c>
      <c r="E68" s="222"/>
      <c r="F68" s="174" t="s">
        <v>202</v>
      </c>
      <c r="G68" s="117">
        <v>9</v>
      </c>
      <c r="H68" s="123"/>
      <c r="I68" s="118" t="s">
        <v>144</v>
      </c>
      <c r="J68" s="150" t="s">
        <v>59</v>
      </c>
      <c r="K68" s="90"/>
      <c r="L68" s="119"/>
      <c r="M68" s="119"/>
      <c r="N68" s="120"/>
      <c r="O68" s="120"/>
      <c r="P68" s="120"/>
      <c r="Q68" s="120"/>
      <c r="R68" s="120"/>
      <c r="S68" s="120"/>
      <c r="T68" s="120"/>
      <c r="U68" s="120"/>
      <c r="V68" s="120"/>
      <c r="W68" s="120"/>
      <c r="X68" s="120"/>
      <c r="Y68" s="120"/>
      <c r="Z68" s="120"/>
      <c r="AA68" s="120"/>
      <c r="AB68" s="120"/>
      <c r="AC68" s="120"/>
      <c r="AD68" s="120"/>
      <c r="AE68" s="93"/>
      <c r="AF68" s="143"/>
      <c r="AG68" s="144"/>
      <c r="AH68" s="143"/>
      <c r="AI68" s="143"/>
      <c r="AJ68" s="143"/>
      <c r="AK68" s="143"/>
      <c r="AL68" s="143"/>
      <c r="AM68" s="143"/>
      <c r="AN68" s="143"/>
      <c r="AO68" s="93"/>
      <c r="AP68" s="144">
        <f t="shared" si="2"/>
        <v>9</v>
      </c>
      <c r="AQ68" s="93"/>
      <c r="AR68" s="144" t="e">
        <f>#REF!</f>
        <v>#REF!</v>
      </c>
      <c r="AS68" s="144" t="str">
        <f t="shared" si="0"/>
        <v/>
      </c>
      <c r="AT68" s="93"/>
      <c r="AU68" s="144" t="b">
        <f t="shared" si="1"/>
        <v>1</v>
      </c>
      <c r="AV68" s="93"/>
    </row>
    <row r="69" spans="1:48">
      <c r="A69" s="90"/>
      <c r="B69" s="121" t="s">
        <v>231</v>
      </c>
      <c r="C69" s="117" t="s">
        <v>152</v>
      </c>
      <c r="D69" s="221" t="s">
        <v>3</v>
      </c>
      <c r="E69" s="222"/>
      <c r="F69" s="174" t="s">
        <v>202</v>
      </c>
      <c r="G69" s="117">
        <v>5</v>
      </c>
      <c r="H69" s="123"/>
      <c r="I69" s="118" t="s">
        <v>144</v>
      </c>
      <c r="J69" s="150" t="s">
        <v>59</v>
      </c>
      <c r="K69" s="90"/>
      <c r="L69" s="119"/>
      <c r="M69" s="119"/>
      <c r="N69" s="120"/>
      <c r="O69" s="120"/>
      <c r="P69" s="120"/>
      <c r="Q69" s="120"/>
      <c r="R69" s="120"/>
      <c r="S69" s="120"/>
      <c r="T69" s="120"/>
      <c r="U69" s="120"/>
      <c r="V69" s="120"/>
      <c r="W69" s="120"/>
      <c r="X69" s="120"/>
      <c r="Y69" s="120"/>
      <c r="Z69" s="120"/>
      <c r="AA69" s="120"/>
      <c r="AB69" s="120"/>
      <c r="AC69" s="120"/>
      <c r="AD69" s="120"/>
      <c r="AE69" s="93"/>
      <c r="AF69" s="143"/>
      <c r="AG69" s="144"/>
      <c r="AH69" s="143"/>
      <c r="AI69" s="143"/>
      <c r="AJ69" s="143"/>
      <c r="AK69" s="143"/>
      <c r="AL69" s="143"/>
      <c r="AM69" s="143"/>
      <c r="AN69" s="143"/>
      <c r="AO69" s="93"/>
      <c r="AP69" s="144">
        <f t="shared" si="2"/>
        <v>5</v>
      </c>
      <c r="AQ69" s="93"/>
      <c r="AR69" s="144" t="e">
        <f>#REF!</f>
        <v>#REF!</v>
      </c>
      <c r="AS69" s="144" t="str">
        <f t="shared" si="0"/>
        <v/>
      </c>
      <c r="AT69" s="93"/>
      <c r="AU69" s="144" t="b">
        <f t="shared" si="1"/>
        <v>1</v>
      </c>
      <c r="AV69" s="93"/>
    </row>
    <row r="70" spans="1:48">
      <c r="A70" s="90"/>
      <c r="B70" s="121" t="s">
        <v>231</v>
      </c>
      <c r="C70" s="117" t="s">
        <v>65</v>
      </c>
      <c r="D70" s="221" t="s">
        <v>146</v>
      </c>
      <c r="E70" s="222"/>
      <c r="F70" s="174" t="s">
        <v>102</v>
      </c>
      <c r="G70" s="117">
        <v>6</v>
      </c>
      <c r="H70" s="123"/>
      <c r="I70" s="118" t="s">
        <v>113</v>
      </c>
      <c r="J70" s="150" t="s">
        <v>59</v>
      </c>
      <c r="K70" s="90"/>
      <c r="L70" s="119"/>
      <c r="M70" s="119"/>
      <c r="N70" s="120"/>
      <c r="O70" s="120"/>
      <c r="P70" s="120"/>
      <c r="Q70" s="120"/>
      <c r="R70" s="120"/>
      <c r="S70" s="120"/>
      <c r="T70" s="120"/>
      <c r="U70" s="120"/>
      <c r="V70" s="120"/>
      <c r="W70" s="120"/>
      <c r="X70" s="120"/>
      <c r="Y70" s="120"/>
      <c r="Z70" s="120"/>
      <c r="AA70" s="120"/>
      <c r="AB70" s="120"/>
      <c r="AC70" s="120"/>
      <c r="AD70" s="120"/>
      <c r="AE70" s="93"/>
      <c r="AF70" s="143"/>
      <c r="AG70" s="144"/>
      <c r="AH70" s="143"/>
      <c r="AI70" s="143"/>
      <c r="AJ70" s="143"/>
      <c r="AK70" s="143"/>
      <c r="AL70" s="143"/>
      <c r="AM70" s="143"/>
      <c r="AN70" s="143"/>
      <c r="AO70" s="93"/>
      <c r="AP70" s="144">
        <f t="shared" si="2"/>
        <v>0</v>
      </c>
      <c r="AQ70" s="93"/>
      <c r="AR70" s="144" t="e">
        <f>#REF!</f>
        <v>#REF!</v>
      </c>
      <c r="AS70" s="144" t="str">
        <f t="shared" si="0"/>
        <v/>
      </c>
      <c r="AT70" s="93"/>
      <c r="AU70" s="144" t="b">
        <f t="shared" si="1"/>
        <v>0</v>
      </c>
      <c r="AV70" s="93"/>
    </row>
    <row r="71" spans="1:48">
      <c r="A71" s="90"/>
      <c r="B71" s="121" t="s">
        <v>59</v>
      </c>
      <c r="C71" s="117" t="s">
        <v>59</v>
      </c>
      <c r="D71" s="221" t="s">
        <v>59</v>
      </c>
      <c r="E71" s="222"/>
      <c r="F71" s="174"/>
      <c r="G71" s="117" t="s">
        <v>59</v>
      </c>
      <c r="H71" s="123"/>
      <c r="I71" s="118" t="s">
        <v>59</v>
      </c>
      <c r="J71" s="150" t="s">
        <v>59</v>
      </c>
      <c r="K71" s="90"/>
      <c r="L71" s="119"/>
      <c r="M71" s="119"/>
      <c r="N71" s="120"/>
      <c r="O71" s="120"/>
      <c r="P71" s="120"/>
      <c r="Q71" s="120"/>
      <c r="R71" s="120"/>
      <c r="S71" s="120"/>
      <c r="T71" s="120"/>
      <c r="U71" s="120"/>
      <c r="V71" s="120"/>
      <c r="W71" s="120"/>
      <c r="X71" s="120"/>
      <c r="Y71" s="120"/>
      <c r="Z71" s="120"/>
      <c r="AA71" s="120"/>
      <c r="AB71" s="120"/>
      <c r="AC71" s="120"/>
      <c r="AD71" s="120"/>
      <c r="AE71" s="93"/>
      <c r="AF71" s="143"/>
      <c r="AG71" s="144"/>
      <c r="AH71" s="143"/>
      <c r="AI71" s="143"/>
      <c r="AJ71" s="143"/>
      <c r="AK71" s="143"/>
      <c r="AL71" s="143"/>
      <c r="AM71" s="143"/>
      <c r="AN71" s="143"/>
      <c r="AO71" s="93"/>
      <c r="AP71" s="144">
        <f t="shared" si="2"/>
        <v>0</v>
      </c>
      <c r="AQ71" s="93"/>
      <c r="AR71" s="144" t="e">
        <f>#REF!</f>
        <v>#REF!</v>
      </c>
      <c r="AS71" s="144" t="str">
        <f t="shared" si="0"/>
        <v/>
      </c>
      <c r="AT71" s="93"/>
      <c r="AU71" s="144" t="b">
        <f t="shared" si="1"/>
        <v>0</v>
      </c>
      <c r="AV71" s="93"/>
    </row>
    <row r="72" spans="1:48">
      <c r="A72" s="90"/>
      <c r="B72" s="121" t="s">
        <v>59</v>
      </c>
      <c r="C72" s="117" t="s">
        <v>59</v>
      </c>
      <c r="D72" s="221" t="s">
        <v>59</v>
      </c>
      <c r="E72" s="222"/>
      <c r="F72" s="174"/>
      <c r="G72" s="117" t="s">
        <v>59</v>
      </c>
      <c r="H72" s="123"/>
      <c r="I72" s="118" t="s">
        <v>59</v>
      </c>
      <c r="J72" s="150" t="s">
        <v>59</v>
      </c>
      <c r="K72" s="90"/>
      <c r="L72" s="119"/>
      <c r="M72" s="119"/>
      <c r="N72" s="120"/>
      <c r="O72" s="120"/>
      <c r="P72" s="120"/>
      <c r="Q72" s="120"/>
      <c r="R72" s="120"/>
      <c r="S72" s="120"/>
      <c r="T72" s="120"/>
      <c r="U72" s="120"/>
      <c r="V72" s="120"/>
      <c r="W72" s="120"/>
      <c r="X72" s="120"/>
      <c r="Y72" s="120"/>
      <c r="Z72" s="120"/>
      <c r="AA72" s="120"/>
      <c r="AB72" s="120"/>
      <c r="AC72" s="120"/>
      <c r="AD72" s="120"/>
      <c r="AE72" s="93"/>
      <c r="AF72" s="143"/>
      <c r="AG72" s="144"/>
      <c r="AH72" s="143"/>
      <c r="AI72" s="143"/>
      <c r="AJ72" s="143"/>
      <c r="AK72" s="143"/>
      <c r="AL72" s="143"/>
      <c r="AM72" s="143"/>
      <c r="AN72" s="143"/>
      <c r="AO72" s="93"/>
      <c r="AP72" s="144">
        <f t="shared" si="2"/>
        <v>0</v>
      </c>
      <c r="AQ72" s="93"/>
      <c r="AR72" s="144" t="e">
        <f>#REF!</f>
        <v>#REF!</v>
      </c>
      <c r="AS72" s="144" t="str">
        <f t="shared" si="0"/>
        <v/>
      </c>
      <c r="AT72" s="93"/>
      <c r="AU72" s="144" t="b">
        <f t="shared" si="1"/>
        <v>0</v>
      </c>
      <c r="AV72" s="93"/>
    </row>
    <row r="73" spans="1:48">
      <c r="A73" s="90"/>
      <c r="B73" s="121" t="s">
        <v>59</v>
      </c>
      <c r="C73" s="117" t="s">
        <v>59</v>
      </c>
      <c r="D73" s="221" t="s">
        <v>59</v>
      </c>
      <c r="E73" s="222"/>
      <c r="F73" s="174"/>
      <c r="G73" s="117" t="s">
        <v>59</v>
      </c>
      <c r="H73" s="123"/>
      <c r="I73" s="118" t="s">
        <v>59</v>
      </c>
      <c r="J73" s="150" t="s">
        <v>59</v>
      </c>
      <c r="K73" s="90"/>
      <c r="L73" s="119"/>
      <c r="M73" s="119"/>
      <c r="N73" s="120"/>
      <c r="O73" s="120"/>
      <c r="P73" s="120"/>
      <c r="Q73" s="120"/>
      <c r="R73" s="120"/>
      <c r="S73" s="120"/>
      <c r="T73" s="120"/>
      <c r="U73" s="120"/>
      <c r="V73" s="120"/>
      <c r="W73" s="120"/>
      <c r="X73" s="120"/>
      <c r="Y73" s="120"/>
      <c r="Z73" s="120"/>
      <c r="AA73" s="120"/>
      <c r="AB73" s="120"/>
      <c r="AC73" s="120"/>
      <c r="AD73" s="120"/>
      <c r="AE73" s="93"/>
      <c r="AF73" s="143"/>
      <c r="AG73" s="144"/>
      <c r="AH73" s="143"/>
      <c r="AI73" s="143"/>
      <c r="AJ73" s="143"/>
      <c r="AK73" s="143"/>
      <c r="AL73" s="143"/>
      <c r="AM73" s="143"/>
      <c r="AN73" s="143"/>
      <c r="AO73" s="93"/>
      <c r="AP73" s="144">
        <f t="shared" si="2"/>
        <v>0</v>
      </c>
      <c r="AQ73" s="93"/>
      <c r="AR73" s="144" t="e">
        <f>#REF!</f>
        <v>#REF!</v>
      </c>
      <c r="AS73" s="144" t="str">
        <f t="shared" si="0"/>
        <v/>
      </c>
      <c r="AT73" s="93"/>
      <c r="AU73" s="144" t="b">
        <f t="shared" si="1"/>
        <v>0</v>
      </c>
      <c r="AV73" s="93"/>
    </row>
    <row r="74" spans="1:48">
      <c r="A74" s="90"/>
      <c r="B74" s="121" t="s">
        <v>59</v>
      </c>
      <c r="C74" s="117" t="s">
        <v>59</v>
      </c>
      <c r="D74" s="221" t="s">
        <v>59</v>
      </c>
      <c r="E74" s="222"/>
      <c r="F74" s="174"/>
      <c r="G74" s="117" t="s">
        <v>59</v>
      </c>
      <c r="H74" s="123"/>
      <c r="I74" s="118" t="s">
        <v>59</v>
      </c>
      <c r="J74" s="150" t="s">
        <v>59</v>
      </c>
      <c r="K74" s="90"/>
      <c r="L74" s="119"/>
      <c r="M74" s="119"/>
      <c r="N74" s="120"/>
      <c r="O74" s="120"/>
      <c r="P74" s="120"/>
      <c r="Q74" s="120"/>
      <c r="R74" s="120"/>
      <c r="S74" s="120"/>
      <c r="T74" s="120"/>
      <c r="U74" s="120"/>
      <c r="V74" s="120"/>
      <c r="W74" s="120"/>
      <c r="X74" s="120"/>
      <c r="Y74" s="120"/>
      <c r="Z74" s="120"/>
      <c r="AA74" s="120"/>
      <c r="AB74" s="120"/>
      <c r="AC74" s="120"/>
      <c r="AD74" s="120"/>
      <c r="AE74" s="93"/>
      <c r="AF74" s="143"/>
      <c r="AG74" s="144"/>
      <c r="AH74" s="143"/>
      <c r="AI74" s="143"/>
      <c r="AJ74" s="143"/>
      <c r="AK74" s="143"/>
      <c r="AL74" s="143"/>
      <c r="AM74" s="143"/>
      <c r="AN74" s="143"/>
      <c r="AO74" s="93"/>
      <c r="AP74" s="144">
        <f t="shared" si="2"/>
        <v>0</v>
      </c>
      <c r="AQ74" s="93"/>
      <c r="AR74" s="144" t="e">
        <f>#REF!</f>
        <v>#REF!</v>
      </c>
      <c r="AS74" s="144" t="str">
        <f t="shared" si="0"/>
        <v/>
      </c>
      <c r="AT74" s="93"/>
      <c r="AU74" s="144" t="b">
        <f t="shared" si="1"/>
        <v>0</v>
      </c>
      <c r="AV74" s="93"/>
    </row>
    <row r="75" spans="1:48">
      <c r="A75" s="90"/>
      <c r="B75" s="121" t="s">
        <v>59</v>
      </c>
      <c r="C75" s="117" t="s">
        <v>59</v>
      </c>
      <c r="D75" s="221" t="s">
        <v>59</v>
      </c>
      <c r="E75" s="222"/>
      <c r="F75" s="174"/>
      <c r="G75" s="117" t="s">
        <v>59</v>
      </c>
      <c r="H75" s="123"/>
      <c r="I75" s="118" t="s">
        <v>59</v>
      </c>
      <c r="J75" s="150" t="s">
        <v>59</v>
      </c>
      <c r="K75" s="90"/>
      <c r="L75" s="119"/>
      <c r="M75" s="119"/>
      <c r="N75" s="120"/>
      <c r="O75" s="120"/>
      <c r="P75" s="120"/>
      <c r="Q75" s="120"/>
      <c r="R75" s="120"/>
      <c r="S75" s="120"/>
      <c r="T75" s="120"/>
      <c r="U75" s="120"/>
      <c r="V75" s="120"/>
      <c r="W75" s="120"/>
      <c r="X75" s="120"/>
      <c r="Y75" s="120"/>
      <c r="Z75" s="120"/>
      <c r="AA75" s="120"/>
      <c r="AB75" s="120"/>
      <c r="AC75" s="120"/>
      <c r="AD75" s="120"/>
      <c r="AE75" s="93"/>
      <c r="AF75" s="143"/>
      <c r="AG75" s="144"/>
      <c r="AH75" s="143"/>
      <c r="AI75" s="143"/>
      <c r="AJ75" s="143"/>
      <c r="AK75" s="143"/>
      <c r="AL75" s="143"/>
      <c r="AM75" s="143"/>
      <c r="AN75" s="143"/>
      <c r="AO75" s="93"/>
      <c r="AP75" s="144">
        <f t="shared" si="2"/>
        <v>0</v>
      </c>
      <c r="AQ75" s="93"/>
      <c r="AR75" s="144" t="e">
        <f>#REF!</f>
        <v>#REF!</v>
      </c>
      <c r="AS75" s="144" t="str">
        <f t="shared" si="0"/>
        <v/>
      </c>
      <c r="AT75" s="93"/>
      <c r="AU75" s="144" t="b">
        <f t="shared" si="1"/>
        <v>0</v>
      </c>
      <c r="AV75" s="93"/>
    </row>
    <row r="76" spans="1:48">
      <c r="A76" s="90"/>
      <c r="B76" s="121" t="s">
        <v>59</v>
      </c>
      <c r="C76" s="117" t="s">
        <v>59</v>
      </c>
      <c r="D76" s="221" t="s">
        <v>59</v>
      </c>
      <c r="E76" s="222"/>
      <c r="F76" s="174"/>
      <c r="G76" s="117" t="s">
        <v>59</v>
      </c>
      <c r="H76" s="123"/>
      <c r="I76" s="118" t="s">
        <v>59</v>
      </c>
      <c r="J76" s="150" t="s">
        <v>59</v>
      </c>
      <c r="K76" s="90"/>
      <c r="L76" s="119"/>
      <c r="M76" s="119"/>
      <c r="N76" s="120"/>
      <c r="O76" s="120"/>
      <c r="P76" s="120"/>
      <c r="Q76" s="120"/>
      <c r="R76" s="120"/>
      <c r="S76" s="120"/>
      <c r="T76" s="120"/>
      <c r="U76" s="120"/>
      <c r="V76" s="120"/>
      <c r="W76" s="120"/>
      <c r="X76" s="120"/>
      <c r="Y76" s="120"/>
      <c r="Z76" s="120"/>
      <c r="AA76" s="120"/>
      <c r="AB76" s="120"/>
      <c r="AC76" s="120"/>
      <c r="AD76" s="120"/>
      <c r="AE76" s="93"/>
      <c r="AF76" s="143"/>
      <c r="AG76" s="144"/>
      <c r="AH76" s="143"/>
      <c r="AI76" s="143"/>
      <c r="AJ76" s="143"/>
      <c r="AK76" s="143"/>
      <c r="AL76" s="143"/>
      <c r="AM76" s="143"/>
      <c r="AN76" s="143"/>
      <c r="AO76" s="93"/>
      <c r="AP76" s="144">
        <f t="shared" si="2"/>
        <v>0</v>
      </c>
      <c r="AQ76" s="93"/>
      <c r="AR76" s="144" t="e">
        <f>#REF!</f>
        <v>#REF!</v>
      </c>
      <c r="AS76" s="144" t="str">
        <f t="shared" si="0"/>
        <v/>
      </c>
      <c r="AT76" s="93"/>
      <c r="AU76" s="144" t="b">
        <f t="shared" si="1"/>
        <v>0</v>
      </c>
      <c r="AV76" s="93"/>
    </row>
    <row r="77" spans="1:48">
      <c r="A77" s="90"/>
      <c r="B77" s="121" t="s">
        <v>59</v>
      </c>
      <c r="C77" s="117" t="s">
        <v>59</v>
      </c>
      <c r="D77" s="221" t="s">
        <v>59</v>
      </c>
      <c r="E77" s="222"/>
      <c r="F77" s="174"/>
      <c r="G77" s="117" t="s">
        <v>59</v>
      </c>
      <c r="H77" s="123"/>
      <c r="I77" s="118" t="s">
        <v>59</v>
      </c>
      <c r="J77" s="150" t="s">
        <v>59</v>
      </c>
      <c r="K77" s="90"/>
      <c r="L77" s="119"/>
      <c r="M77" s="119"/>
      <c r="N77" s="120"/>
      <c r="O77" s="120"/>
      <c r="P77" s="120"/>
      <c r="Q77" s="120"/>
      <c r="R77" s="120"/>
      <c r="S77" s="120"/>
      <c r="T77" s="120"/>
      <c r="U77" s="120"/>
      <c r="V77" s="120"/>
      <c r="W77" s="120"/>
      <c r="X77" s="120"/>
      <c r="Y77" s="120"/>
      <c r="Z77" s="120"/>
      <c r="AA77" s="120"/>
      <c r="AB77" s="120"/>
      <c r="AC77" s="120"/>
      <c r="AD77" s="120"/>
      <c r="AE77" s="93"/>
      <c r="AF77" s="143"/>
      <c r="AG77" s="144"/>
      <c r="AH77" s="143"/>
      <c r="AI77" s="143"/>
      <c r="AJ77" s="143"/>
      <c r="AK77" s="143"/>
      <c r="AL77" s="143"/>
      <c r="AM77" s="143"/>
      <c r="AN77" s="143"/>
      <c r="AO77" s="93"/>
      <c r="AP77" s="144">
        <f t="shared" si="2"/>
        <v>0</v>
      </c>
      <c r="AQ77" s="93"/>
      <c r="AR77" s="144" t="e">
        <f>#REF!</f>
        <v>#REF!</v>
      </c>
      <c r="AS77" s="144" t="str">
        <f t="shared" si="0"/>
        <v/>
      </c>
      <c r="AT77" s="93"/>
      <c r="AU77" s="144" t="b">
        <f t="shared" si="1"/>
        <v>0</v>
      </c>
      <c r="AV77" s="93"/>
    </row>
    <row r="78" spans="1:48">
      <c r="A78" s="90"/>
      <c r="B78" s="121" t="s">
        <v>59</v>
      </c>
      <c r="C78" s="117" t="s">
        <v>59</v>
      </c>
      <c r="D78" s="221" t="s">
        <v>59</v>
      </c>
      <c r="E78" s="222"/>
      <c r="F78" s="174"/>
      <c r="G78" s="117" t="s">
        <v>59</v>
      </c>
      <c r="H78" s="123"/>
      <c r="I78" s="118" t="s">
        <v>59</v>
      </c>
      <c r="J78" s="150" t="s">
        <v>59</v>
      </c>
      <c r="K78" s="90"/>
      <c r="L78" s="119"/>
      <c r="M78" s="119"/>
      <c r="N78" s="120"/>
      <c r="O78" s="120"/>
      <c r="P78" s="120"/>
      <c r="Q78" s="120"/>
      <c r="R78" s="120"/>
      <c r="S78" s="120"/>
      <c r="T78" s="120"/>
      <c r="U78" s="120"/>
      <c r="V78" s="120"/>
      <c r="W78" s="120"/>
      <c r="X78" s="120"/>
      <c r="Y78" s="120"/>
      <c r="Z78" s="120"/>
      <c r="AA78" s="120"/>
      <c r="AB78" s="120"/>
      <c r="AC78" s="120"/>
      <c r="AD78" s="120"/>
      <c r="AE78" s="93"/>
      <c r="AF78" s="143"/>
      <c r="AG78" s="144"/>
      <c r="AH78" s="143"/>
      <c r="AI78" s="143"/>
      <c r="AJ78" s="143"/>
      <c r="AK78" s="143"/>
      <c r="AL78" s="143"/>
      <c r="AM78" s="143"/>
      <c r="AN78" s="143"/>
      <c r="AO78" s="93"/>
      <c r="AP78" s="144">
        <f t="shared" si="2"/>
        <v>0</v>
      </c>
      <c r="AQ78" s="93"/>
      <c r="AR78" s="144" t="e">
        <f>#REF!</f>
        <v>#REF!</v>
      </c>
      <c r="AS78" s="144" t="str">
        <f t="shared" si="0"/>
        <v/>
      </c>
      <c r="AT78" s="93"/>
      <c r="AU78" s="144" t="b">
        <f t="shared" si="1"/>
        <v>0</v>
      </c>
      <c r="AV78" s="93"/>
    </row>
    <row r="79" spans="1:48">
      <c r="A79" s="90"/>
      <c r="B79" s="121" t="s">
        <v>59</v>
      </c>
      <c r="C79" s="117" t="s">
        <v>59</v>
      </c>
      <c r="D79" s="221" t="s">
        <v>59</v>
      </c>
      <c r="E79" s="222"/>
      <c r="F79" s="174"/>
      <c r="G79" s="117" t="s">
        <v>59</v>
      </c>
      <c r="H79" s="123"/>
      <c r="I79" s="118" t="s">
        <v>59</v>
      </c>
      <c r="J79" s="150" t="s">
        <v>59</v>
      </c>
      <c r="K79" s="90"/>
      <c r="L79" s="119"/>
      <c r="M79" s="119"/>
      <c r="N79" s="120"/>
      <c r="O79" s="120"/>
      <c r="P79" s="120"/>
      <c r="Q79" s="120"/>
      <c r="R79" s="120"/>
      <c r="S79" s="120"/>
      <c r="T79" s="120"/>
      <c r="U79" s="120"/>
      <c r="V79" s="120"/>
      <c r="W79" s="120"/>
      <c r="X79" s="120"/>
      <c r="Y79" s="120"/>
      <c r="Z79" s="120"/>
      <c r="AA79" s="120"/>
      <c r="AB79" s="120"/>
      <c r="AC79" s="120"/>
      <c r="AD79" s="120"/>
      <c r="AE79" s="93"/>
      <c r="AF79" s="143"/>
      <c r="AG79" s="144"/>
      <c r="AH79" s="143"/>
      <c r="AI79" s="143"/>
      <c r="AJ79" s="143"/>
      <c r="AK79" s="143"/>
      <c r="AL79" s="143"/>
      <c r="AM79" s="143"/>
      <c r="AN79" s="143"/>
      <c r="AO79" s="93"/>
      <c r="AP79" s="144">
        <f t="shared" si="2"/>
        <v>0</v>
      </c>
      <c r="AQ79" s="93"/>
      <c r="AR79" s="144" t="e">
        <f>#REF!</f>
        <v>#REF!</v>
      </c>
      <c r="AS79" s="144" t="str">
        <f t="shared" si="0"/>
        <v/>
      </c>
      <c r="AT79" s="93"/>
      <c r="AU79" s="144" t="b">
        <f t="shared" si="1"/>
        <v>0</v>
      </c>
      <c r="AV79" s="93"/>
    </row>
    <row r="80" spans="1:48">
      <c r="A80" s="90"/>
      <c r="B80" s="121" t="s">
        <v>59</v>
      </c>
      <c r="C80" s="117" t="s">
        <v>59</v>
      </c>
      <c r="D80" s="221" t="s">
        <v>59</v>
      </c>
      <c r="E80" s="222"/>
      <c r="F80" s="174"/>
      <c r="G80" s="117" t="s">
        <v>59</v>
      </c>
      <c r="H80" s="123"/>
      <c r="I80" s="118" t="s">
        <v>59</v>
      </c>
      <c r="J80" s="150" t="s">
        <v>59</v>
      </c>
      <c r="K80" s="90"/>
      <c r="L80" s="119"/>
      <c r="M80" s="119"/>
      <c r="N80" s="120"/>
      <c r="O80" s="120"/>
      <c r="P80" s="120"/>
      <c r="Q80" s="120"/>
      <c r="R80" s="120"/>
      <c r="S80" s="120"/>
      <c r="T80" s="120"/>
      <c r="U80" s="120"/>
      <c r="V80" s="120"/>
      <c r="W80" s="120"/>
      <c r="X80" s="120"/>
      <c r="Y80" s="120"/>
      <c r="Z80" s="120"/>
      <c r="AA80" s="120"/>
      <c r="AB80" s="120"/>
      <c r="AC80" s="120"/>
      <c r="AD80" s="120"/>
      <c r="AE80" s="93"/>
      <c r="AF80" s="143"/>
      <c r="AG80" s="144"/>
      <c r="AH80" s="143"/>
      <c r="AI80" s="143"/>
      <c r="AJ80" s="143"/>
      <c r="AK80" s="143"/>
      <c r="AL80" s="143"/>
      <c r="AM80" s="143"/>
      <c r="AN80" s="143"/>
      <c r="AO80" s="93"/>
      <c r="AP80" s="144">
        <f t="shared" si="2"/>
        <v>0</v>
      </c>
      <c r="AQ80" s="93"/>
      <c r="AR80" s="144" t="e">
        <f>#REF!</f>
        <v>#REF!</v>
      </c>
      <c r="AS80" s="144" t="str">
        <f t="shared" si="0"/>
        <v/>
      </c>
      <c r="AT80" s="93"/>
      <c r="AU80" s="144" t="b">
        <f t="shared" si="1"/>
        <v>0</v>
      </c>
      <c r="AV80" s="93"/>
    </row>
    <row r="81" spans="1:48">
      <c r="A81" s="90"/>
      <c r="B81" s="121" t="s">
        <v>59</v>
      </c>
      <c r="C81" s="117" t="s">
        <v>59</v>
      </c>
      <c r="D81" s="221" t="s">
        <v>59</v>
      </c>
      <c r="E81" s="222"/>
      <c r="F81" s="174"/>
      <c r="G81" s="117" t="s">
        <v>59</v>
      </c>
      <c r="H81" s="123"/>
      <c r="I81" s="118" t="s">
        <v>59</v>
      </c>
      <c r="J81" s="150" t="s">
        <v>59</v>
      </c>
      <c r="K81" s="90"/>
      <c r="L81" s="119"/>
      <c r="M81" s="119"/>
      <c r="N81" s="120"/>
      <c r="O81" s="120"/>
      <c r="P81" s="120"/>
      <c r="Q81" s="120"/>
      <c r="R81" s="120"/>
      <c r="S81" s="120"/>
      <c r="T81" s="120"/>
      <c r="U81" s="120"/>
      <c r="V81" s="120"/>
      <c r="W81" s="120"/>
      <c r="X81" s="120"/>
      <c r="Y81" s="120"/>
      <c r="Z81" s="120"/>
      <c r="AA81" s="120"/>
      <c r="AB81" s="120"/>
      <c r="AC81" s="120"/>
      <c r="AD81" s="120"/>
      <c r="AE81" s="93"/>
      <c r="AF81" s="143"/>
      <c r="AG81" s="144"/>
      <c r="AH81" s="143"/>
      <c r="AI81" s="143"/>
      <c r="AJ81" s="143"/>
      <c r="AK81" s="143"/>
      <c r="AL81" s="143"/>
      <c r="AM81" s="143"/>
      <c r="AN81" s="143"/>
      <c r="AO81" s="93"/>
      <c r="AP81" s="144">
        <f t="shared" si="2"/>
        <v>0</v>
      </c>
      <c r="AQ81" s="93"/>
      <c r="AR81" s="144" t="e">
        <f>#REF!</f>
        <v>#REF!</v>
      </c>
      <c r="AS81" s="144" t="str">
        <f t="shared" si="0"/>
        <v/>
      </c>
      <c r="AT81" s="93"/>
      <c r="AU81" s="144" t="b">
        <f t="shared" si="1"/>
        <v>0</v>
      </c>
      <c r="AV81" s="93"/>
    </row>
    <row r="82" spans="1:48">
      <c r="A82" s="90"/>
      <c r="B82" s="121" t="s">
        <v>59</v>
      </c>
      <c r="C82" s="117" t="s">
        <v>59</v>
      </c>
      <c r="D82" s="221" t="s">
        <v>59</v>
      </c>
      <c r="E82" s="222"/>
      <c r="F82" s="174"/>
      <c r="G82" s="117" t="s">
        <v>59</v>
      </c>
      <c r="H82" s="123"/>
      <c r="I82" s="118" t="s">
        <v>59</v>
      </c>
      <c r="J82" s="150" t="s">
        <v>59</v>
      </c>
      <c r="K82" s="90"/>
      <c r="L82" s="119"/>
      <c r="M82" s="119"/>
      <c r="N82" s="120"/>
      <c r="O82" s="120"/>
      <c r="P82" s="120"/>
      <c r="Q82" s="120"/>
      <c r="R82" s="120"/>
      <c r="S82" s="120"/>
      <c r="T82" s="120"/>
      <c r="U82" s="120"/>
      <c r="V82" s="120"/>
      <c r="W82" s="120"/>
      <c r="X82" s="120"/>
      <c r="Y82" s="120"/>
      <c r="Z82" s="120"/>
      <c r="AA82" s="120"/>
      <c r="AB82" s="120"/>
      <c r="AC82" s="120"/>
      <c r="AD82" s="120"/>
      <c r="AE82" s="93"/>
      <c r="AF82" s="143"/>
      <c r="AG82" s="144"/>
      <c r="AH82" s="143"/>
      <c r="AI82" s="143"/>
      <c r="AJ82" s="143"/>
      <c r="AK82" s="143"/>
      <c r="AL82" s="143"/>
      <c r="AM82" s="143"/>
      <c r="AN82" s="143"/>
      <c r="AO82" s="93"/>
      <c r="AP82" s="144">
        <f t="shared" si="2"/>
        <v>0</v>
      </c>
      <c r="AQ82" s="93"/>
      <c r="AR82" s="144" t="e">
        <f>#REF!</f>
        <v>#REF!</v>
      </c>
      <c r="AS82" s="144" t="str">
        <f t="shared" si="0"/>
        <v/>
      </c>
      <c r="AT82" s="93"/>
      <c r="AU82" s="144" t="b">
        <f t="shared" si="1"/>
        <v>0</v>
      </c>
      <c r="AV82" s="93"/>
    </row>
    <row r="83" spans="1:48">
      <c r="A83" s="90"/>
      <c r="B83" s="121" t="s">
        <v>59</v>
      </c>
      <c r="C83" s="117" t="s">
        <v>59</v>
      </c>
      <c r="D83" s="221" t="s">
        <v>59</v>
      </c>
      <c r="E83" s="222"/>
      <c r="F83" s="174"/>
      <c r="G83" s="117" t="s">
        <v>59</v>
      </c>
      <c r="H83" s="123"/>
      <c r="I83" s="118" t="s">
        <v>59</v>
      </c>
      <c r="J83" s="150" t="s">
        <v>59</v>
      </c>
      <c r="K83" s="90"/>
      <c r="L83" s="119"/>
      <c r="M83" s="119"/>
      <c r="N83" s="120"/>
      <c r="O83" s="120"/>
      <c r="P83" s="120"/>
      <c r="Q83" s="120"/>
      <c r="R83" s="120"/>
      <c r="S83" s="120"/>
      <c r="T83" s="120"/>
      <c r="U83" s="120"/>
      <c r="V83" s="120"/>
      <c r="W83" s="120"/>
      <c r="X83" s="120"/>
      <c r="Y83" s="120"/>
      <c r="Z83" s="120"/>
      <c r="AA83" s="120"/>
      <c r="AB83" s="120"/>
      <c r="AC83" s="120"/>
      <c r="AD83" s="120"/>
      <c r="AE83" s="93"/>
      <c r="AF83" s="143"/>
      <c r="AG83" s="144"/>
      <c r="AH83" s="143"/>
      <c r="AI83" s="143"/>
      <c r="AJ83" s="143"/>
      <c r="AK83" s="143"/>
      <c r="AL83" s="143"/>
      <c r="AM83" s="143"/>
      <c r="AN83" s="143"/>
      <c r="AO83" s="93"/>
      <c r="AP83" s="144">
        <f t="shared" si="2"/>
        <v>0</v>
      </c>
      <c r="AQ83" s="93"/>
      <c r="AR83" s="144" t="e">
        <f>#REF!</f>
        <v>#REF!</v>
      </c>
      <c r="AS83" s="144" t="str">
        <f t="shared" si="0"/>
        <v/>
      </c>
      <c r="AT83" s="93"/>
      <c r="AU83" s="144" t="b">
        <f t="shared" si="1"/>
        <v>0</v>
      </c>
      <c r="AV83" s="93"/>
    </row>
    <row r="84" spans="1:48">
      <c r="A84" s="90"/>
      <c r="B84" s="121" t="s">
        <v>59</v>
      </c>
      <c r="C84" s="117" t="s">
        <v>59</v>
      </c>
      <c r="D84" s="221" t="s">
        <v>59</v>
      </c>
      <c r="E84" s="222"/>
      <c r="F84" s="174"/>
      <c r="G84" s="117" t="s">
        <v>59</v>
      </c>
      <c r="H84" s="123"/>
      <c r="I84" s="118" t="s">
        <v>59</v>
      </c>
      <c r="J84" s="150" t="s">
        <v>59</v>
      </c>
      <c r="K84" s="90"/>
      <c r="L84" s="119"/>
      <c r="M84" s="119"/>
      <c r="N84" s="120"/>
      <c r="O84" s="120"/>
      <c r="P84" s="120"/>
      <c r="Q84" s="120"/>
      <c r="R84" s="120"/>
      <c r="S84" s="120"/>
      <c r="T84" s="120"/>
      <c r="U84" s="120"/>
      <c r="V84" s="120"/>
      <c r="W84" s="120"/>
      <c r="X84" s="120"/>
      <c r="Y84" s="120"/>
      <c r="Z84" s="120"/>
      <c r="AA84" s="120"/>
      <c r="AB84" s="120"/>
      <c r="AC84" s="120"/>
      <c r="AD84" s="120"/>
      <c r="AE84" s="93"/>
      <c r="AF84" s="143"/>
      <c r="AG84" s="144"/>
      <c r="AH84" s="143"/>
      <c r="AI84" s="143"/>
      <c r="AJ84" s="143"/>
      <c r="AK84" s="143"/>
      <c r="AL84" s="143"/>
      <c r="AM84" s="143"/>
      <c r="AN84" s="143"/>
      <c r="AO84" s="93"/>
      <c r="AP84" s="144">
        <f t="shared" si="2"/>
        <v>0</v>
      </c>
      <c r="AQ84" s="93"/>
      <c r="AR84" s="144" t="e">
        <f>#REF!</f>
        <v>#REF!</v>
      </c>
      <c r="AS84" s="144" t="str">
        <f t="shared" si="0"/>
        <v/>
      </c>
      <c r="AT84" s="93"/>
      <c r="AU84" s="144" t="b">
        <f t="shared" si="1"/>
        <v>0</v>
      </c>
      <c r="AV84" s="93"/>
    </row>
    <row r="85" spans="1:48">
      <c r="A85" s="90"/>
      <c r="B85" s="121" t="s">
        <v>59</v>
      </c>
      <c r="C85" s="117" t="s">
        <v>59</v>
      </c>
      <c r="D85" s="221" t="s">
        <v>59</v>
      </c>
      <c r="E85" s="222"/>
      <c r="F85" s="174"/>
      <c r="G85" s="117" t="s">
        <v>59</v>
      </c>
      <c r="H85" s="123"/>
      <c r="I85" s="118" t="s">
        <v>59</v>
      </c>
      <c r="J85" s="150" t="s">
        <v>59</v>
      </c>
      <c r="K85" s="90"/>
      <c r="L85" s="119"/>
      <c r="M85" s="119"/>
      <c r="N85" s="120"/>
      <c r="O85" s="120"/>
      <c r="P85" s="120"/>
      <c r="Q85" s="120"/>
      <c r="R85" s="120"/>
      <c r="S85" s="120"/>
      <c r="T85" s="120"/>
      <c r="U85" s="120"/>
      <c r="V85" s="120"/>
      <c r="W85" s="120"/>
      <c r="X85" s="120"/>
      <c r="Y85" s="120"/>
      <c r="Z85" s="120"/>
      <c r="AA85" s="120"/>
      <c r="AB85" s="120"/>
      <c r="AC85" s="120"/>
      <c r="AD85" s="120"/>
      <c r="AE85" s="93"/>
      <c r="AF85" s="143"/>
      <c r="AG85" s="144"/>
      <c r="AH85" s="143"/>
      <c r="AI85" s="143"/>
      <c r="AJ85" s="143"/>
      <c r="AK85" s="143"/>
      <c r="AL85" s="143"/>
      <c r="AM85" s="143"/>
      <c r="AN85" s="143"/>
      <c r="AO85" s="93"/>
      <c r="AP85" s="144">
        <f t="shared" si="2"/>
        <v>0</v>
      </c>
      <c r="AQ85" s="93"/>
      <c r="AR85" s="144" t="e">
        <f>#REF!</f>
        <v>#REF!</v>
      </c>
      <c r="AS85" s="144" t="str">
        <f t="shared" si="0"/>
        <v/>
      </c>
      <c r="AT85" s="93"/>
      <c r="AU85" s="144" t="b">
        <f t="shared" si="1"/>
        <v>0</v>
      </c>
      <c r="AV85" s="93"/>
    </row>
    <row r="86" spans="1:48">
      <c r="A86" s="90"/>
      <c r="B86" s="121" t="s">
        <v>59</v>
      </c>
      <c r="C86" s="117" t="s">
        <v>59</v>
      </c>
      <c r="D86" s="221" t="s">
        <v>59</v>
      </c>
      <c r="E86" s="222"/>
      <c r="F86" s="174"/>
      <c r="G86" s="117" t="s">
        <v>59</v>
      </c>
      <c r="H86" s="123"/>
      <c r="I86" s="118" t="s">
        <v>59</v>
      </c>
      <c r="J86" s="150" t="s">
        <v>59</v>
      </c>
      <c r="K86" s="90"/>
      <c r="L86" s="119"/>
      <c r="M86" s="119"/>
      <c r="N86" s="120"/>
      <c r="O86" s="120"/>
      <c r="P86" s="120"/>
      <c r="Q86" s="120"/>
      <c r="R86" s="120"/>
      <c r="S86" s="120"/>
      <c r="T86" s="120"/>
      <c r="U86" s="120"/>
      <c r="V86" s="120"/>
      <c r="W86" s="120"/>
      <c r="X86" s="120"/>
      <c r="Y86" s="120"/>
      <c r="Z86" s="120"/>
      <c r="AA86" s="120"/>
      <c r="AB86" s="120"/>
      <c r="AC86" s="120"/>
      <c r="AD86" s="120"/>
      <c r="AE86" s="93"/>
      <c r="AF86" s="143"/>
      <c r="AG86" s="144"/>
      <c r="AH86" s="143"/>
      <c r="AI86" s="143"/>
      <c r="AJ86" s="143"/>
      <c r="AK86" s="143"/>
      <c r="AL86" s="143"/>
      <c r="AM86" s="143"/>
      <c r="AN86" s="143"/>
      <c r="AO86" s="93"/>
      <c r="AP86" s="144">
        <f t="shared" si="2"/>
        <v>0</v>
      </c>
      <c r="AQ86" s="93"/>
      <c r="AR86" s="144" t="e">
        <f>#REF!</f>
        <v>#REF!</v>
      </c>
      <c r="AS86" s="144" t="str">
        <f t="shared" si="0"/>
        <v/>
      </c>
      <c r="AT86" s="93"/>
      <c r="AU86" s="144" t="b">
        <f t="shared" si="1"/>
        <v>0</v>
      </c>
      <c r="AV86" s="93"/>
    </row>
    <row r="87" spans="1:48">
      <c r="A87" s="90"/>
      <c r="B87" s="121" t="s">
        <v>59</v>
      </c>
      <c r="C87" s="117" t="s">
        <v>59</v>
      </c>
      <c r="D87" s="221" t="s">
        <v>59</v>
      </c>
      <c r="E87" s="222"/>
      <c r="F87" s="174"/>
      <c r="G87" s="117" t="s">
        <v>59</v>
      </c>
      <c r="H87" s="123"/>
      <c r="I87" s="118" t="s">
        <v>59</v>
      </c>
      <c r="J87" s="150" t="s">
        <v>59</v>
      </c>
      <c r="K87" s="90"/>
      <c r="L87" s="119"/>
      <c r="M87" s="119"/>
      <c r="N87" s="120"/>
      <c r="O87" s="120"/>
      <c r="P87" s="120"/>
      <c r="Q87" s="120"/>
      <c r="R87" s="120"/>
      <c r="S87" s="120"/>
      <c r="T87" s="120"/>
      <c r="U87" s="120"/>
      <c r="V87" s="120"/>
      <c r="W87" s="120"/>
      <c r="X87" s="120"/>
      <c r="Y87" s="120"/>
      <c r="Z87" s="120"/>
      <c r="AA87" s="120"/>
      <c r="AB87" s="120"/>
      <c r="AC87" s="120"/>
      <c r="AD87" s="120"/>
      <c r="AE87" s="93"/>
      <c r="AF87" s="143"/>
      <c r="AG87" s="144"/>
      <c r="AH87" s="143"/>
      <c r="AI87" s="143"/>
      <c r="AJ87" s="143"/>
      <c r="AK87" s="143"/>
      <c r="AL87" s="143"/>
      <c r="AM87" s="143"/>
      <c r="AN87" s="143"/>
      <c r="AO87" s="93"/>
      <c r="AP87" s="144">
        <f t="shared" si="2"/>
        <v>0</v>
      </c>
      <c r="AQ87" s="93"/>
      <c r="AR87" s="144" t="e">
        <f>#REF!</f>
        <v>#REF!</v>
      </c>
      <c r="AS87" s="144" t="str">
        <f t="shared" si="0"/>
        <v/>
      </c>
      <c r="AT87" s="93"/>
      <c r="AU87" s="144" t="b">
        <f t="shared" si="1"/>
        <v>0</v>
      </c>
      <c r="AV87" s="93"/>
    </row>
    <row r="88" spans="1:48">
      <c r="A88" s="90"/>
      <c r="B88" s="121" t="s">
        <v>59</v>
      </c>
      <c r="C88" s="117" t="s">
        <v>59</v>
      </c>
      <c r="D88" s="221" t="s">
        <v>59</v>
      </c>
      <c r="E88" s="222"/>
      <c r="F88" s="174"/>
      <c r="G88" s="117" t="s">
        <v>59</v>
      </c>
      <c r="H88" s="123"/>
      <c r="I88" s="118" t="s">
        <v>59</v>
      </c>
      <c r="J88" s="150" t="s">
        <v>59</v>
      </c>
      <c r="K88" s="90"/>
      <c r="L88" s="119"/>
      <c r="M88" s="119"/>
      <c r="N88" s="120"/>
      <c r="O88" s="120"/>
      <c r="P88" s="120"/>
      <c r="Q88" s="120"/>
      <c r="R88" s="120"/>
      <c r="S88" s="120"/>
      <c r="T88" s="120"/>
      <c r="U88" s="120"/>
      <c r="V88" s="120"/>
      <c r="W88" s="120"/>
      <c r="X88" s="120"/>
      <c r="Y88" s="120"/>
      <c r="Z88" s="120"/>
      <c r="AA88" s="120"/>
      <c r="AB88" s="120"/>
      <c r="AC88" s="120"/>
      <c r="AD88" s="120"/>
      <c r="AE88" s="93"/>
      <c r="AF88" s="143"/>
      <c r="AG88" s="144"/>
      <c r="AH88" s="143"/>
      <c r="AI88" s="143"/>
      <c r="AJ88" s="143"/>
      <c r="AK88" s="143"/>
      <c r="AL88" s="143"/>
      <c r="AM88" s="143"/>
      <c r="AN88" s="143"/>
      <c r="AO88" s="93"/>
      <c r="AP88" s="144">
        <f t="shared" si="2"/>
        <v>0</v>
      </c>
      <c r="AQ88" s="93"/>
      <c r="AR88" s="144" t="e">
        <f>#REF!</f>
        <v>#REF!</v>
      </c>
      <c r="AS88" s="144" t="str">
        <f t="shared" si="0"/>
        <v/>
      </c>
      <c r="AT88" s="93"/>
      <c r="AU88" s="144" t="b">
        <f t="shared" si="1"/>
        <v>0</v>
      </c>
      <c r="AV88" s="93"/>
    </row>
    <row r="89" spans="1:48">
      <c r="A89" s="90"/>
      <c r="B89" s="121" t="s">
        <v>59</v>
      </c>
      <c r="C89" s="117" t="s">
        <v>59</v>
      </c>
      <c r="D89" s="221" t="s">
        <v>59</v>
      </c>
      <c r="E89" s="222"/>
      <c r="F89" s="174"/>
      <c r="G89" s="117" t="s">
        <v>59</v>
      </c>
      <c r="H89" s="123"/>
      <c r="I89" s="118" t="s">
        <v>59</v>
      </c>
      <c r="J89" s="150" t="s">
        <v>59</v>
      </c>
      <c r="K89" s="90"/>
      <c r="L89" s="119"/>
      <c r="M89" s="119"/>
      <c r="N89" s="120"/>
      <c r="O89" s="120"/>
      <c r="P89" s="120"/>
      <c r="Q89" s="120"/>
      <c r="R89" s="120"/>
      <c r="S89" s="120"/>
      <c r="T89" s="120"/>
      <c r="U89" s="120"/>
      <c r="V89" s="120"/>
      <c r="W89" s="120"/>
      <c r="X89" s="120"/>
      <c r="Y89" s="120"/>
      <c r="Z89" s="120"/>
      <c r="AA89" s="120"/>
      <c r="AB89" s="120"/>
      <c r="AC89" s="120"/>
      <c r="AD89" s="120"/>
      <c r="AE89" s="93"/>
      <c r="AF89" s="143"/>
      <c r="AG89" s="144"/>
      <c r="AH89" s="143"/>
      <c r="AI89" s="143"/>
      <c r="AJ89" s="143"/>
      <c r="AK89" s="143"/>
      <c r="AL89" s="143"/>
      <c r="AM89" s="143"/>
      <c r="AN89" s="143"/>
      <c r="AO89" s="93"/>
      <c r="AP89" s="144">
        <f t="shared" si="2"/>
        <v>0</v>
      </c>
      <c r="AQ89" s="93"/>
      <c r="AR89" s="144" t="e">
        <f>#REF!</f>
        <v>#REF!</v>
      </c>
      <c r="AS89" s="144" t="str">
        <f t="shared" ref="AS89:AS100" si="3">IF(AG89="","",IF(AG89,AR89,""))</f>
        <v/>
      </c>
      <c r="AT89" s="93"/>
      <c r="AU89" s="144" t="b">
        <f t="shared" ref="AU89:AU100" si="4">IF(OR(F89="y", F89="Y"),TRUE,FALSE)</f>
        <v>0</v>
      </c>
      <c r="AV89" s="93"/>
    </row>
    <row r="90" spans="1:48">
      <c r="A90" s="90"/>
      <c r="B90" s="121" t="s">
        <v>59</v>
      </c>
      <c r="C90" s="117" t="s">
        <v>59</v>
      </c>
      <c r="D90" s="221" t="s">
        <v>59</v>
      </c>
      <c r="E90" s="222"/>
      <c r="F90" s="174"/>
      <c r="G90" s="117" t="s">
        <v>59</v>
      </c>
      <c r="H90" s="123"/>
      <c r="I90" s="118" t="s">
        <v>59</v>
      </c>
      <c r="J90" s="150" t="s">
        <v>59</v>
      </c>
      <c r="K90" s="90"/>
      <c r="L90" s="119"/>
      <c r="M90" s="119"/>
      <c r="N90" s="120"/>
      <c r="O90" s="120"/>
      <c r="P90" s="120"/>
      <c r="Q90" s="120"/>
      <c r="R90" s="120"/>
      <c r="S90" s="120"/>
      <c r="T90" s="120"/>
      <c r="U90" s="120"/>
      <c r="V90" s="120"/>
      <c r="W90" s="120"/>
      <c r="X90" s="120"/>
      <c r="Y90" s="120"/>
      <c r="Z90" s="120"/>
      <c r="AA90" s="120"/>
      <c r="AB90" s="120"/>
      <c r="AC90" s="120"/>
      <c r="AD90" s="120"/>
      <c r="AE90" s="93"/>
      <c r="AF90" s="143"/>
      <c r="AG90" s="144"/>
      <c r="AH90" s="143"/>
      <c r="AI90" s="143"/>
      <c r="AJ90" s="143"/>
      <c r="AK90" s="143"/>
      <c r="AL90" s="143"/>
      <c r="AM90" s="143"/>
      <c r="AN90" s="143"/>
      <c r="AO90" s="93"/>
      <c r="AP90" s="144">
        <f t="shared" ref="AP90:AP115" si="5">IF(OR(F90="y",F90="Y",F90="Yes",F90="yes"),G90,0)</f>
        <v>0</v>
      </c>
      <c r="AQ90" s="93"/>
      <c r="AR90" s="144" t="e">
        <f>#REF!</f>
        <v>#REF!</v>
      </c>
      <c r="AS90" s="144" t="str">
        <f t="shared" si="3"/>
        <v/>
      </c>
      <c r="AT90" s="93"/>
      <c r="AU90" s="144" t="b">
        <f t="shared" si="4"/>
        <v>0</v>
      </c>
      <c r="AV90" s="93"/>
    </row>
    <row r="91" spans="1:48">
      <c r="A91" s="90"/>
      <c r="B91" s="121" t="s">
        <v>59</v>
      </c>
      <c r="C91" s="117" t="s">
        <v>59</v>
      </c>
      <c r="D91" s="221" t="s">
        <v>59</v>
      </c>
      <c r="E91" s="222"/>
      <c r="F91" s="174"/>
      <c r="G91" s="117" t="s">
        <v>59</v>
      </c>
      <c r="H91" s="123"/>
      <c r="I91" s="118" t="s">
        <v>59</v>
      </c>
      <c r="J91" s="150" t="s">
        <v>59</v>
      </c>
      <c r="K91" s="90"/>
      <c r="L91" s="119"/>
      <c r="M91" s="119"/>
      <c r="N91" s="120"/>
      <c r="O91" s="120"/>
      <c r="P91" s="120"/>
      <c r="Q91" s="120"/>
      <c r="R91" s="120"/>
      <c r="S91" s="120"/>
      <c r="T91" s="120"/>
      <c r="U91" s="120"/>
      <c r="V91" s="120"/>
      <c r="W91" s="120"/>
      <c r="X91" s="120"/>
      <c r="Y91" s="120"/>
      <c r="Z91" s="120"/>
      <c r="AA91" s="120"/>
      <c r="AB91" s="120"/>
      <c r="AC91" s="120"/>
      <c r="AD91" s="120"/>
      <c r="AE91" s="93"/>
      <c r="AF91" s="143"/>
      <c r="AG91" s="144"/>
      <c r="AH91" s="143"/>
      <c r="AI91" s="143"/>
      <c r="AJ91" s="143"/>
      <c r="AK91" s="143"/>
      <c r="AL91" s="143"/>
      <c r="AM91" s="143"/>
      <c r="AN91" s="143"/>
      <c r="AO91" s="93"/>
      <c r="AP91" s="144">
        <f t="shared" si="5"/>
        <v>0</v>
      </c>
      <c r="AQ91" s="93"/>
      <c r="AR91" s="144" t="e">
        <f>#REF!</f>
        <v>#REF!</v>
      </c>
      <c r="AS91" s="144" t="str">
        <f t="shared" si="3"/>
        <v/>
      </c>
      <c r="AT91" s="93"/>
      <c r="AU91" s="144" t="b">
        <f t="shared" si="4"/>
        <v>0</v>
      </c>
      <c r="AV91" s="93"/>
    </row>
    <row r="92" spans="1:48">
      <c r="A92" s="90"/>
      <c r="B92" s="121" t="s">
        <v>59</v>
      </c>
      <c r="C92" s="117" t="s">
        <v>59</v>
      </c>
      <c r="D92" s="221" t="s">
        <v>59</v>
      </c>
      <c r="E92" s="222"/>
      <c r="F92" s="174"/>
      <c r="G92" s="117" t="s">
        <v>59</v>
      </c>
      <c r="H92" s="123"/>
      <c r="I92" s="118" t="s">
        <v>59</v>
      </c>
      <c r="J92" s="150" t="s">
        <v>59</v>
      </c>
      <c r="K92" s="90"/>
      <c r="L92" s="119"/>
      <c r="M92" s="119"/>
      <c r="N92" s="120"/>
      <c r="O92" s="120"/>
      <c r="P92" s="120"/>
      <c r="Q92" s="120"/>
      <c r="R92" s="120"/>
      <c r="S92" s="120"/>
      <c r="T92" s="120"/>
      <c r="U92" s="120"/>
      <c r="V92" s="120"/>
      <c r="W92" s="120"/>
      <c r="X92" s="120"/>
      <c r="Y92" s="120"/>
      <c r="Z92" s="120"/>
      <c r="AA92" s="120"/>
      <c r="AB92" s="120"/>
      <c r="AC92" s="120"/>
      <c r="AD92" s="120"/>
      <c r="AE92" s="93"/>
      <c r="AF92" s="143"/>
      <c r="AG92" s="144"/>
      <c r="AH92" s="143"/>
      <c r="AI92" s="143"/>
      <c r="AJ92" s="143"/>
      <c r="AK92" s="143"/>
      <c r="AL92" s="143"/>
      <c r="AM92" s="143"/>
      <c r="AN92" s="143"/>
      <c r="AO92" s="93"/>
      <c r="AP92" s="144">
        <f t="shared" si="5"/>
        <v>0</v>
      </c>
      <c r="AQ92" s="93"/>
      <c r="AR92" s="144" t="e">
        <f>#REF!</f>
        <v>#REF!</v>
      </c>
      <c r="AS92" s="144" t="str">
        <f t="shared" si="3"/>
        <v/>
      </c>
      <c r="AT92" s="93"/>
      <c r="AU92" s="144" t="b">
        <f t="shared" si="4"/>
        <v>0</v>
      </c>
      <c r="AV92" s="93"/>
    </row>
    <row r="93" spans="1:48">
      <c r="A93" s="90"/>
      <c r="B93" s="121" t="s">
        <v>59</v>
      </c>
      <c r="C93" s="117" t="s">
        <v>59</v>
      </c>
      <c r="D93" s="221" t="s">
        <v>59</v>
      </c>
      <c r="E93" s="222"/>
      <c r="F93" s="174"/>
      <c r="G93" s="117" t="s">
        <v>59</v>
      </c>
      <c r="H93" s="123"/>
      <c r="I93" s="118" t="s">
        <v>59</v>
      </c>
      <c r="J93" s="150" t="s">
        <v>59</v>
      </c>
      <c r="K93" s="90"/>
      <c r="L93" s="119"/>
      <c r="M93" s="119"/>
      <c r="N93" s="120"/>
      <c r="O93" s="120"/>
      <c r="P93" s="120"/>
      <c r="Q93" s="120"/>
      <c r="R93" s="120"/>
      <c r="S93" s="120"/>
      <c r="T93" s="120"/>
      <c r="U93" s="120"/>
      <c r="V93" s="120"/>
      <c r="W93" s="120"/>
      <c r="X93" s="120"/>
      <c r="Y93" s="120"/>
      <c r="Z93" s="120"/>
      <c r="AA93" s="120"/>
      <c r="AB93" s="120"/>
      <c r="AC93" s="120"/>
      <c r="AD93" s="120"/>
      <c r="AE93" s="93"/>
      <c r="AF93" s="143"/>
      <c r="AG93" s="144"/>
      <c r="AH93" s="143"/>
      <c r="AI93" s="143"/>
      <c r="AJ93" s="143"/>
      <c r="AK93" s="143"/>
      <c r="AL93" s="143"/>
      <c r="AM93" s="143"/>
      <c r="AN93" s="143"/>
      <c r="AO93" s="93"/>
      <c r="AP93" s="144">
        <f t="shared" si="5"/>
        <v>0</v>
      </c>
      <c r="AQ93" s="93"/>
      <c r="AR93" s="144" t="e">
        <f>#REF!</f>
        <v>#REF!</v>
      </c>
      <c r="AS93" s="144" t="str">
        <f t="shared" si="3"/>
        <v/>
      </c>
      <c r="AT93" s="93"/>
      <c r="AU93" s="144" t="b">
        <f t="shared" si="4"/>
        <v>0</v>
      </c>
      <c r="AV93" s="93"/>
    </row>
    <row r="94" spans="1:48">
      <c r="A94" s="90"/>
      <c r="B94" s="121" t="s">
        <v>59</v>
      </c>
      <c r="C94" s="117" t="s">
        <v>59</v>
      </c>
      <c r="D94" s="221" t="s">
        <v>59</v>
      </c>
      <c r="E94" s="222"/>
      <c r="F94" s="123"/>
      <c r="G94" s="117" t="s">
        <v>59</v>
      </c>
      <c r="H94" s="123"/>
      <c r="I94" s="118" t="s">
        <v>59</v>
      </c>
      <c r="J94" s="150" t="s">
        <v>59</v>
      </c>
      <c r="K94" s="90"/>
      <c r="L94" s="119"/>
      <c r="M94" s="119"/>
      <c r="N94" s="120"/>
      <c r="O94" s="120"/>
      <c r="P94" s="120"/>
      <c r="Q94" s="120"/>
      <c r="R94" s="120"/>
      <c r="S94" s="120"/>
      <c r="T94" s="120"/>
      <c r="U94" s="120"/>
      <c r="V94" s="120"/>
      <c r="W94" s="120"/>
      <c r="X94" s="120"/>
      <c r="Y94" s="120"/>
      <c r="Z94" s="120"/>
      <c r="AA94" s="120"/>
      <c r="AB94" s="120"/>
      <c r="AC94" s="120"/>
      <c r="AD94" s="120"/>
      <c r="AE94" s="93"/>
      <c r="AF94" s="143"/>
      <c r="AG94" s="144"/>
      <c r="AH94" s="143"/>
      <c r="AI94" s="143"/>
      <c r="AJ94" s="143"/>
      <c r="AK94" s="143"/>
      <c r="AL94" s="143"/>
      <c r="AM94" s="143"/>
      <c r="AN94" s="143"/>
      <c r="AO94" s="93"/>
      <c r="AP94" s="144">
        <f t="shared" si="5"/>
        <v>0</v>
      </c>
      <c r="AQ94" s="93"/>
      <c r="AR94" s="144" t="e">
        <f>#REF!</f>
        <v>#REF!</v>
      </c>
      <c r="AS94" s="144" t="str">
        <f t="shared" si="3"/>
        <v/>
      </c>
      <c r="AT94" s="93"/>
      <c r="AU94" s="144" t="b">
        <f t="shared" si="4"/>
        <v>0</v>
      </c>
      <c r="AV94" s="93"/>
    </row>
    <row r="95" spans="1:48">
      <c r="A95" s="90"/>
      <c r="B95" s="121" t="s">
        <v>59</v>
      </c>
      <c r="C95" s="117" t="s">
        <v>59</v>
      </c>
      <c r="D95" s="221" t="s">
        <v>59</v>
      </c>
      <c r="E95" s="222"/>
      <c r="F95" s="123"/>
      <c r="G95" s="117" t="s">
        <v>59</v>
      </c>
      <c r="H95" s="123"/>
      <c r="I95" s="118" t="s">
        <v>59</v>
      </c>
      <c r="J95" s="150" t="s">
        <v>59</v>
      </c>
      <c r="K95" s="90"/>
      <c r="L95" s="119"/>
      <c r="M95" s="119"/>
      <c r="N95" s="120"/>
      <c r="O95" s="120"/>
      <c r="P95" s="120"/>
      <c r="Q95" s="120"/>
      <c r="R95" s="120"/>
      <c r="S95" s="120"/>
      <c r="T95" s="120"/>
      <c r="U95" s="120"/>
      <c r="V95" s="120"/>
      <c r="W95" s="120"/>
      <c r="X95" s="120"/>
      <c r="Y95" s="120"/>
      <c r="Z95" s="120"/>
      <c r="AA95" s="120"/>
      <c r="AB95" s="120"/>
      <c r="AC95" s="120"/>
      <c r="AD95" s="120"/>
      <c r="AE95" s="93"/>
      <c r="AF95" s="143"/>
      <c r="AG95" s="144"/>
      <c r="AH95" s="143"/>
      <c r="AI95" s="143"/>
      <c r="AJ95" s="143"/>
      <c r="AK95" s="143"/>
      <c r="AL95" s="143"/>
      <c r="AM95" s="143"/>
      <c r="AN95" s="143"/>
      <c r="AO95" s="93"/>
      <c r="AP95" s="144">
        <f t="shared" si="5"/>
        <v>0</v>
      </c>
      <c r="AQ95" s="93"/>
      <c r="AR95" s="144" t="e">
        <f>#REF!</f>
        <v>#REF!</v>
      </c>
      <c r="AS95" s="144" t="str">
        <f t="shared" si="3"/>
        <v/>
      </c>
      <c r="AT95" s="93"/>
      <c r="AU95" s="144" t="b">
        <f t="shared" si="4"/>
        <v>0</v>
      </c>
      <c r="AV95" s="93"/>
    </row>
    <row r="96" spans="1:48">
      <c r="A96" s="90"/>
      <c r="B96" s="121" t="s">
        <v>59</v>
      </c>
      <c r="C96" s="117" t="s">
        <v>59</v>
      </c>
      <c r="D96" s="221" t="s">
        <v>59</v>
      </c>
      <c r="E96" s="222"/>
      <c r="F96" s="123"/>
      <c r="G96" s="117" t="s">
        <v>59</v>
      </c>
      <c r="H96" s="123"/>
      <c r="I96" s="118" t="s">
        <v>59</v>
      </c>
      <c r="J96" s="150" t="s">
        <v>59</v>
      </c>
      <c r="K96" s="90"/>
      <c r="L96" s="119"/>
      <c r="M96" s="119"/>
      <c r="N96" s="120"/>
      <c r="O96" s="120"/>
      <c r="P96" s="120"/>
      <c r="Q96" s="120"/>
      <c r="R96" s="120"/>
      <c r="S96" s="120"/>
      <c r="T96" s="120"/>
      <c r="U96" s="120"/>
      <c r="V96" s="120"/>
      <c r="W96" s="120"/>
      <c r="X96" s="120"/>
      <c r="Y96" s="120"/>
      <c r="Z96" s="120"/>
      <c r="AA96" s="120"/>
      <c r="AB96" s="120"/>
      <c r="AC96" s="120"/>
      <c r="AD96" s="120"/>
      <c r="AE96" s="93"/>
      <c r="AF96" s="143"/>
      <c r="AG96" s="144"/>
      <c r="AH96" s="143"/>
      <c r="AI96" s="143"/>
      <c r="AJ96" s="143"/>
      <c r="AK96" s="143"/>
      <c r="AL96" s="143"/>
      <c r="AM96" s="143"/>
      <c r="AN96" s="143"/>
      <c r="AO96" s="93"/>
      <c r="AP96" s="144">
        <f t="shared" si="5"/>
        <v>0</v>
      </c>
      <c r="AQ96" s="93"/>
      <c r="AR96" s="144" t="e">
        <f>#REF!</f>
        <v>#REF!</v>
      </c>
      <c r="AS96" s="144" t="str">
        <f t="shared" si="3"/>
        <v/>
      </c>
      <c r="AT96" s="93"/>
      <c r="AU96" s="144" t="b">
        <f t="shared" si="4"/>
        <v>0</v>
      </c>
      <c r="AV96" s="93"/>
    </row>
    <row r="97" spans="1:48">
      <c r="A97" s="90"/>
      <c r="B97" s="121" t="s">
        <v>59</v>
      </c>
      <c r="C97" s="117" t="s">
        <v>59</v>
      </c>
      <c r="D97" s="221" t="s">
        <v>59</v>
      </c>
      <c r="E97" s="222"/>
      <c r="F97" s="123"/>
      <c r="G97" s="117" t="s">
        <v>59</v>
      </c>
      <c r="H97" s="123"/>
      <c r="I97" s="118" t="s">
        <v>59</v>
      </c>
      <c r="J97" s="150" t="s">
        <v>59</v>
      </c>
      <c r="K97" s="90"/>
      <c r="L97" s="119"/>
      <c r="M97" s="119"/>
      <c r="N97" s="120"/>
      <c r="O97" s="120"/>
      <c r="P97" s="120"/>
      <c r="Q97" s="120"/>
      <c r="R97" s="120"/>
      <c r="S97" s="120"/>
      <c r="T97" s="120"/>
      <c r="U97" s="120"/>
      <c r="V97" s="120"/>
      <c r="W97" s="120"/>
      <c r="X97" s="120"/>
      <c r="Y97" s="120"/>
      <c r="Z97" s="120"/>
      <c r="AA97" s="120"/>
      <c r="AB97" s="120"/>
      <c r="AC97" s="120"/>
      <c r="AD97" s="120"/>
      <c r="AE97" s="93"/>
      <c r="AF97" s="143"/>
      <c r="AG97" s="144"/>
      <c r="AH97" s="143"/>
      <c r="AI97" s="143"/>
      <c r="AJ97" s="143"/>
      <c r="AK97" s="143"/>
      <c r="AL97" s="143"/>
      <c r="AM97" s="143"/>
      <c r="AN97" s="143"/>
      <c r="AO97" s="93"/>
      <c r="AP97" s="144">
        <f t="shared" si="5"/>
        <v>0</v>
      </c>
      <c r="AQ97" s="93"/>
      <c r="AR97" s="144" t="e">
        <f>#REF!</f>
        <v>#REF!</v>
      </c>
      <c r="AS97" s="144" t="str">
        <f t="shared" si="3"/>
        <v/>
      </c>
      <c r="AT97" s="93"/>
      <c r="AU97" s="144" t="b">
        <f t="shared" si="4"/>
        <v>0</v>
      </c>
      <c r="AV97" s="93"/>
    </row>
    <row r="98" spans="1:48">
      <c r="A98" s="90"/>
      <c r="B98" s="121" t="s">
        <v>59</v>
      </c>
      <c r="C98" s="117" t="s">
        <v>59</v>
      </c>
      <c r="D98" s="221" t="s">
        <v>59</v>
      </c>
      <c r="E98" s="222"/>
      <c r="F98" s="123"/>
      <c r="G98" s="117" t="s">
        <v>59</v>
      </c>
      <c r="H98" s="123"/>
      <c r="I98" s="118" t="s">
        <v>59</v>
      </c>
      <c r="J98" s="150" t="s">
        <v>59</v>
      </c>
      <c r="K98" s="90"/>
      <c r="L98" s="119"/>
      <c r="M98" s="119"/>
      <c r="N98" s="120"/>
      <c r="O98" s="120"/>
      <c r="P98" s="120"/>
      <c r="Q98" s="120"/>
      <c r="R98" s="120"/>
      <c r="S98" s="120"/>
      <c r="T98" s="120"/>
      <c r="U98" s="120"/>
      <c r="V98" s="120"/>
      <c r="W98" s="120"/>
      <c r="X98" s="120"/>
      <c r="Y98" s="120"/>
      <c r="Z98" s="120"/>
      <c r="AA98" s="120"/>
      <c r="AB98" s="120"/>
      <c r="AC98" s="120"/>
      <c r="AD98" s="120"/>
      <c r="AE98" s="93"/>
      <c r="AF98" s="143"/>
      <c r="AG98" s="144"/>
      <c r="AH98" s="143"/>
      <c r="AI98" s="143"/>
      <c r="AJ98" s="143"/>
      <c r="AK98" s="143"/>
      <c r="AL98" s="143"/>
      <c r="AM98" s="143"/>
      <c r="AN98" s="143"/>
      <c r="AO98" s="93"/>
      <c r="AP98" s="144">
        <f t="shared" si="5"/>
        <v>0</v>
      </c>
      <c r="AQ98" s="93"/>
      <c r="AR98" s="144" t="e">
        <f>#REF!</f>
        <v>#REF!</v>
      </c>
      <c r="AS98" s="144" t="str">
        <f t="shared" si="3"/>
        <v/>
      </c>
      <c r="AT98" s="93"/>
      <c r="AU98" s="144" t="b">
        <f t="shared" si="4"/>
        <v>0</v>
      </c>
      <c r="AV98" s="93"/>
    </row>
    <row r="99" spans="1:48">
      <c r="A99" s="90"/>
      <c r="B99" s="121" t="s">
        <v>59</v>
      </c>
      <c r="C99" s="117" t="s">
        <v>59</v>
      </c>
      <c r="D99" s="221" t="s">
        <v>59</v>
      </c>
      <c r="E99" s="222"/>
      <c r="F99" s="123"/>
      <c r="G99" s="117" t="s">
        <v>59</v>
      </c>
      <c r="H99" s="123"/>
      <c r="I99" s="118" t="s">
        <v>59</v>
      </c>
      <c r="J99" s="150" t="s">
        <v>59</v>
      </c>
      <c r="K99" s="90"/>
      <c r="L99" s="119"/>
      <c r="M99" s="119"/>
      <c r="N99" s="120"/>
      <c r="O99" s="120"/>
      <c r="P99" s="120"/>
      <c r="Q99" s="120"/>
      <c r="R99" s="120"/>
      <c r="S99" s="120"/>
      <c r="T99" s="120"/>
      <c r="U99" s="120"/>
      <c r="V99" s="120"/>
      <c r="W99" s="120"/>
      <c r="X99" s="120"/>
      <c r="Y99" s="120"/>
      <c r="Z99" s="120"/>
      <c r="AA99" s="120"/>
      <c r="AB99" s="120"/>
      <c r="AC99" s="120"/>
      <c r="AD99" s="120"/>
      <c r="AE99" s="93"/>
      <c r="AF99" s="143"/>
      <c r="AG99" s="144"/>
      <c r="AH99" s="143"/>
      <c r="AI99" s="143"/>
      <c r="AJ99" s="143"/>
      <c r="AK99" s="143"/>
      <c r="AL99" s="143"/>
      <c r="AM99" s="143"/>
      <c r="AN99" s="143"/>
      <c r="AO99" s="93"/>
      <c r="AP99" s="144">
        <f t="shared" si="5"/>
        <v>0</v>
      </c>
      <c r="AQ99" s="93"/>
      <c r="AR99" s="144" t="e">
        <f>#REF!</f>
        <v>#REF!</v>
      </c>
      <c r="AS99" s="144" t="str">
        <f t="shared" si="3"/>
        <v/>
      </c>
      <c r="AT99" s="93"/>
      <c r="AU99" s="144" t="b">
        <f t="shared" si="4"/>
        <v>0</v>
      </c>
      <c r="AV99" s="93"/>
    </row>
    <row r="100" spans="1:48">
      <c r="A100" s="90"/>
      <c r="B100" s="121" t="s">
        <v>59</v>
      </c>
      <c r="C100" s="117" t="s">
        <v>59</v>
      </c>
      <c r="D100" s="221" t="s">
        <v>59</v>
      </c>
      <c r="E100" s="222"/>
      <c r="F100" s="123"/>
      <c r="G100" s="117" t="s">
        <v>59</v>
      </c>
      <c r="H100" s="123"/>
      <c r="I100" s="118" t="s">
        <v>59</v>
      </c>
      <c r="J100" s="150" t="s">
        <v>59</v>
      </c>
      <c r="K100" s="90"/>
      <c r="L100" s="119"/>
      <c r="M100" s="119"/>
      <c r="N100" s="120"/>
      <c r="O100" s="120"/>
      <c r="P100" s="120"/>
      <c r="Q100" s="120"/>
      <c r="R100" s="120"/>
      <c r="S100" s="120"/>
      <c r="T100" s="120"/>
      <c r="U100" s="120"/>
      <c r="V100" s="120"/>
      <c r="W100" s="120"/>
      <c r="X100" s="120"/>
      <c r="Y100" s="120"/>
      <c r="Z100" s="120"/>
      <c r="AA100" s="120"/>
      <c r="AB100" s="120"/>
      <c r="AC100" s="120"/>
      <c r="AD100" s="120"/>
      <c r="AE100" s="93"/>
      <c r="AF100" s="143"/>
      <c r="AG100" s="144"/>
      <c r="AH100" s="143"/>
      <c r="AI100" s="143"/>
      <c r="AJ100" s="143"/>
      <c r="AK100" s="143"/>
      <c r="AL100" s="143"/>
      <c r="AM100" s="143"/>
      <c r="AN100" s="143"/>
      <c r="AO100" s="93"/>
      <c r="AP100" s="144">
        <f t="shared" si="5"/>
        <v>0</v>
      </c>
      <c r="AQ100" s="93"/>
      <c r="AR100" s="144" t="e">
        <f>#REF!</f>
        <v>#REF!</v>
      </c>
      <c r="AS100" s="144" t="str">
        <f t="shared" si="3"/>
        <v/>
      </c>
      <c r="AT100" s="93"/>
      <c r="AU100" s="144" t="b">
        <f t="shared" si="4"/>
        <v>0</v>
      </c>
      <c r="AV100" s="93"/>
    </row>
    <row r="101" spans="1:48">
      <c r="A101" s="90"/>
      <c r="B101" s="121" t="s">
        <v>59</v>
      </c>
      <c r="C101" s="117" t="s">
        <v>59</v>
      </c>
      <c r="D101" s="221" t="s">
        <v>59</v>
      </c>
      <c r="E101" s="222"/>
      <c r="F101" s="123"/>
      <c r="G101" s="117"/>
      <c r="H101" s="123"/>
      <c r="I101" s="118" t="s">
        <v>59</v>
      </c>
      <c r="J101" s="150" t="s">
        <v>59</v>
      </c>
      <c r="K101" s="90"/>
      <c r="L101" s="119"/>
      <c r="M101" s="119"/>
      <c r="N101" s="120"/>
      <c r="O101" s="120"/>
      <c r="P101" s="120"/>
      <c r="Q101" s="120"/>
      <c r="R101" s="120"/>
      <c r="S101" s="120"/>
      <c r="T101" s="120"/>
      <c r="U101" s="120"/>
      <c r="V101" s="120"/>
      <c r="W101" s="120"/>
      <c r="X101" s="120"/>
      <c r="Y101" s="120"/>
      <c r="Z101" s="120"/>
      <c r="AA101" s="120"/>
      <c r="AB101" s="120"/>
      <c r="AC101" s="120"/>
      <c r="AD101" s="120"/>
      <c r="AE101" s="93"/>
      <c r="AF101" s="143"/>
      <c r="AG101" s="144"/>
      <c r="AH101" s="143"/>
      <c r="AI101" s="143"/>
      <c r="AJ101" s="143"/>
      <c r="AK101" s="143"/>
      <c r="AL101" s="143"/>
      <c r="AM101" s="143"/>
      <c r="AN101" s="143"/>
      <c r="AO101" s="93"/>
      <c r="AP101" s="144">
        <f t="shared" si="5"/>
        <v>0</v>
      </c>
      <c r="AQ101" s="93"/>
      <c r="AT101" s="93"/>
      <c r="AV101" s="93"/>
    </row>
    <row r="102" spans="1:48">
      <c r="A102" s="90"/>
      <c r="B102" s="121" t="s">
        <v>59</v>
      </c>
      <c r="C102" s="117" t="s">
        <v>59</v>
      </c>
      <c r="D102" s="221" t="s">
        <v>59</v>
      </c>
      <c r="E102" s="222"/>
      <c r="F102" s="123"/>
      <c r="G102" s="117"/>
      <c r="H102" s="123"/>
      <c r="I102" s="118" t="s">
        <v>59</v>
      </c>
      <c r="J102" s="150" t="s">
        <v>59</v>
      </c>
      <c r="K102" s="90"/>
      <c r="L102" s="119"/>
      <c r="M102" s="119"/>
      <c r="N102" s="120"/>
      <c r="O102" s="120"/>
      <c r="P102" s="120"/>
      <c r="Q102" s="120"/>
      <c r="R102" s="120"/>
      <c r="S102" s="120"/>
      <c r="T102" s="120"/>
      <c r="U102" s="120"/>
      <c r="V102" s="120"/>
      <c r="W102" s="120"/>
      <c r="X102" s="120"/>
      <c r="Y102" s="120"/>
      <c r="Z102" s="120"/>
      <c r="AA102" s="120"/>
      <c r="AB102" s="120"/>
      <c r="AC102" s="120"/>
      <c r="AD102" s="120"/>
      <c r="AE102" s="93"/>
      <c r="AF102" s="143"/>
      <c r="AG102" s="144"/>
      <c r="AH102" s="143"/>
      <c r="AI102" s="143"/>
      <c r="AJ102" s="143"/>
      <c r="AK102" s="143"/>
      <c r="AL102" s="143"/>
      <c r="AM102" s="143"/>
      <c r="AN102" s="143"/>
      <c r="AO102" s="93"/>
      <c r="AP102" s="144">
        <f t="shared" si="5"/>
        <v>0</v>
      </c>
      <c r="AQ102" s="93"/>
      <c r="AT102" s="93"/>
      <c r="AV102" s="93"/>
    </row>
    <row r="103" spans="1:48">
      <c r="A103" s="90"/>
      <c r="B103" s="121" t="s">
        <v>59</v>
      </c>
      <c r="C103" s="117" t="s">
        <v>59</v>
      </c>
      <c r="D103" s="221" t="s">
        <v>59</v>
      </c>
      <c r="E103" s="222"/>
      <c r="F103" s="123"/>
      <c r="G103" s="117"/>
      <c r="H103" s="123"/>
      <c r="I103" s="118" t="s">
        <v>59</v>
      </c>
      <c r="J103" s="150" t="s">
        <v>59</v>
      </c>
      <c r="K103" s="90"/>
      <c r="L103" s="119"/>
      <c r="M103" s="119"/>
      <c r="N103" s="120"/>
      <c r="O103" s="120"/>
      <c r="P103" s="120"/>
      <c r="Q103" s="120"/>
      <c r="R103" s="120"/>
      <c r="S103" s="120"/>
      <c r="T103" s="120"/>
      <c r="U103" s="120"/>
      <c r="V103" s="120"/>
      <c r="W103" s="120"/>
      <c r="X103" s="120"/>
      <c r="Y103" s="120"/>
      <c r="Z103" s="120"/>
      <c r="AA103" s="120"/>
      <c r="AB103" s="120"/>
      <c r="AC103" s="120"/>
      <c r="AD103" s="120"/>
      <c r="AE103" s="93"/>
      <c r="AF103" s="143"/>
      <c r="AG103" s="144"/>
      <c r="AH103" s="143"/>
      <c r="AI103" s="143"/>
      <c r="AJ103" s="143"/>
      <c r="AK103" s="143"/>
      <c r="AL103" s="143"/>
      <c r="AM103" s="143"/>
      <c r="AN103" s="143"/>
      <c r="AO103" s="93"/>
      <c r="AP103" s="144">
        <f t="shared" si="5"/>
        <v>0</v>
      </c>
      <c r="AQ103" s="93"/>
      <c r="AT103" s="93"/>
      <c r="AV103" s="93"/>
    </row>
    <row r="104" spans="1:48">
      <c r="A104" s="90"/>
      <c r="B104" s="121" t="s">
        <v>59</v>
      </c>
      <c r="C104" s="117" t="s">
        <v>59</v>
      </c>
      <c r="D104" s="221" t="s">
        <v>59</v>
      </c>
      <c r="E104" s="222"/>
      <c r="F104" s="123"/>
      <c r="G104" s="117"/>
      <c r="H104" s="123"/>
      <c r="I104" s="118" t="s">
        <v>59</v>
      </c>
      <c r="J104" s="150" t="s">
        <v>59</v>
      </c>
      <c r="K104" s="90"/>
      <c r="L104" s="119"/>
      <c r="M104" s="119"/>
      <c r="N104" s="120"/>
      <c r="O104" s="120"/>
      <c r="P104" s="120"/>
      <c r="Q104" s="120"/>
      <c r="R104" s="120"/>
      <c r="S104" s="120"/>
      <c r="T104" s="120"/>
      <c r="U104" s="120"/>
      <c r="V104" s="120"/>
      <c r="W104" s="120"/>
      <c r="X104" s="120"/>
      <c r="Y104" s="120"/>
      <c r="Z104" s="120"/>
      <c r="AA104" s="120"/>
      <c r="AB104" s="120"/>
      <c r="AC104" s="120"/>
      <c r="AD104" s="120"/>
      <c r="AE104" s="93"/>
      <c r="AF104" s="143"/>
      <c r="AG104" s="144"/>
      <c r="AH104" s="143"/>
      <c r="AI104" s="143"/>
      <c r="AJ104" s="143"/>
      <c r="AK104" s="143"/>
      <c r="AL104" s="143"/>
      <c r="AM104" s="143"/>
      <c r="AN104" s="143"/>
      <c r="AO104" s="93"/>
      <c r="AP104" s="144">
        <f t="shared" si="5"/>
        <v>0</v>
      </c>
      <c r="AQ104" s="93"/>
      <c r="AT104" s="93"/>
      <c r="AV104" s="93"/>
    </row>
    <row r="105" spans="1:48">
      <c r="A105" s="90"/>
      <c r="B105" s="121" t="s">
        <v>59</v>
      </c>
      <c r="C105" s="117" t="s">
        <v>59</v>
      </c>
      <c r="D105" s="221" t="s">
        <v>59</v>
      </c>
      <c r="E105" s="222"/>
      <c r="F105" s="123"/>
      <c r="G105" s="117"/>
      <c r="H105" s="123"/>
      <c r="I105" s="118" t="s">
        <v>59</v>
      </c>
      <c r="J105" s="150" t="s">
        <v>59</v>
      </c>
      <c r="K105" s="90"/>
      <c r="L105" s="119"/>
      <c r="M105" s="119"/>
      <c r="N105" s="120"/>
      <c r="O105" s="120"/>
      <c r="P105" s="120"/>
      <c r="Q105" s="120"/>
      <c r="R105" s="120"/>
      <c r="S105" s="120"/>
      <c r="T105" s="120"/>
      <c r="U105" s="120"/>
      <c r="V105" s="120"/>
      <c r="W105" s="120"/>
      <c r="X105" s="120"/>
      <c r="Y105" s="120"/>
      <c r="Z105" s="120"/>
      <c r="AA105" s="120"/>
      <c r="AB105" s="120"/>
      <c r="AC105" s="120"/>
      <c r="AD105" s="120"/>
      <c r="AE105" s="93"/>
      <c r="AF105" s="143"/>
      <c r="AG105" s="144"/>
      <c r="AH105" s="143"/>
      <c r="AI105" s="143"/>
      <c r="AJ105" s="143"/>
      <c r="AK105" s="143"/>
      <c r="AL105" s="143"/>
      <c r="AM105" s="143"/>
      <c r="AN105" s="143"/>
      <c r="AO105" s="93"/>
      <c r="AP105" s="144">
        <f t="shared" si="5"/>
        <v>0</v>
      </c>
      <c r="AQ105" s="93"/>
      <c r="AT105" s="93"/>
      <c r="AV105" s="93"/>
    </row>
    <row r="106" spans="1:48">
      <c r="A106" s="90"/>
      <c r="B106" s="121" t="s">
        <v>59</v>
      </c>
      <c r="C106" s="117" t="s">
        <v>59</v>
      </c>
      <c r="D106" s="221" t="s">
        <v>59</v>
      </c>
      <c r="E106" s="222"/>
      <c r="F106" s="123"/>
      <c r="G106" s="117"/>
      <c r="H106" s="123"/>
      <c r="I106" s="118" t="s">
        <v>59</v>
      </c>
      <c r="J106" s="150" t="s">
        <v>59</v>
      </c>
      <c r="K106" s="90"/>
      <c r="L106" s="119"/>
      <c r="M106" s="119"/>
      <c r="N106" s="120"/>
      <c r="O106" s="120"/>
      <c r="P106" s="120"/>
      <c r="Q106" s="120"/>
      <c r="R106" s="120"/>
      <c r="S106" s="120"/>
      <c r="T106" s="120"/>
      <c r="U106" s="120"/>
      <c r="V106" s="120"/>
      <c r="W106" s="120"/>
      <c r="X106" s="120"/>
      <c r="Y106" s="120"/>
      <c r="Z106" s="120"/>
      <c r="AA106" s="120"/>
      <c r="AB106" s="120"/>
      <c r="AC106" s="120"/>
      <c r="AD106" s="120"/>
      <c r="AE106" s="93"/>
      <c r="AF106" s="143"/>
      <c r="AG106" s="144"/>
      <c r="AH106" s="143"/>
      <c r="AI106" s="143"/>
      <c r="AJ106" s="143"/>
      <c r="AK106" s="143"/>
      <c r="AL106" s="143"/>
      <c r="AM106" s="143"/>
      <c r="AN106" s="143"/>
      <c r="AO106" s="93"/>
      <c r="AP106" s="144">
        <f t="shared" si="5"/>
        <v>0</v>
      </c>
      <c r="AQ106" s="93"/>
      <c r="AT106" s="93"/>
      <c r="AV106" s="93"/>
    </row>
    <row r="107" spans="1:48">
      <c r="A107" s="90"/>
      <c r="B107" s="121" t="s">
        <v>59</v>
      </c>
      <c r="C107" s="117" t="s">
        <v>59</v>
      </c>
      <c r="D107" s="221" t="s">
        <v>59</v>
      </c>
      <c r="E107" s="222"/>
      <c r="F107" s="123"/>
      <c r="G107" s="117"/>
      <c r="H107" s="123"/>
      <c r="I107" s="118" t="s">
        <v>59</v>
      </c>
      <c r="J107" s="150" t="s">
        <v>59</v>
      </c>
      <c r="K107" s="90"/>
      <c r="L107" s="119"/>
      <c r="M107" s="119"/>
      <c r="N107" s="120"/>
      <c r="O107" s="120"/>
      <c r="P107" s="120"/>
      <c r="Q107" s="120"/>
      <c r="R107" s="120"/>
      <c r="S107" s="120"/>
      <c r="T107" s="120"/>
      <c r="U107" s="120"/>
      <c r="V107" s="120"/>
      <c r="W107" s="120"/>
      <c r="X107" s="120"/>
      <c r="Y107" s="120"/>
      <c r="Z107" s="120"/>
      <c r="AA107" s="120"/>
      <c r="AB107" s="120"/>
      <c r="AC107" s="120"/>
      <c r="AD107" s="120"/>
      <c r="AE107" s="93"/>
      <c r="AF107" s="143"/>
      <c r="AG107" s="144"/>
      <c r="AH107" s="143"/>
      <c r="AI107" s="143"/>
      <c r="AJ107" s="143"/>
      <c r="AK107" s="143"/>
      <c r="AL107" s="143"/>
      <c r="AM107" s="143"/>
      <c r="AN107" s="143"/>
      <c r="AO107" s="93"/>
      <c r="AP107" s="144">
        <f t="shared" si="5"/>
        <v>0</v>
      </c>
      <c r="AQ107" s="93"/>
      <c r="AT107" s="93"/>
      <c r="AV107" s="93"/>
    </row>
    <row r="108" spans="1:48">
      <c r="A108" s="90"/>
      <c r="B108" s="121" t="s">
        <v>59</v>
      </c>
      <c r="C108" s="117" t="s">
        <v>59</v>
      </c>
      <c r="D108" s="221" t="s">
        <v>59</v>
      </c>
      <c r="E108" s="222"/>
      <c r="F108" s="123"/>
      <c r="G108" s="117"/>
      <c r="H108" s="123"/>
      <c r="I108" s="118" t="s">
        <v>59</v>
      </c>
      <c r="J108" s="150" t="s">
        <v>59</v>
      </c>
      <c r="K108" s="90"/>
      <c r="L108" s="119"/>
      <c r="M108" s="119"/>
      <c r="N108" s="120"/>
      <c r="O108" s="120"/>
      <c r="P108" s="120"/>
      <c r="Q108" s="120"/>
      <c r="R108" s="120"/>
      <c r="S108" s="120"/>
      <c r="T108" s="120"/>
      <c r="U108" s="120"/>
      <c r="V108" s="120"/>
      <c r="W108" s="120"/>
      <c r="X108" s="120"/>
      <c r="Y108" s="120"/>
      <c r="Z108" s="120"/>
      <c r="AA108" s="120"/>
      <c r="AB108" s="120"/>
      <c r="AC108" s="120"/>
      <c r="AD108" s="120"/>
      <c r="AE108" s="93"/>
      <c r="AF108" s="143"/>
      <c r="AG108" s="144"/>
      <c r="AH108" s="143"/>
      <c r="AI108" s="143"/>
      <c r="AJ108" s="143"/>
      <c r="AK108" s="143"/>
      <c r="AL108" s="143"/>
      <c r="AM108" s="143"/>
      <c r="AN108" s="143"/>
      <c r="AO108" s="93"/>
      <c r="AP108" s="144">
        <f t="shared" si="5"/>
        <v>0</v>
      </c>
      <c r="AQ108" s="93"/>
      <c r="AT108" s="93"/>
      <c r="AV108" s="93"/>
    </row>
    <row r="109" spans="1:48">
      <c r="A109" s="90"/>
      <c r="B109" s="121" t="s">
        <v>59</v>
      </c>
      <c r="C109" s="117" t="s">
        <v>59</v>
      </c>
      <c r="D109" s="221" t="s">
        <v>59</v>
      </c>
      <c r="E109" s="222"/>
      <c r="F109" s="123"/>
      <c r="G109" s="117"/>
      <c r="H109" s="123"/>
      <c r="I109" s="118" t="s">
        <v>59</v>
      </c>
      <c r="J109" s="150" t="s">
        <v>59</v>
      </c>
      <c r="K109" s="90"/>
      <c r="L109" s="119"/>
      <c r="M109" s="119"/>
      <c r="N109" s="120"/>
      <c r="O109" s="120"/>
      <c r="P109" s="120"/>
      <c r="Q109" s="120"/>
      <c r="R109" s="120"/>
      <c r="S109" s="120"/>
      <c r="T109" s="120"/>
      <c r="U109" s="120"/>
      <c r="V109" s="120"/>
      <c r="W109" s="120"/>
      <c r="X109" s="120"/>
      <c r="Y109" s="120"/>
      <c r="Z109" s="120"/>
      <c r="AA109" s="120"/>
      <c r="AB109" s="120"/>
      <c r="AC109" s="120"/>
      <c r="AD109" s="120"/>
      <c r="AE109" s="93"/>
      <c r="AF109" s="143"/>
      <c r="AG109" s="144"/>
      <c r="AH109" s="143"/>
      <c r="AI109" s="143"/>
      <c r="AJ109" s="143"/>
      <c r="AK109" s="143"/>
      <c r="AL109" s="143"/>
      <c r="AM109" s="143"/>
      <c r="AN109" s="143"/>
      <c r="AO109" s="93"/>
      <c r="AP109" s="144">
        <f t="shared" si="5"/>
        <v>0</v>
      </c>
      <c r="AQ109" s="93"/>
      <c r="AT109" s="93"/>
      <c r="AV109" s="93"/>
    </row>
    <row r="110" spans="1:48">
      <c r="A110" s="90"/>
      <c r="B110" s="121" t="s">
        <v>59</v>
      </c>
      <c r="C110" s="117" t="s">
        <v>59</v>
      </c>
      <c r="D110" s="221" t="s">
        <v>59</v>
      </c>
      <c r="E110" s="222"/>
      <c r="F110" s="123"/>
      <c r="G110" s="117"/>
      <c r="H110" s="123"/>
      <c r="I110" s="118" t="s">
        <v>59</v>
      </c>
      <c r="J110" s="150" t="s">
        <v>59</v>
      </c>
      <c r="K110" s="90"/>
      <c r="L110" s="119"/>
      <c r="M110" s="119"/>
      <c r="N110" s="120"/>
      <c r="O110" s="120"/>
      <c r="P110" s="120"/>
      <c r="Q110" s="120"/>
      <c r="R110" s="120"/>
      <c r="S110" s="120"/>
      <c r="T110" s="120"/>
      <c r="U110" s="120"/>
      <c r="V110" s="120"/>
      <c r="W110" s="120"/>
      <c r="X110" s="120"/>
      <c r="Y110" s="120"/>
      <c r="Z110" s="120"/>
      <c r="AA110" s="120"/>
      <c r="AB110" s="120"/>
      <c r="AC110" s="120"/>
      <c r="AD110" s="120"/>
      <c r="AE110" s="93"/>
      <c r="AF110" s="143"/>
      <c r="AG110" s="144"/>
      <c r="AH110" s="143"/>
      <c r="AI110" s="143"/>
      <c r="AJ110" s="143"/>
      <c r="AK110" s="143"/>
      <c r="AL110" s="143"/>
      <c r="AM110" s="143"/>
      <c r="AN110" s="143"/>
      <c r="AO110" s="93"/>
      <c r="AP110" s="144">
        <f t="shared" si="5"/>
        <v>0</v>
      </c>
      <c r="AQ110" s="93"/>
      <c r="AT110" s="93"/>
      <c r="AV110" s="93"/>
    </row>
    <row r="111" spans="1:48">
      <c r="A111" s="90"/>
      <c r="B111" s="121" t="s">
        <v>59</v>
      </c>
      <c r="C111" s="117" t="s">
        <v>59</v>
      </c>
      <c r="D111" s="221" t="s">
        <v>59</v>
      </c>
      <c r="E111" s="222"/>
      <c r="F111" s="123"/>
      <c r="G111" s="117"/>
      <c r="H111" s="123"/>
      <c r="I111" s="118" t="s">
        <v>59</v>
      </c>
      <c r="J111" s="150" t="s">
        <v>59</v>
      </c>
      <c r="K111" s="90"/>
      <c r="L111" s="119"/>
      <c r="M111" s="119"/>
      <c r="N111" s="120"/>
      <c r="O111" s="120"/>
      <c r="P111" s="120"/>
      <c r="Q111" s="120"/>
      <c r="R111" s="120"/>
      <c r="S111" s="120"/>
      <c r="T111" s="120"/>
      <c r="U111" s="120"/>
      <c r="V111" s="120"/>
      <c r="W111" s="120"/>
      <c r="X111" s="120"/>
      <c r="Y111" s="120"/>
      <c r="Z111" s="120"/>
      <c r="AA111" s="120"/>
      <c r="AB111" s="120"/>
      <c r="AC111" s="120"/>
      <c r="AD111" s="120"/>
      <c r="AE111" s="93"/>
      <c r="AF111" s="143"/>
      <c r="AG111" s="144"/>
      <c r="AH111" s="143"/>
      <c r="AI111" s="143"/>
      <c r="AJ111" s="143"/>
      <c r="AK111" s="143"/>
      <c r="AL111" s="143"/>
      <c r="AM111" s="143"/>
      <c r="AN111" s="143"/>
      <c r="AO111" s="93"/>
      <c r="AP111" s="144">
        <f t="shared" si="5"/>
        <v>0</v>
      </c>
      <c r="AQ111" s="93"/>
      <c r="AT111" s="93"/>
      <c r="AV111" s="93"/>
    </row>
    <row r="112" spans="1:48">
      <c r="A112" s="90"/>
      <c r="B112" s="121" t="s">
        <v>59</v>
      </c>
      <c r="C112" s="117" t="s">
        <v>59</v>
      </c>
      <c r="D112" s="221" t="s">
        <v>59</v>
      </c>
      <c r="E112" s="222"/>
      <c r="F112" s="123"/>
      <c r="G112" s="117"/>
      <c r="H112" s="123"/>
      <c r="I112" s="118" t="s">
        <v>59</v>
      </c>
      <c r="J112" s="150" t="s">
        <v>59</v>
      </c>
      <c r="K112" s="90"/>
      <c r="L112" s="119"/>
      <c r="M112" s="119"/>
      <c r="N112" s="120"/>
      <c r="O112" s="120"/>
      <c r="P112" s="120"/>
      <c r="Q112" s="120"/>
      <c r="R112" s="120"/>
      <c r="S112" s="120"/>
      <c r="T112" s="120"/>
      <c r="U112" s="120"/>
      <c r="V112" s="120"/>
      <c r="W112" s="120"/>
      <c r="X112" s="120"/>
      <c r="Y112" s="120"/>
      <c r="Z112" s="120"/>
      <c r="AA112" s="120"/>
      <c r="AB112" s="120"/>
      <c r="AC112" s="120"/>
      <c r="AD112" s="120"/>
      <c r="AE112" s="93"/>
      <c r="AF112" s="143"/>
      <c r="AG112" s="144"/>
      <c r="AH112" s="143"/>
      <c r="AI112" s="143"/>
      <c r="AJ112" s="143"/>
      <c r="AK112" s="143"/>
      <c r="AL112" s="143"/>
      <c r="AM112" s="143"/>
      <c r="AN112" s="143"/>
      <c r="AO112" s="93"/>
      <c r="AP112" s="144">
        <f t="shared" si="5"/>
        <v>0</v>
      </c>
      <c r="AQ112" s="93"/>
      <c r="AT112" s="93"/>
      <c r="AV112" s="93"/>
    </row>
    <row r="113" spans="1:48">
      <c r="A113" s="90"/>
      <c r="B113" s="121" t="s">
        <v>59</v>
      </c>
      <c r="C113" s="117" t="s">
        <v>59</v>
      </c>
      <c r="D113" s="221" t="s">
        <v>59</v>
      </c>
      <c r="E113" s="222"/>
      <c r="F113" s="123"/>
      <c r="G113" s="117"/>
      <c r="H113" s="123"/>
      <c r="I113" s="118" t="s">
        <v>59</v>
      </c>
      <c r="J113" s="150" t="s">
        <v>59</v>
      </c>
      <c r="K113" s="90"/>
      <c r="L113" s="119"/>
      <c r="M113" s="119"/>
      <c r="N113" s="120"/>
      <c r="O113" s="120"/>
      <c r="P113" s="120"/>
      <c r="Q113" s="120"/>
      <c r="R113" s="120"/>
      <c r="S113" s="120"/>
      <c r="T113" s="120"/>
      <c r="U113" s="120"/>
      <c r="V113" s="120"/>
      <c r="W113" s="120"/>
      <c r="X113" s="120"/>
      <c r="Y113" s="120"/>
      <c r="Z113" s="120"/>
      <c r="AA113" s="120"/>
      <c r="AB113" s="120"/>
      <c r="AC113" s="120"/>
      <c r="AD113" s="120"/>
      <c r="AE113" s="93"/>
      <c r="AF113" s="143"/>
      <c r="AG113" s="144"/>
      <c r="AH113" s="143"/>
      <c r="AI113" s="143"/>
      <c r="AJ113" s="143"/>
      <c r="AK113" s="143"/>
      <c r="AL113" s="143"/>
      <c r="AM113" s="143"/>
      <c r="AN113" s="143"/>
      <c r="AO113" s="93"/>
      <c r="AP113" s="144">
        <f t="shared" si="5"/>
        <v>0</v>
      </c>
      <c r="AQ113" s="93"/>
      <c r="AT113" s="93"/>
      <c r="AV113" s="93"/>
    </row>
    <row r="114" spans="1:48">
      <c r="A114" s="90"/>
      <c r="B114" s="121" t="s">
        <v>59</v>
      </c>
      <c r="C114" s="117" t="s">
        <v>59</v>
      </c>
      <c r="D114" s="221" t="s">
        <v>59</v>
      </c>
      <c r="E114" s="222"/>
      <c r="F114" s="123"/>
      <c r="G114" s="117"/>
      <c r="H114" s="123"/>
      <c r="I114" s="118" t="s">
        <v>59</v>
      </c>
      <c r="J114" s="150" t="s">
        <v>59</v>
      </c>
      <c r="K114" s="90"/>
      <c r="L114" s="119"/>
      <c r="M114" s="119"/>
      <c r="N114" s="120"/>
      <c r="O114" s="120"/>
      <c r="P114" s="120"/>
      <c r="Q114" s="120"/>
      <c r="R114" s="120"/>
      <c r="S114" s="120"/>
      <c r="T114" s="120"/>
      <c r="U114" s="120"/>
      <c r="V114" s="120"/>
      <c r="W114" s="120"/>
      <c r="X114" s="120"/>
      <c r="Y114" s="120"/>
      <c r="Z114" s="120"/>
      <c r="AA114" s="120"/>
      <c r="AB114" s="120"/>
      <c r="AC114" s="120"/>
      <c r="AD114" s="120"/>
      <c r="AE114" s="93"/>
      <c r="AF114" s="143"/>
      <c r="AG114" s="144"/>
      <c r="AH114" s="143"/>
      <c r="AI114" s="143"/>
      <c r="AJ114" s="143"/>
      <c r="AK114" s="143"/>
      <c r="AL114" s="143"/>
      <c r="AM114" s="143"/>
      <c r="AN114" s="143"/>
      <c r="AO114" s="93"/>
      <c r="AP114" s="144">
        <f t="shared" si="5"/>
        <v>0</v>
      </c>
      <c r="AQ114" s="93"/>
      <c r="AT114" s="93"/>
      <c r="AV114" s="93"/>
    </row>
    <row r="115" spans="1:48">
      <c r="A115" s="90"/>
      <c r="B115" s="121" t="s">
        <v>59</v>
      </c>
      <c r="C115" s="117" t="s">
        <v>59</v>
      </c>
      <c r="D115" s="221" t="s">
        <v>59</v>
      </c>
      <c r="E115" s="222"/>
      <c r="F115" s="123"/>
      <c r="G115" s="117"/>
      <c r="H115" s="123"/>
      <c r="I115" s="118" t="s">
        <v>59</v>
      </c>
      <c r="J115" s="150" t="s">
        <v>59</v>
      </c>
      <c r="K115" s="90"/>
      <c r="L115" s="119"/>
      <c r="M115" s="119"/>
      <c r="N115" s="120"/>
      <c r="O115" s="120"/>
      <c r="P115" s="120"/>
      <c r="Q115" s="120"/>
      <c r="R115" s="120"/>
      <c r="S115" s="120"/>
      <c r="T115" s="120"/>
      <c r="U115" s="120"/>
      <c r="V115" s="120"/>
      <c r="W115" s="120"/>
      <c r="X115" s="120"/>
      <c r="Y115" s="120"/>
      <c r="Z115" s="120"/>
      <c r="AA115" s="120"/>
      <c r="AB115" s="120"/>
      <c r="AC115" s="120"/>
      <c r="AD115" s="120"/>
      <c r="AE115" s="93"/>
      <c r="AF115" s="143"/>
      <c r="AG115" s="144"/>
      <c r="AH115" s="143"/>
      <c r="AI115" s="143"/>
      <c r="AJ115" s="143"/>
      <c r="AK115" s="143"/>
      <c r="AL115" s="143"/>
      <c r="AM115" s="143"/>
      <c r="AN115" s="143"/>
      <c r="AO115" s="93"/>
      <c r="AP115" s="144">
        <f t="shared" si="5"/>
        <v>0</v>
      </c>
      <c r="AQ115" s="93"/>
      <c r="AT115" s="93"/>
      <c r="AV115" s="93"/>
    </row>
  </sheetData>
  <mergeCells count="121">
    <mergeCell ref="D110:E110"/>
    <mergeCell ref="D115:E115"/>
    <mergeCell ref="D111:E111"/>
    <mergeCell ref="D112:E112"/>
    <mergeCell ref="D113:E113"/>
    <mergeCell ref="D114:E114"/>
    <mergeCell ref="D105:E105"/>
    <mergeCell ref="D106:E106"/>
    <mergeCell ref="D107:E107"/>
    <mergeCell ref="D108:E108"/>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B2:D2"/>
    <mergeCell ref="B3:D3"/>
    <mergeCell ref="E6:I6"/>
    <mergeCell ref="E7:I7"/>
    <mergeCell ref="E2:I2"/>
    <mergeCell ref="E3:I3"/>
    <mergeCell ref="E4:I4"/>
    <mergeCell ref="E5:I5"/>
    <mergeCell ref="B4:D4"/>
    <mergeCell ref="B6:D6"/>
    <mergeCell ref="B5:D5"/>
    <mergeCell ref="B7:D7"/>
    <mergeCell ref="F8:J8"/>
    <mergeCell ref="D25:E25"/>
    <mergeCell ref="D26:E26"/>
    <mergeCell ref="D27:E27"/>
    <mergeCell ref="B19:J19"/>
    <mergeCell ref="B11:J11"/>
    <mergeCell ref="C21:E21"/>
    <mergeCell ref="B13:J13"/>
    <mergeCell ref="B14:J14"/>
    <mergeCell ref="B20:J20"/>
    <mergeCell ref="B18:J18"/>
    <mergeCell ref="B9:J9"/>
    <mergeCell ref="B10:J10"/>
    <mergeCell ref="B15:J15"/>
    <mergeCell ref="B16:J16"/>
    <mergeCell ref="B17:J17"/>
    <mergeCell ref="C8:E8"/>
    <mergeCell ref="B12:J12"/>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J4:J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s>
  <phoneticPr fontId="2" type="noConversion"/>
  <conditionalFormatting sqref="B24:B115">
    <cfRule type="expression" dxfId="18" priority="3" stopIfTrue="1">
      <formula>B24=B23</formula>
    </cfRule>
  </conditionalFormatting>
  <conditionalFormatting sqref="H7:I7">
    <cfRule type="expression" dxfId="17" priority="4" stopIfTrue="1">
      <formula>AND(O22, H7="")</formula>
    </cfRule>
  </conditionalFormatting>
  <conditionalFormatting sqref="F24:F115">
    <cfRule type="expression" dxfId="16" priority="5" stopIfTrue="1">
      <formula>$AK24</formula>
    </cfRule>
    <cfRule type="expression" dxfId="15" priority="6" stopIfTrue="1">
      <formula>$AJ24</formula>
    </cfRule>
  </conditionalFormatting>
  <conditionalFormatting sqref="C24:E115">
    <cfRule type="expression" dxfId="14" priority="7" stopIfTrue="1">
      <formula>AND($F24="N",$I24&lt;&gt;"I")</formula>
    </cfRule>
  </conditionalFormatting>
  <conditionalFormatting sqref="I24:I115">
    <cfRule type="expression" dxfId="13" priority="8" stopIfTrue="1">
      <formula>$P$22</formula>
    </cfRule>
  </conditionalFormatting>
  <conditionalFormatting sqref="J24:J115">
    <cfRule type="expression" dxfId="12" priority="9" stopIfTrue="1">
      <formula>$P$22</formula>
    </cfRule>
  </conditionalFormatting>
  <conditionalFormatting sqref="I23">
    <cfRule type="expression" dxfId="11" priority="10" stopIfTrue="1">
      <formula>$P$22</formula>
    </cfRule>
  </conditionalFormatting>
  <conditionalFormatting sqref="J23">
    <cfRule type="expression" dxfId="10" priority="11" stopIfTrue="1">
      <formula>$P$22</formula>
    </cfRule>
  </conditionalFormatting>
  <conditionalFormatting sqref="J4:J6">
    <cfRule type="expression" dxfId="9" priority="12" stopIfTrue="1">
      <formula>$P$22</formula>
    </cfRule>
  </conditionalFormatting>
  <conditionalFormatting sqref="E7:F7">
    <cfRule type="expression" dxfId="8" priority="35" stopIfTrue="1">
      <formula>AND(M22, E7="")</formula>
    </cfRule>
  </conditionalFormatting>
  <conditionalFormatting sqref="G7">
    <cfRule type="expression" dxfId="7" priority="2" stopIfTrue="1">
      <formula>AND(N22, G7="")</formula>
    </cfRule>
  </conditionalFormatting>
  <conditionalFormatting sqref="G24:G115">
    <cfRule type="expression" dxfId="6" priority="1" stopIfTrue="1">
      <formula>AND($F24="N",$I24&lt;&gt;"I")</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indexed="42"/>
    <outlinePr summaryBelow="0"/>
    <pageSetUpPr fitToPage="1"/>
  </sheetPr>
  <dimension ref="A1:O226"/>
  <sheetViews>
    <sheetView showZeros="0" tabSelected="1" topLeftCell="A100" zoomScaleNormal="100" workbookViewId="0">
      <selection activeCell="B126" sqref="B126:I126"/>
    </sheetView>
  </sheetViews>
  <sheetFormatPr defaultRowHeight="13.2" outlineLevelRow="1"/>
  <cols>
    <col min="1" max="1" width="2.6640625" style="79" customWidth="1"/>
    <col min="2" max="2" width="21.44140625" style="79" customWidth="1"/>
    <col min="3" max="3" width="17.44140625" style="79" customWidth="1"/>
    <col min="4" max="4" width="4" style="79" customWidth="1"/>
    <col min="5" max="5" width="20.6640625" style="79" customWidth="1"/>
    <col min="6" max="6" width="17.44140625" style="79" customWidth="1"/>
    <col min="7" max="7" width="4" style="79" customWidth="1"/>
    <col min="8" max="8" width="20" style="79" customWidth="1"/>
    <col min="9" max="9" width="17.44140625" style="79" customWidth="1"/>
    <col min="10" max="10" width="14.109375" style="79" customWidth="1"/>
    <col min="11" max="11" width="10.6640625" style="79" customWidth="1"/>
    <col min="12" max="12" width="10.109375" style="79" customWidth="1"/>
    <col min="13" max="13" width="14.5546875" style="79" customWidth="1"/>
    <col min="14" max="14" width="13.6640625" style="79" customWidth="1"/>
  </cols>
  <sheetData>
    <row r="1" spans="1:14" hidden="1">
      <c r="A1" s="154"/>
      <c r="B1" s="46"/>
      <c r="C1" s="154"/>
      <c r="D1" s="154"/>
      <c r="E1" s="48" t="s">
        <v>57</v>
      </c>
      <c r="F1" s="154"/>
      <c r="G1" s="154"/>
      <c r="H1" s="109" t="s">
        <v>14</v>
      </c>
      <c r="I1" s="154"/>
      <c r="J1" s="109" t="s">
        <v>147</v>
      </c>
      <c r="K1" s="109" t="s">
        <v>95</v>
      </c>
      <c r="L1" s="154"/>
      <c r="M1" s="154"/>
      <c r="N1" s="154"/>
    </row>
    <row r="2" spans="1:14" hidden="1">
      <c r="A2" s="154"/>
      <c r="B2" s="46"/>
      <c r="C2" s="154"/>
      <c r="D2" s="154"/>
      <c r="E2" s="166" t="b">
        <v>0</v>
      </c>
      <c r="F2" s="154"/>
      <c r="G2" s="154"/>
      <c r="H2" s="167" t="b">
        <v>1</v>
      </c>
      <c r="I2" s="175" t="s">
        <v>177</v>
      </c>
      <c r="J2" s="167" t="str">
        <f>B118</f>
        <v>CAN-P-3G</v>
      </c>
      <c r="K2" s="167" t="e">
        <f>IF(J2="select standard","",VLOOKUP(J2,StdsNameList,2,FALSE))</f>
        <v>#REF!</v>
      </c>
      <c r="L2" s="154"/>
      <c r="M2" s="154"/>
      <c r="N2" s="154"/>
    </row>
    <row r="3" spans="1:14" hidden="1">
      <c r="A3" s="46"/>
      <c r="B3" s="46"/>
      <c r="C3" s="47"/>
      <c r="D3" s="47"/>
      <c r="E3" s="166" t="b">
        <v>0</v>
      </c>
      <c r="F3" s="154"/>
      <c r="G3" s="154"/>
      <c r="H3" s="154"/>
      <c r="I3" s="175" t="s">
        <v>178</v>
      </c>
      <c r="J3" s="167">
        <f>E118</f>
        <v>0</v>
      </c>
      <c r="K3" s="167" t="e">
        <f>IF(J3="select standard","",VLOOKUP(J3,StdsNameList,2,FALSE))</f>
        <v>#REF!</v>
      </c>
      <c r="L3" s="154"/>
      <c r="M3" s="154"/>
      <c r="N3" s="154"/>
    </row>
    <row r="4" spans="1:14" hidden="1">
      <c r="A4" s="46"/>
      <c r="B4" s="46"/>
      <c r="C4" s="47"/>
      <c r="D4" s="47"/>
      <c r="E4" s="166" t="b">
        <v>0</v>
      </c>
      <c r="F4" s="154"/>
      <c r="G4" s="154"/>
      <c r="H4" s="154"/>
      <c r="I4" s="175" t="s">
        <v>179</v>
      </c>
      <c r="J4" s="167">
        <f>H118</f>
        <v>0</v>
      </c>
      <c r="K4" s="167" t="e">
        <f>IF(J4="select standard","",VLOOKUP(J4,StdsNameList,2,FALSE))</f>
        <v>#REF!</v>
      </c>
      <c r="L4" s="154"/>
      <c r="M4" s="154"/>
      <c r="N4" s="154"/>
    </row>
    <row r="5" spans="1:14" hidden="1">
      <c r="A5" s="46"/>
      <c r="B5" s="46"/>
      <c r="C5" s="47"/>
      <c r="D5" s="47"/>
      <c r="E5" s="166" t="b">
        <v>0</v>
      </c>
      <c r="F5" s="154"/>
      <c r="G5" s="154"/>
      <c r="H5" s="154"/>
      <c r="I5" s="154"/>
      <c r="J5" s="154"/>
      <c r="K5" s="154"/>
      <c r="L5" s="154"/>
      <c r="M5" s="154"/>
      <c r="N5" s="154"/>
    </row>
    <row r="6" spans="1:14" hidden="1">
      <c r="A6" s="46"/>
      <c r="B6" s="46"/>
      <c r="C6" s="46"/>
      <c r="D6" s="47"/>
      <c r="E6" s="166" t="b">
        <v>0</v>
      </c>
      <c r="F6" s="154"/>
      <c r="G6" s="154"/>
      <c r="H6" s="154"/>
      <c r="I6" s="154"/>
      <c r="J6" s="154"/>
      <c r="K6" s="154"/>
      <c r="L6" s="154"/>
      <c r="M6" s="154"/>
      <c r="N6" s="154"/>
    </row>
    <row r="7" spans="1:14" hidden="1">
      <c r="A7" s="46"/>
      <c r="B7" s="46"/>
      <c r="C7" s="46"/>
      <c r="D7" s="47"/>
      <c r="E7" s="166" t="b">
        <v>0</v>
      </c>
      <c r="F7" s="154"/>
      <c r="G7" s="154"/>
      <c r="H7" s="154"/>
      <c r="I7" s="154"/>
      <c r="J7" s="154"/>
      <c r="K7" s="154"/>
      <c r="L7" s="154"/>
      <c r="M7" s="154"/>
      <c r="N7" s="154"/>
    </row>
    <row r="8" spans="1:14" hidden="1">
      <c r="A8" s="46"/>
      <c r="B8" s="46"/>
      <c r="C8" s="46"/>
      <c r="D8" s="47"/>
      <c r="E8" s="166" t="b">
        <v>0</v>
      </c>
      <c r="F8" s="154"/>
      <c r="G8" s="154"/>
      <c r="H8" s="154"/>
      <c r="I8" s="154"/>
      <c r="J8" s="154"/>
      <c r="K8" s="154"/>
      <c r="L8" s="154"/>
      <c r="M8" s="154"/>
      <c r="N8" s="154"/>
    </row>
    <row r="9" spans="1:14" hidden="1">
      <c r="A9" s="46"/>
      <c r="B9" s="46"/>
      <c r="C9" s="46"/>
      <c r="D9" s="47"/>
      <c r="E9" s="166" t="b">
        <v>0</v>
      </c>
      <c r="F9" s="154"/>
      <c r="G9" s="154"/>
      <c r="H9" s="154"/>
      <c r="I9" s="154"/>
      <c r="J9" s="154"/>
      <c r="K9" s="154"/>
      <c r="L9" s="154"/>
      <c r="M9" s="154"/>
      <c r="N9" s="154"/>
    </row>
    <row r="10" spans="1:14" hidden="1">
      <c r="A10" s="46"/>
      <c r="B10" s="46"/>
      <c r="C10" s="46"/>
      <c r="D10" s="47"/>
      <c r="E10" s="166" t="b">
        <v>0</v>
      </c>
      <c r="F10" s="154"/>
      <c r="G10" s="154"/>
      <c r="H10" s="154"/>
      <c r="I10" s="154"/>
      <c r="J10" s="154"/>
      <c r="K10" s="154"/>
      <c r="L10" s="154"/>
      <c r="M10" s="154"/>
      <c r="N10" s="154"/>
    </row>
    <row r="11" spans="1:14" hidden="1">
      <c r="A11" s="46"/>
      <c r="B11" s="46"/>
      <c r="C11" s="46"/>
      <c r="D11" s="47"/>
      <c r="E11" s="166" t="b">
        <v>0</v>
      </c>
      <c r="F11" s="154"/>
      <c r="G11" s="154"/>
      <c r="H11" s="154"/>
      <c r="I11" s="154"/>
      <c r="J11" s="154"/>
      <c r="K11" s="154"/>
      <c r="L11" s="154"/>
      <c r="M11" s="154"/>
      <c r="N11" s="154"/>
    </row>
    <row r="12" spans="1:14" hidden="1">
      <c r="A12" s="46"/>
      <c r="B12" s="46"/>
      <c r="C12" s="46"/>
      <c r="D12" s="47"/>
      <c r="E12" s="166" t="b">
        <v>0</v>
      </c>
      <c r="F12" s="154"/>
      <c r="G12" s="154"/>
      <c r="H12" s="154"/>
      <c r="I12" s="154"/>
      <c r="J12" s="154"/>
      <c r="K12" s="154"/>
      <c r="L12" s="154"/>
      <c r="M12" s="154"/>
      <c r="N12" s="154"/>
    </row>
    <row r="13" spans="1:14" hidden="1">
      <c r="A13" s="46"/>
      <c r="B13" s="46"/>
      <c r="C13" s="46"/>
      <c r="D13" s="47"/>
      <c r="E13" s="166" t="b">
        <v>0</v>
      </c>
      <c r="F13" s="154"/>
      <c r="G13" s="154"/>
      <c r="H13" s="154"/>
      <c r="I13" s="154"/>
      <c r="J13" s="154"/>
      <c r="K13" s="154"/>
      <c r="L13" s="154"/>
      <c r="M13" s="154"/>
      <c r="N13" s="154"/>
    </row>
    <row r="14" spans="1:14" hidden="1">
      <c r="A14" s="46"/>
      <c r="B14" s="46"/>
      <c r="C14" s="46"/>
      <c r="D14" s="47"/>
      <c r="E14" s="166" t="b">
        <v>0</v>
      </c>
      <c r="F14" s="154"/>
      <c r="G14" s="154"/>
      <c r="H14" s="154"/>
      <c r="I14" s="154"/>
      <c r="J14" s="154"/>
      <c r="K14" s="154"/>
      <c r="L14" s="154"/>
      <c r="M14" s="154"/>
      <c r="N14" s="154"/>
    </row>
    <row r="15" spans="1:14" hidden="1">
      <c r="A15" s="46"/>
      <c r="B15" s="46"/>
      <c r="C15" s="46"/>
      <c r="D15" s="47"/>
      <c r="E15" s="166" t="b">
        <v>0</v>
      </c>
      <c r="F15" s="154"/>
      <c r="G15" s="154"/>
      <c r="H15" s="154"/>
      <c r="I15" s="154"/>
      <c r="J15" s="154"/>
      <c r="K15" s="154"/>
      <c r="L15" s="154"/>
      <c r="M15" s="154"/>
      <c r="N15" s="154"/>
    </row>
    <row r="16" spans="1:14" hidden="1">
      <c r="A16" s="46"/>
      <c r="B16" s="46"/>
      <c r="C16" s="46"/>
      <c r="D16" s="47"/>
      <c r="E16" s="166" t="b">
        <v>0</v>
      </c>
      <c r="F16" s="154"/>
      <c r="G16" s="154"/>
      <c r="H16" s="154"/>
      <c r="I16" s="154"/>
      <c r="J16" s="154"/>
      <c r="K16" s="154"/>
      <c r="L16" s="154"/>
      <c r="M16" s="154"/>
      <c r="N16" s="154"/>
    </row>
    <row r="17" spans="1:14" hidden="1">
      <c r="A17" s="46"/>
      <c r="B17" s="46"/>
      <c r="C17" s="46"/>
      <c r="D17" s="47"/>
      <c r="E17" s="166" t="b">
        <v>0</v>
      </c>
      <c r="F17" s="154"/>
      <c r="G17" s="154"/>
      <c r="H17" s="154"/>
      <c r="I17" s="154"/>
      <c r="J17" s="154"/>
      <c r="K17" s="154"/>
      <c r="L17" s="154"/>
      <c r="M17" s="154"/>
      <c r="N17" s="154"/>
    </row>
    <row r="18" spans="1:14" hidden="1">
      <c r="A18" s="46"/>
      <c r="B18" s="46"/>
      <c r="C18" s="46"/>
      <c r="D18" s="47"/>
      <c r="E18" s="166" t="b">
        <v>0</v>
      </c>
      <c r="F18" s="154"/>
      <c r="G18" s="154"/>
      <c r="H18" s="154"/>
      <c r="I18" s="154"/>
      <c r="J18" s="154"/>
      <c r="K18" s="154"/>
      <c r="L18" s="154"/>
      <c r="M18" s="154"/>
      <c r="N18" s="154"/>
    </row>
    <row r="19" spans="1:14" hidden="1">
      <c r="A19" s="46"/>
      <c r="B19" s="46"/>
      <c r="C19" s="46"/>
      <c r="D19" s="47"/>
      <c r="E19" s="166" t="b">
        <v>0</v>
      </c>
      <c r="F19" s="154"/>
      <c r="G19" s="154"/>
      <c r="H19" s="154"/>
      <c r="I19" s="154"/>
      <c r="J19" s="154"/>
      <c r="K19" s="154"/>
      <c r="L19" s="154"/>
      <c r="M19" s="154"/>
      <c r="N19" s="154"/>
    </row>
    <row r="20" spans="1:14" hidden="1">
      <c r="A20" s="46"/>
      <c r="B20" s="46"/>
      <c r="C20" s="46"/>
      <c r="D20" s="47"/>
      <c r="E20" s="166" t="b">
        <v>0</v>
      </c>
      <c r="F20" s="154"/>
      <c r="G20" s="154"/>
      <c r="H20" s="154"/>
      <c r="I20" s="154"/>
      <c r="J20" s="154"/>
      <c r="K20" s="154"/>
      <c r="L20" s="154"/>
      <c r="M20" s="154"/>
      <c r="N20" s="154"/>
    </row>
    <row r="21" spans="1:14" hidden="1">
      <c r="A21" s="46"/>
      <c r="B21" s="46"/>
      <c r="C21" s="46"/>
      <c r="D21" s="47"/>
      <c r="E21" s="166" t="b">
        <v>0</v>
      </c>
      <c r="F21" s="154"/>
      <c r="G21" s="154"/>
      <c r="H21" s="154"/>
      <c r="I21" s="154"/>
      <c r="J21" s="154"/>
      <c r="K21" s="154"/>
      <c r="L21" s="154"/>
      <c r="M21" s="154"/>
      <c r="N21" s="154"/>
    </row>
    <row r="22" spans="1:14" hidden="1">
      <c r="A22" s="46"/>
      <c r="B22" s="46"/>
      <c r="C22" s="46"/>
      <c r="D22" s="47"/>
      <c r="E22" s="166" t="b">
        <v>0</v>
      </c>
      <c r="F22" s="154"/>
      <c r="G22" s="154"/>
      <c r="H22" s="154"/>
      <c r="I22" s="154"/>
      <c r="J22" s="154"/>
      <c r="K22" s="154"/>
      <c r="L22" s="154"/>
      <c r="M22" s="154"/>
      <c r="N22" s="154"/>
    </row>
    <row r="23" spans="1:14" hidden="1">
      <c r="A23" s="46"/>
      <c r="B23" s="46"/>
      <c r="C23" s="46"/>
      <c r="D23" s="47"/>
      <c r="E23" s="166" t="b">
        <v>0</v>
      </c>
      <c r="F23" s="154"/>
      <c r="G23" s="154"/>
      <c r="H23" s="154"/>
      <c r="I23" s="154"/>
      <c r="J23" s="154"/>
      <c r="K23" s="154"/>
      <c r="L23" s="154"/>
      <c r="M23" s="154"/>
      <c r="N23" s="154"/>
    </row>
    <row r="24" spans="1:14" hidden="1">
      <c r="A24" s="46"/>
      <c r="B24" s="46"/>
      <c r="C24" s="46"/>
      <c r="D24" s="47"/>
      <c r="E24" s="166" t="b">
        <v>0</v>
      </c>
      <c r="F24" s="154"/>
      <c r="G24" s="154"/>
      <c r="H24" s="154"/>
      <c r="I24" s="154"/>
      <c r="J24" s="154"/>
      <c r="K24" s="154"/>
      <c r="L24" s="154"/>
      <c r="M24" s="154"/>
      <c r="N24" s="154"/>
    </row>
    <row r="25" spans="1:14" hidden="1">
      <c r="A25" s="46"/>
      <c r="B25" s="46"/>
      <c r="C25" s="46"/>
      <c r="D25" s="47"/>
      <c r="E25" s="166" t="b">
        <v>0</v>
      </c>
      <c r="F25" s="154"/>
      <c r="G25" s="154"/>
      <c r="H25" s="154"/>
      <c r="I25" s="154"/>
      <c r="J25" s="154"/>
      <c r="K25" s="154"/>
      <c r="L25" s="154"/>
      <c r="M25" s="154"/>
      <c r="N25" s="154"/>
    </row>
    <row r="26" spans="1:14" hidden="1">
      <c r="A26"/>
      <c r="B26"/>
      <c r="C26"/>
      <c r="D26"/>
      <c r="E26"/>
      <c r="F26"/>
      <c r="G26"/>
      <c r="H26"/>
      <c r="I26"/>
      <c r="J26"/>
      <c r="K26"/>
      <c r="L26"/>
      <c r="M26"/>
      <c r="N26"/>
    </row>
    <row r="27" spans="1:14" hidden="1">
      <c r="A27"/>
      <c r="B27"/>
      <c r="C27"/>
      <c r="D27"/>
      <c r="E27"/>
      <c r="F27"/>
      <c r="G27"/>
      <c r="H27"/>
      <c r="I27"/>
      <c r="J27"/>
      <c r="K27"/>
      <c r="L27"/>
      <c r="M27"/>
      <c r="N27"/>
    </row>
    <row r="28" spans="1:14" hidden="1">
      <c r="A28"/>
      <c r="B28"/>
      <c r="C28"/>
      <c r="D28"/>
      <c r="E28"/>
      <c r="F28"/>
      <c r="G28"/>
      <c r="H28"/>
      <c r="I28"/>
      <c r="J28"/>
      <c r="K28"/>
      <c r="L28"/>
      <c r="M28"/>
      <c r="N28"/>
    </row>
    <row r="29" spans="1:14" hidden="1">
      <c r="A29"/>
      <c r="B29"/>
      <c r="C29"/>
      <c r="D29"/>
      <c r="E29"/>
      <c r="F29"/>
      <c r="G29"/>
      <c r="H29"/>
      <c r="I29"/>
      <c r="J29"/>
      <c r="K29"/>
      <c r="L29"/>
      <c r="M29"/>
      <c r="N29"/>
    </row>
    <row r="30" spans="1:14" hidden="1">
      <c r="A30"/>
      <c r="B30"/>
      <c r="C30"/>
      <c r="D30"/>
      <c r="E30"/>
      <c r="F30"/>
      <c r="G30"/>
      <c r="H30"/>
      <c r="I30"/>
      <c r="J30"/>
      <c r="K30"/>
      <c r="L30"/>
      <c r="M30"/>
      <c r="N30"/>
    </row>
    <row r="31" spans="1:14" hidden="1">
      <c r="A31"/>
      <c r="B31"/>
      <c r="C31"/>
      <c r="D31"/>
      <c r="E31"/>
      <c r="F31"/>
      <c r="G31"/>
      <c r="H31"/>
      <c r="I31"/>
      <c r="J31"/>
      <c r="K31"/>
      <c r="L31"/>
      <c r="M31"/>
      <c r="N31"/>
    </row>
    <row r="32" spans="1:14" hidden="1">
      <c r="A32"/>
      <c r="B32"/>
      <c r="C32"/>
      <c r="D32"/>
      <c r="E32"/>
      <c r="F32"/>
      <c r="G32"/>
      <c r="H32"/>
      <c r="I32"/>
      <c r="J32"/>
      <c r="K32"/>
      <c r="L32"/>
      <c r="M32"/>
      <c r="N32"/>
    </row>
    <row r="33" spans="1:14" hidden="1">
      <c r="A33"/>
      <c r="B33"/>
      <c r="C33"/>
      <c r="D33"/>
      <c r="E33"/>
      <c r="F33"/>
      <c r="G33"/>
      <c r="H33"/>
      <c r="I33"/>
      <c r="J33"/>
      <c r="K33"/>
      <c r="L33"/>
      <c r="M33"/>
      <c r="N33"/>
    </row>
    <row r="34" spans="1:14" hidden="1">
      <c r="A34"/>
      <c r="B34"/>
      <c r="C34"/>
      <c r="D34"/>
      <c r="E34"/>
      <c r="F34"/>
      <c r="G34"/>
      <c r="H34"/>
      <c r="I34"/>
      <c r="J34"/>
      <c r="K34"/>
      <c r="L34"/>
      <c r="M34"/>
      <c r="N34"/>
    </row>
    <row r="35" spans="1:14" hidden="1">
      <c r="A35"/>
      <c r="B35"/>
      <c r="C35"/>
      <c r="D35"/>
      <c r="E35"/>
      <c r="F35"/>
      <c r="G35"/>
      <c r="H35"/>
      <c r="I35"/>
      <c r="J35"/>
      <c r="K35"/>
      <c r="L35"/>
      <c r="M35"/>
      <c r="N35"/>
    </row>
    <row r="36" spans="1:14" hidden="1">
      <c r="A36"/>
      <c r="B36"/>
      <c r="C36"/>
      <c r="D36"/>
      <c r="E36"/>
      <c r="F36"/>
      <c r="G36"/>
      <c r="H36"/>
      <c r="I36"/>
      <c r="J36"/>
      <c r="K36"/>
      <c r="L36"/>
      <c r="M36"/>
      <c r="N36"/>
    </row>
    <row r="37" spans="1:14" hidden="1">
      <c r="A37"/>
      <c r="B37"/>
      <c r="C37"/>
      <c r="D37"/>
      <c r="E37"/>
      <c r="F37"/>
      <c r="G37"/>
      <c r="H37"/>
      <c r="I37"/>
      <c r="J37"/>
      <c r="K37"/>
      <c r="L37"/>
      <c r="M37"/>
      <c r="N37"/>
    </row>
    <row r="38" spans="1:14" hidden="1">
      <c r="A38"/>
      <c r="B38"/>
      <c r="C38"/>
      <c r="D38"/>
      <c r="E38"/>
      <c r="F38"/>
      <c r="G38"/>
      <c r="H38"/>
      <c r="I38"/>
      <c r="J38"/>
      <c r="K38"/>
      <c r="L38"/>
      <c r="M38"/>
      <c r="N38"/>
    </row>
    <row r="39" spans="1:14" hidden="1">
      <c r="A39"/>
      <c r="B39"/>
      <c r="C39"/>
      <c r="D39"/>
      <c r="E39"/>
      <c r="F39"/>
      <c r="G39"/>
      <c r="H39"/>
      <c r="I39"/>
      <c r="J39"/>
      <c r="K39"/>
      <c r="L39"/>
      <c r="M39"/>
      <c r="N39"/>
    </row>
    <row r="40" spans="1:14" hidden="1">
      <c r="A40"/>
      <c r="B40"/>
      <c r="C40"/>
      <c r="D40"/>
      <c r="E40"/>
      <c r="F40"/>
      <c r="G40"/>
      <c r="H40"/>
      <c r="I40"/>
      <c r="J40"/>
      <c r="K40"/>
      <c r="L40"/>
      <c r="M40"/>
      <c r="N40"/>
    </row>
    <row r="41" spans="1:14" hidden="1">
      <c r="A41"/>
      <c r="B41"/>
      <c r="C41"/>
      <c r="D41"/>
      <c r="E41"/>
      <c r="F41"/>
      <c r="G41"/>
      <c r="H41"/>
      <c r="I41"/>
      <c r="J41"/>
      <c r="K41"/>
      <c r="L41"/>
      <c r="M41"/>
      <c r="N41"/>
    </row>
    <row r="42" spans="1:14" hidden="1">
      <c r="A42"/>
      <c r="B42"/>
      <c r="C42"/>
      <c r="D42"/>
      <c r="E42"/>
      <c r="F42"/>
      <c r="G42"/>
      <c r="H42"/>
      <c r="I42"/>
      <c r="J42"/>
      <c r="K42"/>
      <c r="L42"/>
      <c r="M42"/>
      <c r="N42"/>
    </row>
    <row r="43" spans="1:14" hidden="1">
      <c r="A43"/>
      <c r="B43"/>
      <c r="C43"/>
      <c r="D43"/>
      <c r="E43"/>
      <c r="F43"/>
      <c r="G43"/>
      <c r="H43"/>
      <c r="I43"/>
      <c r="J43"/>
      <c r="K43"/>
      <c r="L43"/>
      <c r="M43"/>
      <c r="N43"/>
    </row>
    <row r="44" spans="1:14" hidden="1">
      <c r="A44"/>
      <c r="B44"/>
      <c r="C44"/>
      <c r="D44"/>
      <c r="E44"/>
      <c r="F44"/>
      <c r="G44"/>
      <c r="H44"/>
      <c r="I44"/>
      <c r="J44"/>
      <c r="K44"/>
      <c r="L44"/>
      <c r="M44"/>
      <c r="N44"/>
    </row>
    <row r="45" spans="1:14" hidden="1">
      <c r="A45"/>
      <c r="B45"/>
      <c r="C45"/>
      <c r="D45"/>
      <c r="E45"/>
      <c r="F45"/>
      <c r="G45"/>
      <c r="H45"/>
      <c r="I45"/>
      <c r="J45"/>
      <c r="K45"/>
      <c r="L45"/>
      <c r="M45"/>
      <c r="N45"/>
    </row>
    <row r="46" spans="1:14" hidden="1">
      <c r="A46"/>
      <c r="B46"/>
      <c r="C46"/>
      <c r="D46"/>
      <c r="E46"/>
      <c r="F46"/>
      <c r="G46"/>
      <c r="H46"/>
      <c r="I46"/>
      <c r="J46"/>
      <c r="K46"/>
      <c r="L46"/>
      <c r="M46"/>
      <c r="N46"/>
    </row>
    <row r="47" spans="1:14" hidden="1">
      <c r="A47"/>
      <c r="B47"/>
      <c r="C47"/>
      <c r="D47"/>
      <c r="E47"/>
      <c r="F47"/>
      <c r="G47"/>
      <c r="H47"/>
      <c r="I47"/>
      <c r="J47"/>
      <c r="K47"/>
      <c r="L47"/>
      <c r="M47"/>
      <c r="N47"/>
    </row>
    <row r="48" spans="1:14" hidden="1">
      <c r="A48"/>
      <c r="B48"/>
      <c r="C48"/>
      <c r="D48"/>
      <c r="E48"/>
      <c r="F48"/>
      <c r="G48"/>
      <c r="H48"/>
      <c r="I48"/>
      <c r="J48"/>
      <c r="K48"/>
      <c r="L48"/>
      <c r="M48"/>
      <c r="N48"/>
    </row>
    <row r="49" spans="1:14" hidden="1">
      <c r="A49"/>
      <c r="B49"/>
      <c r="C49"/>
      <c r="D49"/>
      <c r="E49"/>
      <c r="F49"/>
      <c r="G49"/>
      <c r="H49"/>
      <c r="I49"/>
      <c r="J49"/>
      <c r="K49"/>
      <c r="L49"/>
      <c r="M49"/>
      <c r="N49"/>
    </row>
    <row r="50" spans="1:14" hidden="1">
      <c r="A50"/>
      <c r="B50"/>
      <c r="C50"/>
      <c r="D50"/>
      <c r="E50"/>
      <c r="F50"/>
      <c r="G50"/>
      <c r="H50"/>
      <c r="I50"/>
      <c r="J50"/>
      <c r="K50"/>
      <c r="L50"/>
      <c r="M50"/>
      <c r="N50"/>
    </row>
    <row r="51" spans="1:14" hidden="1">
      <c r="A51"/>
      <c r="B51"/>
      <c r="C51"/>
      <c r="D51"/>
      <c r="E51"/>
      <c r="F51"/>
      <c r="G51"/>
      <c r="H51"/>
      <c r="I51"/>
      <c r="J51"/>
      <c r="K51"/>
      <c r="L51"/>
      <c r="M51"/>
      <c r="N51"/>
    </row>
    <row r="52" spans="1:14" hidden="1">
      <c r="A52"/>
      <c r="B52"/>
      <c r="C52"/>
      <c r="D52"/>
      <c r="E52"/>
      <c r="F52"/>
      <c r="G52"/>
      <c r="H52"/>
      <c r="I52"/>
      <c r="J52"/>
      <c r="K52"/>
      <c r="L52"/>
      <c r="M52"/>
      <c r="N52"/>
    </row>
    <row r="53" spans="1:14" hidden="1">
      <c r="A53"/>
      <c r="B53"/>
      <c r="C53"/>
      <c r="D53"/>
      <c r="E53"/>
      <c r="F53"/>
      <c r="G53"/>
      <c r="H53"/>
      <c r="I53"/>
      <c r="J53"/>
      <c r="K53"/>
      <c r="L53"/>
      <c r="M53"/>
      <c r="N53"/>
    </row>
    <row r="54" spans="1:14" hidden="1">
      <c r="A54"/>
      <c r="B54"/>
      <c r="C54"/>
      <c r="D54"/>
      <c r="E54"/>
      <c r="F54"/>
      <c r="G54"/>
      <c r="H54"/>
      <c r="I54"/>
      <c r="J54"/>
      <c r="K54"/>
      <c r="L54"/>
      <c r="M54"/>
      <c r="N54"/>
    </row>
    <row r="55" spans="1:14" hidden="1">
      <c r="A55"/>
      <c r="B55"/>
      <c r="C55"/>
      <c r="D55"/>
      <c r="E55"/>
      <c r="F55"/>
      <c r="G55"/>
      <c r="H55"/>
      <c r="I55"/>
      <c r="J55"/>
      <c r="K55"/>
      <c r="L55"/>
      <c r="M55"/>
      <c r="N55"/>
    </row>
    <row r="56" spans="1:14" hidden="1">
      <c r="A56"/>
      <c r="B56"/>
      <c r="C56"/>
      <c r="D56"/>
      <c r="E56"/>
      <c r="F56"/>
      <c r="G56"/>
      <c r="H56"/>
      <c r="I56"/>
      <c r="J56"/>
      <c r="K56"/>
      <c r="L56"/>
      <c r="M56"/>
      <c r="N56"/>
    </row>
    <row r="57" spans="1:14" hidden="1">
      <c r="A57"/>
      <c r="B57"/>
      <c r="C57"/>
      <c r="D57"/>
      <c r="E57"/>
      <c r="F57"/>
      <c r="G57"/>
      <c r="H57"/>
      <c r="I57"/>
      <c r="J57"/>
      <c r="K57"/>
      <c r="L57"/>
      <c r="M57"/>
      <c r="N57"/>
    </row>
    <row r="58" spans="1:14" hidden="1">
      <c r="A58"/>
      <c r="B58"/>
      <c r="C58"/>
      <c r="D58"/>
      <c r="E58"/>
      <c r="F58"/>
      <c r="G58"/>
      <c r="H58"/>
      <c r="I58"/>
      <c r="J58"/>
      <c r="K58"/>
      <c r="L58"/>
      <c r="M58"/>
      <c r="N58"/>
    </row>
    <row r="59" spans="1:14" hidden="1">
      <c r="A59"/>
      <c r="B59"/>
      <c r="C59"/>
      <c r="D59"/>
      <c r="E59"/>
      <c r="F59"/>
      <c r="G59"/>
      <c r="H59"/>
      <c r="I59"/>
      <c r="J59"/>
      <c r="K59"/>
      <c r="L59"/>
      <c r="M59"/>
      <c r="N59"/>
    </row>
    <row r="60" spans="1:14" hidden="1">
      <c r="A60"/>
      <c r="B60"/>
      <c r="C60"/>
      <c r="D60"/>
      <c r="E60"/>
      <c r="F60"/>
      <c r="G60"/>
      <c r="H60"/>
      <c r="I60"/>
      <c r="J60"/>
      <c r="K60"/>
      <c r="L60"/>
      <c r="M60"/>
      <c r="N60"/>
    </row>
    <row r="61" spans="1:14" hidden="1">
      <c r="A61"/>
      <c r="B61"/>
      <c r="C61"/>
      <c r="D61"/>
      <c r="E61"/>
      <c r="F61"/>
      <c r="G61"/>
      <c r="H61"/>
      <c r="I61"/>
      <c r="J61"/>
      <c r="K61"/>
      <c r="L61"/>
      <c r="M61"/>
      <c r="N61"/>
    </row>
    <row r="62" spans="1:14" hidden="1">
      <c r="A62"/>
      <c r="B62"/>
      <c r="C62"/>
      <c r="D62"/>
      <c r="E62"/>
      <c r="F62"/>
      <c r="G62"/>
      <c r="H62"/>
      <c r="I62"/>
      <c r="J62"/>
      <c r="K62"/>
      <c r="L62"/>
      <c r="M62"/>
      <c r="N62"/>
    </row>
    <row r="63" spans="1:14" hidden="1">
      <c r="A63"/>
      <c r="B63"/>
      <c r="C63"/>
      <c r="D63"/>
      <c r="E63"/>
      <c r="F63"/>
      <c r="G63"/>
      <c r="H63"/>
      <c r="I63"/>
      <c r="J63"/>
      <c r="K63"/>
      <c r="L63"/>
      <c r="M63"/>
      <c r="N63"/>
    </row>
    <row r="64" spans="1:14" hidden="1">
      <c r="A64"/>
      <c r="B64"/>
      <c r="C64"/>
      <c r="D64"/>
      <c r="E64"/>
      <c r="F64"/>
      <c r="G64"/>
      <c r="H64"/>
      <c r="I64"/>
      <c r="J64"/>
      <c r="K64"/>
      <c r="L64"/>
      <c r="M64"/>
      <c r="N64"/>
    </row>
    <row r="65" spans="1:14" hidden="1">
      <c r="A65"/>
      <c r="B65"/>
      <c r="C65"/>
      <c r="D65"/>
      <c r="E65"/>
      <c r="F65"/>
      <c r="G65"/>
      <c r="H65"/>
      <c r="I65"/>
      <c r="J65"/>
      <c r="K65"/>
      <c r="L65"/>
      <c r="M65"/>
      <c r="N65"/>
    </row>
    <row r="66" spans="1:14" hidden="1">
      <c r="A66"/>
      <c r="B66"/>
      <c r="C66"/>
      <c r="D66"/>
      <c r="E66"/>
      <c r="F66"/>
      <c r="G66"/>
      <c r="H66"/>
      <c r="I66"/>
      <c r="J66"/>
      <c r="K66"/>
      <c r="L66"/>
      <c r="M66"/>
      <c r="N66"/>
    </row>
    <row r="67" spans="1:14" hidden="1">
      <c r="A67"/>
      <c r="B67"/>
      <c r="C67"/>
      <c r="D67"/>
      <c r="E67"/>
      <c r="F67"/>
      <c r="G67"/>
      <c r="H67"/>
      <c r="I67"/>
      <c r="J67"/>
      <c r="K67"/>
      <c r="L67"/>
      <c r="M67"/>
      <c r="N67"/>
    </row>
    <row r="68" spans="1:14" hidden="1">
      <c r="A68"/>
      <c r="B68"/>
      <c r="C68"/>
      <c r="D68"/>
      <c r="E68"/>
      <c r="F68"/>
      <c r="G68"/>
      <c r="H68"/>
      <c r="I68"/>
      <c r="J68"/>
      <c r="K68"/>
      <c r="L68"/>
      <c r="M68"/>
      <c r="N68"/>
    </row>
    <row r="69" spans="1:14" hidden="1">
      <c r="A69"/>
      <c r="B69"/>
      <c r="C69"/>
      <c r="D69"/>
      <c r="E69"/>
      <c r="F69"/>
      <c r="G69"/>
      <c r="H69"/>
      <c r="I69"/>
      <c r="J69"/>
      <c r="K69"/>
      <c r="L69"/>
      <c r="M69"/>
      <c r="N69"/>
    </row>
    <row r="70" spans="1:14" hidden="1">
      <c r="A70"/>
      <c r="B70"/>
      <c r="C70"/>
      <c r="D70"/>
      <c r="E70"/>
      <c r="F70"/>
      <c r="G70"/>
      <c r="H70"/>
      <c r="I70"/>
      <c r="J70"/>
      <c r="K70"/>
      <c r="L70"/>
      <c r="M70"/>
      <c r="N70"/>
    </row>
    <row r="71" spans="1:14" hidden="1">
      <c r="A71"/>
      <c r="B71"/>
      <c r="C71"/>
      <c r="D71"/>
      <c r="E71"/>
      <c r="F71"/>
      <c r="G71"/>
      <c r="H71"/>
      <c r="I71"/>
      <c r="J71"/>
      <c r="K71"/>
      <c r="L71"/>
      <c r="M71"/>
      <c r="N71"/>
    </row>
    <row r="72" spans="1:14" hidden="1">
      <c r="A72"/>
      <c r="B72"/>
      <c r="C72"/>
      <c r="D72"/>
      <c r="E72"/>
      <c r="F72"/>
      <c r="G72"/>
      <c r="H72"/>
      <c r="I72"/>
      <c r="J72"/>
      <c r="K72"/>
      <c r="L72"/>
      <c r="M72"/>
      <c r="N72"/>
    </row>
    <row r="73" spans="1:14" hidden="1">
      <c r="A73"/>
      <c r="B73"/>
      <c r="C73"/>
      <c r="D73"/>
      <c r="E73"/>
      <c r="F73"/>
      <c r="G73"/>
      <c r="H73"/>
      <c r="I73"/>
      <c r="J73"/>
      <c r="K73"/>
      <c r="L73"/>
      <c r="M73"/>
      <c r="N73"/>
    </row>
    <row r="74" spans="1:14" hidden="1">
      <c r="A74"/>
      <c r="B74"/>
      <c r="C74"/>
      <c r="D74"/>
      <c r="E74"/>
      <c r="F74"/>
      <c r="G74"/>
      <c r="H74"/>
      <c r="I74"/>
      <c r="J74"/>
      <c r="K74"/>
      <c r="L74"/>
      <c r="M74"/>
      <c r="N74"/>
    </row>
    <row r="75" spans="1:14" hidden="1">
      <c r="A75"/>
      <c r="B75"/>
      <c r="C75"/>
      <c r="D75"/>
      <c r="E75"/>
      <c r="F75"/>
      <c r="G75"/>
      <c r="H75"/>
      <c r="I75"/>
      <c r="J75"/>
      <c r="K75"/>
      <c r="L75"/>
      <c r="M75"/>
      <c r="N75"/>
    </row>
    <row r="76" spans="1:14" hidden="1">
      <c r="A76"/>
      <c r="B76"/>
      <c r="C76"/>
      <c r="D76"/>
      <c r="E76"/>
      <c r="F76"/>
      <c r="G76"/>
      <c r="H76"/>
      <c r="I76"/>
      <c r="J76"/>
      <c r="K76"/>
      <c r="L76"/>
      <c r="M76"/>
      <c r="N76"/>
    </row>
    <row r="77" spans="1:14" hidden="1">
      <c r="A77"/>
      <c r="B77"/>
      <c r="C77"/>
      <c r="D77"/>
      <c r="E77"/>
      <c r="F77"/>
      <c r="G77"/>
      <c r="H77"/>
      <c r="I77"/>
      <c r="J77"/>
      <c r="K77"/>
      <c r="L77"/>
      <c r="M77"/>
      <c r="N77"/>
    </row>
    <row r="78" spans="1:14" hidden="1">
      <c r="A78"/>
      <c r="B78"/>
      <c r="C78"/>
      <c r="D78"/>
      <c r="E78"/>
      <c r="F78"/>
      <c r="G78"/>
      <c r="H78"/>
      <c r="I78"/>
      <c r="J78"/>
      <c r="K78"/>
      <c r="L78"/>
      <c r="M78"/>
      <c r="N78"/>
    </row>
    <row r="79" spans="1:14" hidden="1">
      <c r="A79"/>
      <c r="B79"/>
      <c r="C79"/>
      <c r="D79"/>
      <c r="E79"/>
      <c r="F79"/>
      <c r="G79"/>
      <c r="H79"/>
      <c r="I79"/>
      <c r="J79"/>
      <c r="K79"/>
      <c r="L79"/>
      <c r="M79"/>
      <c r="N79"/>
    </row>
    <row r="80" spans="1:14" hidden="1">
      <c r="A80"/>
      <c r="B80"/>
      <c r="C80"/>
      <c r="D80"/>
      <c r="E80"/>
      <c r="F80"/>
      <c r="G80"/>
      <c r="H80"/>
      <c r="I80"/>
      <c r="J80"/>
      <c r="K80"/>
      <c r="L80"/>
      <c r="M80"/>
      <c r="N80"/>
    </row>
    <row r="81" spans="1:14" hidden="1">
      <c r="A81"/>
      <c r="B81"/>
      <c r="C81"/>
      <c r="D81"/>
      <c r="E81"/>
      <c r="F81"/>
      <c r="G81"/>
      <c r="H81"/>
      <c r="I81"/>
      <c r="J81"/>
      <c r="K81"/>
      <c r="L81"/>
      <c r="M81"/>
      <c r="N81"/>
    </row>
    <row r="82" spans="1:14" hidden="1">
      <c r="A82"/>
      <c r="B82"/>
      <c r="C82"/>
      <c r="D82"/>
      <c r="E82"/>
      <c r="F82"/>
      <c r="G82"/>
      <c r="H82"/>
      <c r="I82"/>
      <c r="J82"/>
      <c r="K82"/>
      <c r="L82"/>
      <c r="M82"/>
      <c r="N82"/>
    </row>
    <row r="83" spans="1:14" hidden="1">
      <c r="A83"/>
      <c r="B83"/>
      <c r="C83"/>
      <c r="D83"/>
      <c r="E83"/>
      <c r="F83"/>
      <c r="G83"/>
      <c r="H83"/>
      <c r="I83"/>
      <c r="J83"/>
      <c r="K83"/>
      <c r="L83"/>
      <c r="M83"/>
      <c r="N83"/>
    </row>
    <row r="84" spans="1:14" hidden="1">
      <c r="A84"/>
      <c r="B84"/>
      <c r="C84"/>
      <c r="D84"/>
      <c r="E84"/>
      <c r="F84"/>
      <c r="G84"/>
      <c r="H84"/>
      <c r="I84"/>
      <c r="J84"/>
      <c r="K84"/>
      <c r="L84"/>
      <c r="M84"/>
      <c r="N84"/>
    </row>
    <row r="85" spans="1:14" hidden="1">
      <c r="A85"/>
      <c r="B85"/>
      <c r="C85"/>
      <c r="D85"/>
      <c r="E85"/>
      <c r="F85"/>
      <c r="G85"/>
      <c r="H85"/>
      <c r="I85"/>
      <c r="J85"/>
      <c r="K85"/>
      <c r="L85"/>
      <c r="M85"/>
      <c r="N85"/>
    </row>
    <row r="86" spans="1:14" hidden="1">
      <c r="A86"/>
      <c r="B86"/>
      <c r="C86"/>
      <c r="D86"/>
      <c r="E86"/>
      <c r="F86"/>
      <c r="G86"/>
      <c r="H86"/>
      <c r="I86"/>
      <c r="J86"/>
      <c r="K86"/>
      <c r="L86"/>
      <c r="M86"/>
      <c r="N86"/>
    </row>
    <row r="87" spans="1:14" hidden="1">
      <c r="A87"/>
      <c r="B87"/>
      <c r="C87"/>
      <c r="D87"/>
      <c r="E87"/>
      <c r="F87"/>
      <c r="G87"/>
      <c r="H87"/>
      <c r="I87"/>
      <c r="J87"/>
      <c r="K87"/>
      <c r="L87"/>
      <c r="M87"/>
      <c r="N87"/>
    </row>
    <row r="88" spans="1:14" hidden="1">
      <c r="A88"/>
      <c r="B88"/>
      <c r="C88"/>
      <c r="D88"/>
      <c r="E88"/>
      <c r="F88"/>
      <c r="G88"/>
      <c r="H88"/>
      <c r="I88"/>
      <c r="J88"/>
      <c r="K88"/>
      <c r="L88"/>
      <c r="M88"/>
      <c r="N88"/>
    </row>
    <row r="89" spans="1:14" hidden="1">
      <c r="A89"/>
      <c r="B89"/>
      <c r="C89"/>
      <c r="D89"/>
      <c r="E89"/>
      <c r="F89"/>
      <c r="G89"/>
      <c r="H89"/>
      <c r="I89"/>
      <c r="J89"/>
      <c r="K89"/>
      <c r="L89"/>
      <c r="M89"/>
      <c r="N89"/>
    </row>
    <row r="90" spans="1:14" hidden="1">
      <c r="A90"/>
      <c r="B90"/>
      <c r="C90"/>
      <c r="D90"/>
      <c r="E90"/>
      <c r="F90"/>
      <c r="G90"/>
      <c r="H90"/>
      <c r="I90"/>
      <c r="J90"/>
      <c r="K90"/>
      <c r="L90"/>
      <c r="M90"/>
      <c r="N90"/>
    </row>
    <row r="91" spans="1:14" hidden="1">
      <c r="A91"/>
      <c r="B91"/>
      <c r="C91"/>
      <c r="D91"/>
      <c r="E91"/>
      <c r="F91"/>
      <c r="G91"/>
      <c r="H91"/>
      <c r="I91"/>
      <c r="J91"/>
      <c r="K91"/>
      <c r="L91"/>
      <c r="M91"/>
      <c r="N91"/>
    </row>
    <row r="92" spans="1:14" hidden="1">
      <c r="A92"/>
      <c r="B92"/>
      <c r="C92"/>
      <c r="D92"/>
      <c r="E92"/>
      <c r="F92"/>
      <c r="G92"/>
      <c r="H92"/>
      <c r="I92"/>
      <c r="J92"/>
      <c r="K92"/>
      <c r="L92"/>
      <c r="M92"/>
      <c r="N92"/>
    </row>
    <row r="93" spans="1:14" hidden="1">
      <c r="A93"/>
      <c r="B93"/>
      <c r="C93"/>
      <c r="D93"/>
      <c r="E93"/>
      <c r="F93"/>
      <c r="G93"/>
      <c r="H93"/>
      <c r="I93"/>
      <c r="J93"/>
      <c r="K93"/>
      <c r="L93"/>
      <c r="M93"/>
      <c r="N93"/>
    </row>
    <row r="94" spans="1:14" hidden="1">
      <c r="A94"/>
      <c r="B94"/>
      <c r="C94"/>
      <c r="D94"/>
      <c r="E94"/>
      <c r="F94"/>
      <c r="G94"/>
      <c r="H94"/>
      <c r="I94"/>
      <c r="J94"/>
      <c r="K94"/>
      <c r="L94"/>
      <c r="M94"/>
      <c r="N94"/>
    </row>
    <row r="95" spans="1:14" hidden="1">
      <c r="A95"/>
      <c r="B95"/>
      <c r="C95"/>
      <c r="D95"/>
      <c r="E95"/>
      <c r="F95"/>
      <c r="G95"/>
      <c r="H95"/>
      <c r="I95"/>
      <c r="J95"/>
      <c r="K95"/>
      <c r="L95"/>
      <c r="M95"/>
      <c r="N95"/>
    </row>
    <row r="96" spans="1:14" hidden="1">
      <c r="A96" s="154"/>
      <c r="B96" s="154"/>
      <c r="C96" s="109" t="s">
        <v>162</v>
      </c>
      <c r="D96" s="154"/>
      <c r="E96" s="154"/>
      <c r="F96" s="154"/>
      <c r="G96" s="154"/>
      <c r="H96" s="154"/>
      <c r="I96" s="154"/>
      <c r="J96" s="154"/>
      <c r="K96" s="154"/>
      <c r="L96" s="154"/>
      <c r="M96" s="154"/>
      <c r="N96" s="154"/>
    </row>
    <row r="97" spans="1:14" hidden="1">
      <c r="A97" s="154"/>
      <c r="B97" s="154"/>
      <c r="C97" s="55" t="s">
        <v>163</v>
      </c>
      <c r="D97" s="154"/>
      <c r="E97" s="154"/>
      <c r="F97" s="154"/>
      <c r="G97" s="154"/>
      <c r="H97" s="154"/>
      <c r="I97" s="154"/>
      <c r="J97" s="154"/>
      <c r="K97" s="154"/>
      <c r="L97" s="154"/>
      <c r="M97" s="154"/>
      <c r="N97" s="154"/>
    </row>
    <row r="98" spans="1:14" hidden="1">
      <c r="A98" s="154"/>
      <c r="B98" s="154"/>
      <c r="C98" s="55" t="s">
        <v>164</v>
      </c>
      <c r="D98" s="154"/>
      <c r="E98" s="154"/>
      <c r="F98" s="154"/>
      <c r="G98" s="154"/>
      <c r="H98" s="154"/>
      <c r="I98" s="154"/>
      <c r="J98" s="154"/>
      <c r="K98" s="154"/>
      <c r="L98" s="154"/>
      <c r="M98" s="154"/>
      <c r="N98" s="154"/>
    </row>
    <row r="99" spans="1:14" hidden="1">
      <c r="A99" s="154"/>
      <c r="B99" s="154"/>
      <c r="C99" s="154"/>
      <c r="D99" s="154"/>
      <c r="E99" s="154"/>
      <c r="F99" s="154"/>
      <c r="G99" s="154"/>
      <c r="H99" s="154"/>
      <c r="I99" s="154"/>
      <c r="J99" s="154"/>
      <c r="K99" s="154"/>
      <c r="L99" s="154"/>
      <c r="M99" s="154"/>
      <c r="N99" s="154"/>
    </row>
    <row r="100" spans="1:14" ht="21" collapsed="1" thickBot="1">
      <c r="A100" s="151"/>
      <c r="B100" s="246"/>
      <c r="C100" s="247"/>
      <c r="D100" s="247"/>
      <c r="E100" s="247"/>
      <c r="F100" s="247"/>
      <c r="G100" s="247"/>
      <c r="H100" s="247"/>
      <c r="I100" s="247"/>
      <c r="J100" s="78"/>
      <c r="K100" s="153"/>
    </row>
    <row r="101" spans="1:14" ht="13.8" thickBot="1">
      <c r="A101" s="28"/>
      <c r="B101" s="78"/>
      <c r="C101" s="78"/>
      <c r="D101" s="78"/>
      <c r="E101" s="248" t="s">
        <v>97</v>
      </c>
      <c r="F101" s="249"/>
      <c r="G101" s="250"/>
      <c r="H101" s="168"/>
      <c r="I101" s="168"/>
      <c r="J101" s="78"/>
      <c r="K101" s="153"/>
    </row>
    <row r="102" spans="1:14" ht="16.2" thickBot="1">
      <c r="A102" s="28"/>
      <c r="B102" s="251" t="s">
        <v>59</v>
      </c>
      <c r="C102" s="252"/>
      <c r="D102" s="252"/>
      <c r="E102" s="252"/>
      <c r="F102" s="252"/>
      <c r="G102" s="252"/>
      <c r="H102" s="252"/>
      <c r="I102" s="35" t="s">
        <v>214</v>
      </c>
      <c r="J102" s="78"/>
      <c r="K102" s="153"/>
    </row>
    <row r="103" spans="1:14">
      <c r="A103" s="28">
        <v>1</v>
      </c>
      <c r="B103" s="253" t="s">
        <v>8</v>
      </c>
      <c r="C103" s="254"/>
      <c r="D103" s="254"/>
      <c r="E103" s="254"/>
      <c r="F103" s="254"/>
      <c r="G103" s="254"/>
      <c r="H103" s="162"/>
      <c r="I103" s="255" t="str">
        <f>E224</f>
        <v>Open</v>
      </c>
      <c r="J103" s="78"/>
      <c r="K103" s="153">
        <f>SUBTOTAL(109,$A$103:A103)</f>
        <v>1</v>
      </c>
    </row>
    <row r="104" spans="1:14" ht="15.6">
      <c r="A104" s="28"/>
      <c r="B104" s="81" t="s">
        <v>9</v>
      </c>
      <c r="C104" s="163"/>
      <c r="D104" s="163"/>
      <c r="E104" s="163"/>
      <c r="F104" s="163"/>
      <c r="G104" s="163"/>
      <c r="H104" s="186" t="s">
        <v>236</v>
      </c>
      <c r="I104" s="256"/>
      <c r="J104" s="78"/>
      <c r="K104" s="153"/>
    </row>
    <row r="105" spans="1:14">
      <c r="A105" s="28"/>
      <c r="B105" s="50" t="s">
        <v>237</v>
      </c>
      <c r="C105" s="257" t="s">
        <v>211</v>
      </c>
      <c r="D105" s="257"/>
      <c r="E105" s="257"/>
      <c r="F105" s="257"/>
      <c r="G105" s="257"/>
      <c r="H105" s="257"/>
      <c r="I105" s="258"/>
      <c r="J105" s="78"/>
      <c r="K105" s="153"/>
    </row>
    <row r="106" spans="1:14" ht="15" customHeight="1">
      <c r="A106" s="28"/>
      <c r="B106" s="271" t="s">
        <v>184</v>
      </c>
      <c r="C106" s="272"/>
      <c r="D106" s="272"/>
      <c r="E106" s="273"/>
      <c r="F106" s="195" t="s">
        <v>185</v>
      </c>
      <c r="G106" s="272"/>
      <c r="H106" s="273"/>
      <c r="I106" s="26" t="s">
        <v>173</v>
      </c>
      <c r="J106" s="78"/>
      <c r="K106" s="153"/>
    </row>
    <row r="107" spans="1:14">
      <c r="A107" s="28"/>
      <c r="B107" s="274" t="s">
        <v>195</v>
      </c>
      <c r="C107" s="275"/>
      <c r="D107" s="275"/>
      <c r="E107" s="276"/>
      <c r="F107" s="277" t="s">
        <v>204</v>
      </c>
      <c r="G107" s="278"/>
      <c r="H107" s="279"/>
      <c r="I107" s="27">
        <v>41450.639079976849</v>
      </c>
      <c r="J107" s="78"/>
      <c r="K107" s="153"/>
    </row>
    <row r="108" spans="1:14">
      <c r="A108" s="28"/>
      <c r="B108" s="271" t="s">
        <v>58</v>
      </c>
      <c r="C108" s="280"/>
      <c r="D108" s="280"/>
      <c r="E108" s="280"/>
      <c r="F108" s="280"/>
      <c r="G108" s="281"/>
      <c r="H108" s="179" t="s">
        <v>158</v>
      </c>
      <c r="I108" s="178" t="s">
        <v>174</v>
      </c>
      <c r="J108" s="78"/>
      <c r="K108" s="153"/>
    </row>
    <row r="109" spans="1:14">
      <c r="A109" s="28"/>
      <c r="B109" s="282" t="s">
        <v>198</v>
      </c>
      <c r="C109" s="283"/>
      <c r="D109" s="283"/>
      <c r="E109" s="283"/>
      <c r="F109" s="283"/>
      <c r="G109" s="284"/>
      <c r="H109" s="185">
        <v>30</v>
      </c>
      <c r="I109" s="182" t="s">
        <v>212</v>
      </c>
      <c r="J109" s="78"/>
      <c r="K109" s="153"/>
    </row>
    <row r="110" spans="1:14" ht="12.75" customHeight="1">
      <c r="A110" s="28"/>
      <c r="B110" s="259" t="s">
        <v>160</v>
      </c>
      <c r="C110" s="260"/>
      <c r="D110" s="260"/>
      <c r="E110" s="261" t="s">
        <v>176</v>
      </c>
      <c r="F110" s="262"/>
      <c r="G110" s="262"/>
      <c r="H110" s="179" t="s">
        <v>159</v>
      </c>
      <c r="I110" s="181" t="s">
        <v>175</v>
      </c>
      <c r="J110" s="78"/>
      <c r="K110" s="153"/>
    </row>
    <row r="111" spans="1:14" ht="12.75" customHeight="1" thickBot="1">
      <c r="A111" s="28"/>
      <c r="B111" s="263" t="s">
        <v>199</v>
      </c>
      <c r="C111" s="264"/>
      <c r="D111" s="264"/>
      <c r="E111" s="265"/>
      <c r="F111" s="266"/>
      <c r="G111" s="266"/>
      <c r="H111" s="185">
        <v>90</v>
      </c>
      <c r="I111" s="180" t="s">
        <v>212</v>
      </c>
      <c r="J111" s="78"/>
      <c r="K111" s="153"/>
    </row>
    <row r="112" spans="1:14" s="1" customFormat="1" ht="14.4" thickBot="1">
      <c r="A112" s="152"/>
      <c r="B112" s="164"/>
      <c r="C112" s="6"/>
      <c r="D112" s="6"/>
      <c r="E112" s="6"/>
      <c r="F112" s="6"/>
      <c r="G112" s="6"/>
      <c r="H112" s="6"/>
      <c r="I112" s="6"/>
      <c r="J112" s="165"/>
      <c r="K112" s="153"/>
      <c r="L112" s="155"/>
      <c r="M112" s="155"/>
      <c r="N112" s="155"/>
    </row>
    <row r="113" spans="1:11" ht="15.6">
      <c r="A113" s="28">
        <v>1</v>
      </c>
      <c r="B113" s="253" t="s">
        <v>148</v>
      </c>
      <c r="C113" s="267"/>
      <c r="D113" s="267"/>
      <c r="E113" s="267"/>
      <c r="F113" s="267"/>
      <c r="G113" s="267"/>
      <c r="H113" s="267"/>
      <c r="I113" s="268"/>
      <c r="J113" s="78"/>
      <c r="K113" s="153">
        <f>SUBTOTAL(109,$A$103:A113)</f>
        <v>2</v>
      </c>
    </row>
    <row r="114" spans="1:11" ht="15.6">
      <c r="A114" s="28"/>
      <c r="B114" s="81" t="s">
        <v>149</v>
      </c>
      <c r="C114" s="82"/>
      <c r="D114" s="82"/>
      <c r="E114" s="82"/>
      <c r="F114" s="82"/>
      <c r="G114" s="82"/>
      <c r="H114" s="82"/>
      <c r="I114" s="80"/>
      <c r="J114" s="78"/>
      <c r="K114" s="153"/>
    </row>
    <row r="115" spans="1:11" ht="13.5" customHeight="1">
      <c r="A115" s="28"/>
      <c r="B115" s="56" t="s">
        <v>108</v>
      </c>
      <c r="C115" s="269" t="s">
        <v>199</v>
      </c>
      <c r="D115" s="270"/>
      <c r="E115" s="270"/>
      <c r="F115" s="270"/>
      <c r="G115" s="270"/>
      <c r="H115" s="270"/>
      <c r="I115" s="157" t="s">
        <v>238</v>
      </c>
      <c r="J115" s="78"/>
      <c r="K115" s="153"/>
    </row>
    <row r="116" spans="1:11" ht="12.75" customHeight="1">
      <c r="A116" s="28"/>
      <c r="B116" s="303" t="s">
        <v>117</v>
      </c>
      <c r="C116" s="270"/>
      <c r="D116" s="270"/>
      <c r="E116" s="270"/>
      <c r="F116" s="270"/>
      <c r="G116" s="270"/>
      <c r="H116" s="270"/>
      <c r="I116" s="156"/>
      <c r="J116" s="78"/>
      <c r="K116" s="153"/>
    </row>
    <row r="117" spans="1:11" ht="12.75" customHeight="1" thickBot="1">
      <c r="A117" s="28"/>
      <c r="B117" s="304" t="s">
        <v>22</v>
      </c>
      <c r="C117" s="305"/>
      <c r="D117" s="306"/>
      <c r="E117" s="305"/>
      <c r="F117" s="305"/>
      <c r="G117" s="306"/>
      <c r="H117" s="305"/>
      <c r="I117" s="307"/>
      <c r="J117" s="78"/>
      <c r="K117" s="153"/>
    </row>
    <row r="118" spans="1:11" ht="13.8" thickBot="1">
      <c r="A118" s="28"/>
      <c r="B118" s="158" t="s">
        <v>66</v>
      </c>
      <c r="C118" s="87" t="s">
        <v>21</v>
      </c>
      <c r="D118" s="57"/>
      <c r="E118" s="100"/>
      <c r="F118" s="87"/>
      <c r="G118" s="169"/>
      <c r="H118" s="100"/>
      <c r="I118" s="87"/>
      <c r="J118" s="78"/>
      <c r="K118" s="153"/>
    </row>
    <row r="119" spans="1:11">
      <c r="A119" s="28"/>
      <c r="B119" s="60" t="s">
        <v>239</v>
      </c>
      <c r="C119" s="61"/>
      <c r="D119" s="11"/>
      <c r="E119" s="62"/>
      <c r="F119" s="63"/>
      <c r="G119" s="12"/>
      <c r="H119" s="63"/>
      <c r="I119" s="64"/>
      <c r="J119" s="78"/>
      <c r="K119" s="153"/>
    </row>
    <row r="120" spans="1:11" ht="92.25" customHeight="1">
      <c r="A120" s="28"/>
      <c r="B120" s="308" t="s">
        <v>240</v>
      </c>
      <c r="C120" s="309"/>
      <c r="D120" s="309"/>
      <c r="E120" s="309"/>
      <c r="F120" s="309"/>
      <c r="G120" s="309"/>
      <c r="H120" s="309"/>
      <c r="I120" s="310"/>
      <c r="J120" s="78"/>
      <c r="K120" s="153"/>
    </row>
    <row r="121" spans="1:11" hidden="1">
      <c r="A121" s="28"/>
      <c r="B121" s="10" t="s">
        <v>241</v>
      </c>
      <c r="C121" s="11"/>
      <c r="D121" s="11"/>
      <c r="E121" s="12"/>
      <c r="F121" s="13"/>
      <c r="G121" s="12"/>
      <c r="H121" s="13"/>
      <c r="I121" s="14"/>
      <c r="J121" s="78"/>
      <c r="K121" s="153"/>
    </row>
    <row r="122" spans="1:11" ht="10.5" hidden="1" customHeight="1">
      <c r="A122" s="28"/>
      <c r="B122" s="311" t="s">
        <v>59</v>
      </c>
      <c r="C122" s="312"/>
      <c r="D122" s="312"/>
      <c r="E122" s="312"/>
      <c r="F122" s="312"/>
      <c r="G122" s="312"/>
      <c r="H122" s="312"/>
      <c r="I122" s="313"/>
      <c r="J122" s="78"/>
      <c r="K122" s="153"/>
    </row>
    <row r="123" spans="1:11" hidden="1">
      <c r="A123" s="28"/>
      <c r="B123" s="10" t="s">
        <v>242</v>
      </c>
      <c r="C123" s="11"/>
      <c r="D123" s="11"/>
      <c r="E123" s="12"/>
      <c r="F123" s="13"/>
      <c r="G123" s="12"/>
      <c r="H123" s="13"/>
      <c r="I123" s="14"/>
      <c r="J123" s="78"/>
      <c r="K123" s="153"/>
    </row>
    <row r="124" spans="1:11" ht="11.25" hidden="1" customHeight="1">
      <c r="A124" s="28"/>
      <c r="B124" s="314" t="s">
        <v>59</v>
      </c>
      <c r="C124" s="315"/>
      <c r="D124" s="315"/>
      <c r="E124" s="315"/>
      <c r="F124" s="315"/>
      <c r="G124" s="315"/>
      <c r="H124" s="315"/>
      <c r="I124" s="316"/>
      <c r="J124" s="78"/>
      <c r="K124" s="153"/>
    </row>
    <row r="125" spans="1:11" ht="12.75" customHeight="1">
      <c r="A125" s="28"/>
      <c r="B125" s="291" t="s">
        <v>140</v>
      </c>
      <c r="C125" s="292"/>
      <c r="D125" s="292"/>
      <c r="E125" s="292"/>
      <c r="F125" s="292"/>
      <c r="G125" s="292"/>
      <c r="H125" s="292"/>
      <c r="I125" s="293"/>
      <c r="J125" s="78"/>
      <c r="K125" s="153"/>
    </row>
    <row r="126" spans="1:11" ht="73.5" customHeight="1">
      <c r="A126" s="28"/>
      <c r="B126" s="285" t="s">
        <v>249</v>
      </c>
      <c r="C126" s="286"/>
      <c r="D126" s="286"/>
      <c r="E126" s="286"/>
      <c r="F126" s="286"/>
      <c r="G126" s="286"/>
      <c r="H126" s="286"/>
      <c r="I126" s="287"/>
      <c r="J126" s="78"/>
      <c r="K126" s="153"/>
    </row>
    <row r="127" spans="1:11" ht="8.25" hidden="1" customHeight="1">
      <c r="A127" s="28"/>
      <c r="B127" s="288"/>
      <c r="C127" s="289"/>
      <c r="D127" s="289"/>
      <c r="E127" s="289"/>
      <c r="F127" s="289"/>
      <c r="G127" s="289"/>
      <c r="H127" s="289"/>
      <c r="I127" s="290"/>
      <c r="J127" s="78"/>
      <c r="K127" s="153"/>
    </row>
    <row r="128" spans="1:11" ht="12.75" customHeight="1">
      <c r="A128" s="28"/>
      <c r="B128" s="291" t="s">
        <v>150</v>
      </c>
      <c r="C128" s="292"/>
      <c r="D128" s="292"/>
      <c r="E128" s="292"/>
      <c r="F128" s="292"/>
      <c r="G128" s="292"/>
      <c r="H128" s="292"/>
      <c r="I128" s="293"/>
      <c r="J128" s="78"/>
      <c r="K128" s="153"/>
    </row>
    <row r="129" spans="1:11" ht="46.5" customHeight="1" thickBot="1">
      <c r="A129" s="28"/>
      <c r="B129" s="294" t="s">
        <v>248</v>
      </c>
      <c r="C129" s="295"/>
      <c r="D129" s="295"/>
      <c r="E129" s="295"/>
      <c r="F129" s="295"/>
      <c r="G129" s="295"/>
      <c r="H129" s="295"/>
      <c r="I129" s="296"/>
      <c r="J129" s="78"/>
      <c r="K129" s="153"/>
    </row>
    <row r="130" spans="1:11" ht="9.75" customHeight="1" thickBot="1">
      <c r="A130" s="28"/>
      <c r="B130" s="7"/>
      <c r="C130" s="7"/>
      <c r="D130" s="7"/>
      <c r="E130" s="7"/>
      <c r="F130" s="7"/>
      <c r="G130" s="7"/>
      <c r="H130" s="7"/>
      <c r="I130" s="7"/>
      <c r="J130" s="78"/>
      <c r="K130" s="153"/>
    </row>
    <row r="131" spans="1:11" ht="15.6">
      <c r="A131" s="28">
        <v>1</v>
      </c>
      <c r="B131" s="297" t="s">
        <v>243</v>
      </c>
      <c r="C131" s="298"/>
      <c r="D131" s="298"/>
      <c r="E131" s="298"/>
      <c r="F131" s="298"/>
      <c r="G131" s="298"/>
      <c r="H131" s="298"/>
      <c r="I131" s="299"/>
      <c r="J131" s="78"/>
      <c r="K131" s="153">
        <f>SUBTOTAL(109,$A$103:A131)</f>
        <v>3</v>
      </c>
    </row>
    <row r="132" spans="1:11" ht="15.75" customHeight="1">
      <c r="A132" s="28"/>
      <c r="B132" s="300" t="s">
        <v>84</v>
      </c>
      <c r="C132" s="301"/>
      <c r="D132" s="301"/>
      <c r="E132" s="301"/>
      <c r="F132" s="301"/>
      <c r="G132" s="301"/>
      <c r="H132" s="301"/>
      <c r="I132" s="302"/>
      <c r="J132" s="78"/>
      <c r="K132" s="153"/>
    </row>
    <row r="133" spans="1:11" ht="12.75" hidden="1" customHeight="1">
      <c r="A133" s="28"/>
      <c r="B133" s="336" t="s">
        <v>244</v>
      </c>
      <c r="C133" s="337"/>
      <c r="D133" s="337"/>
      <c r="E133" s="337"/>
      <c r="F133" s="337"/>
      <c r="G133" s="337"/>
      <c r="H133" s="337"/>
      <c r="I133" s="338"/>
      <c r="J133" s="78"/>
      <c r="K133" s="153"/>
    </row>
    <row r="134" spans="1:11" ht="90.75" hidden="1" customHeight="1">
      <c r="A134" s="28"/>
      <c r="B134" s="339"/>
      <c r="C134" s="340"/>
      <c r="D134" s="340"/>
      <c r="E134" s="340"/>
      <c r="F134" s="340"/>
      <c r="G134" s="340"/>
      <c r="H134" s="340"/>
      <c r="I134" s="341"/>
      <c r="J134" s="78"/>
      <c r="K134" s="153"/>
    </row>
    <row r="135" spans="1:11" ht="12.75" hidden="1" customHeight="1">
      <c r="A135" s="28"/>
      <c r="B135" s="336" t="s">
        <v>245</v>
      </c>
      <c r="C135" s="342"/>
      <c r="D135" s="342"/>
      <c r="E135" s="342"/>
      <c r="F135" s="342"/>
      <c r="G135" s="342"/>
      <c r="H135" s="342"/>
      <c r="I135" s="343"/>
      <c r="J135" s="78"/>
      <c r="K135" s="153"/>
    </row>
    <row r="136" spans="1:11" ht="90.75" hidden="1" customHeight="1">
      <c r="A136" s="28"/>
      <c r="B136" s="344"/>
      <c r="C136" s="345"/>
      <c r="D136" s="345"/>
      <c r="E136" s="345"/>
      <c r="F136" s="345"/>
      <c r="G136" s="345"/>
      <c r="H136" s="345"/>
      <c r="I136" s="346"/>
      <c r="J136" s="78"/>
      <c r="K136" s="153"/>
    </row>
    <row r="137" spans="1:11" ht="12.75" customHeight="1">
      <c r="A137" s="28"/>
      <c r="B137" s="336" t="s">
        <v>246</v>
      </c>
      <c r="C137" s="342"/>
      <c r="D137" s="342"/>
      <c r="E137" s="342"/>
      <c r="F137" s="342"/>
      <c r="G137" s="342"/>
      <c r="H137" s="342"/>
      <c r="I137" s="343"/>
      <c r="J137" s="78"/>
      <c r="K137" s="153"/>
    </row>
    <row r="138" spans="1:11" ht="90.75" customHeight="1">
      <c r="A138" s="28"/>
      <c r="B138" s="344"/>
      <c r="C138" s="345"/>
      <c r="D138" s="345"/>
      <c r="E138" s="345"/>
      <c r="F138" s="345"/>
      <c r="G138" s="345"/>
      <c r="H138" s="345"/>
      <c r="I138" s="346"/>
      <c r="J138" s="78"/>
      <c r="K138" s="153"/>
    </row>
    <row r="139" spans="1:11">
      <c r="A139" s="28"/>
      <c r="B139" s="317" t="s">
        <v>156</v>
      </c>
      <c r="C139" s="318"/>
      <c r="D139" s="318"/>
      <c r="E139" s="318"/>
      <c r="F139" s="318"/>
      <c r="G139" s="318"/>
      <c r="H139" s="318"/>
      <c r="I139" s="319"/>
      <c r="J139" s="78"/>
      <c r="K139" s="153"/>
    </row>
    <row r="140" spans="1:11">
      <c r="A140" s="28"/>
      <c r="B140" s="320" t="s">
        <v>13</v>
      </c>
      <c r="C140" s="321"/>
      <c r="D140" s="321"/>
      <c r="E140" s="321"/>
      <c r="F140" s="321"/>
      <c r="G140" s="321"/>
      <c r="H140" s="322"/>
      <c r="I140" s="59" t="s">
        <v>32</v>
      </c>
      <c r="J140" s="78"/>
      <c r="K140" s="153"/>
    </row>
    <row r="141" spans="1:11" ht="13.8" thickBot="1">
      <c r="A141" s="28"/>
      <c r="B141" s="323" t="s">
        <v>141</v>
      </c>
      <c r="C141" s="324"/>
      <c r="D141" s="324"/>
      <c r="E141" s="324"/>
      <c r="F141" s="324"/>
      <c r="G141" s="325"/>
      <c r="H141" s="326"/>
      <c r="I141" s="160"/>
      <c r="J141" s="78"/>
      <c r="K141" s="153"/>
    </row>
    <row r="142" spans="1:11" ht="12" customHeight="1" thickBot="1">
      <c r="A142" s="28"/>
      <c r="B142" s="9"/>
      <c r="C142" s="9"/>
      <c r="D142" s="9"/>
      <c r="E142" s="9"/>
      <c r="F142" s="9"/>
      <c r="G142" s="9"/>
      <c r="H142" s="9"/>
      <c r="I142" s="9"/>
      <c r="J142" s="78"/>
      <c r="K142" s="153"/>
    </row>
    <row r="143" spans="1:11" outlineLevel="1">
      <c r="A143" s="28">
        <v>1</v>
      </c>
      <c r="B143" s="327" t="str">
        <f>IF($H$2,"Part "&amp;K143&amp;": Evaluation of Response","Part "&amp;K143&amp;": Evaluation of Response to Correction Action Request (Part "&amp;K143-1&amp;")")</f>
        <v>Part 4: Evaluation of Response</v>
      </c>
      <c r="C143" s="328"/>
      <c r="D143" s="328"/>
      <c r="E143" s="328"/>
      <c r="F143" s="328"/>
      <c r="G143" s="328"/>
      <c r="H143" s="328"/>
      <c r="I143" s="329"/>
      <c r="J143" s="78"/>
      <c r="K143" s="153">
        <f>SUBTOTAL(109,$A$103:A143)</f>
        <v>4</v>
      </c>
    </row>
    <row r="144" spans="1:11" outlineLevel="1">
      <c r="A144" s="28"/>
      <c r="B144" s="330" t="s">
        <v>47</v>
      </c>
      <c r="C144" s="331"/>
      <c r="D144" s="331"/>
      <c r="E144" s="331"/>
      <c r="F144" s="331"/>
      <c r="G144" s="331"/>
      <c r="H144" s="331"/>
      <c r="I144" s="332"/>
      <c r="J144" s="78"/>
      <c r="K144" s="153"/>
    </row>
    <row r="145" spans="1:11" ht="12.75" customHeight="1" outlineLevel="1">
      <c r="A145" s="28"/>
      <c r="B145" s="333" t="str">
        <f>K143&amp;".1. The responses provided in section "&amp;K143-1&amp;" are:"</f>
        <v>4.1. The responses provided in section 3 are:</v>
      </c>
      <c r="C145" s="334"/>
      <c r="D145" s="334"/>
      <c r="E145" s="334"/>
      <c r="F145" s="334"/>
      <c r="G145" s="334"/>
      <c r="H145" s="334"/>
      <c r="I145" s="335"/>
      <c r="J145" s="78"/>
      <c r="K145" s="153"/>
    </row>
    <row r="146" spans="1:11" ht="12.75" customHeight="1" outlineLevel="1">
      <c r="A146" s="28"/>
      <c r="B146" s="191"/>
      <c r="C146" s="173" t="str">
        <f>IF($H$2,"","Causes of Non-Conformity")</f>
        <v/>
      </c>
      <c r="D146" s="347"/>
      <c r="E146" s="347"/>
      <c r="F146" s="347"/>
      <c r="G146" s="347"/>
      <c r="H146" s="192"/>
      <c r="I146" s="193"/>
      <c r="J146" s="78"/>
      <c r="K146" s="153"/>
    </row>
    <row r="147" spans="1:11" outlineLevel="1">
      <c r="A147" s="28"/>
      <c r="B147" s="191"/>
      <c r="C147" s="183" t="s">
        <v>48</v>
      </c>
      <c r="D147" s="347"/>
      <c r="E147" s="347"/>
      <c r="F147" s="347"/>
      <c r="G147" s="347"/>
      <c r="H147" s="170"/>
      <c r="I147" s="193"/>
      <c r="J147" s="78"/>
      <c r="K147" s="153"/>
    </row>
    <row r="148" spans="1:11" ht="12" customHeight="1" outlineLevel="1">
      <c r="A148" s="28"/>
      <c r="B148" s="191"/>
      <c r="C148" s="183" t="s">
        <v>49</v>
      </c>
      <c r="D148" s="347"/>
      <c r="E148" s="347"/>
      <c r="F148" s="347"/>
      <c r="G148" s="347"/>
      <c r="H148" s="170"/>
      <c r="I148" s="52" t="str">
        <f>K143&amp;".2. Due Date: "</f>
        <v xml:space="preserve">4.2. Due Date: </v>
      </c>
      <c r="J148" s="78"/>
      <c r="K148" s="153"/>
    </row>
    <row r="149" spans="1:11" ht="15" customHeight="1" outlineLevel="1">
      <c r="A149" s="28"/>
      <c r="B149" s="171"/>
      <c r="C149" s="115" t="str">
        <f>"Note: CAB shall respond to all 'Unacceptable' and 'Incomplete' responses by due date in "&amp;K143&amp;".2."</f>
        <v>Note: CAB shall respond to all 'Unacceptable' and 'Incomplete' responses by due date in 4.2.</v>
      </c>
      <c r="D149" s="94"/>
      <c r="E149" s="95"/>
      <c r="F149" s="95"/>
      <c r="G149" s="95"/>
      <c r="H149" s="96"/>
      <c r="I149" s="161"/>
      <c r="J149" s="78"/>
      <c r="K149" s="153"/>
    </row>
    <row r="150" spans="1:11" ht="15" customHeight="1" outlineLevel="1">
      <c r="A150" s="28"/>
      <c r="B150" s="194" t="str">
        <f>K143&amp;".3. Justification for all responses shall be provided here:"</f>
        <v>4.3. Justification for all responses shall be provided here:</v>
      </c>
      <c r="C150" s="97"/>
      <c r="D150" s="97"/>
      <c r="E150" s="97"/>
      <c r="F150" s="97"/>
      <c r="G150" s="97"/>
      <c r="H150" s="97"/>
      <c r="I150" s="98"/>
      <c r="J150" s="78"/>
      <c r="K150" s="153"/>
    </row>
    <row r="151" spans="1:11" ht="99.9" customHeight="1" outlineLevel="1">
      <c r="A151" s="28"/>
      <c r="B151" s="348"/>
      <c r="C151" s="349"/>
      <c r="D151" s="349"/>
      <c r="E151" s="349"/>
      <c r="F151" s="349"/>
      <c r="G151" s="349"/>
      <c r="H151" s="349"/>
      <c r="I151" s="350"/>
      <c r="J151" s="78"/>
      <c r="K151" s="153"/>
    </row>
    <row r="152" spans="1:11" ht="13.5" customHeight="1" outlineLevel="1">
      <c r="A152" s="28"/>
      <c r="B152" s="351" t="str">
        <f>K143&amp;".4. Reviewed by: "</f>
        <v xml:space="preserve">4.4. Reviewed by: </v>
      </c>
      <c r="C152" s="321"/>
      <c r="D152" s="321"/>
      <c r="E152" s="321"/>
      <c r="F152" s="321"/>
      <c r="G152" s="321"/>
      <c r="H152" s="322"/>
      <c r="I152" s="52" t="str">
        <f>K143&amp;".5. Date: "</f>
        <v xml:space="preserve">4.5. Date: </v>
      </c>
      <c r="J152" s="78"/>
      <c r="K152" s="153"/>
    </row>
    <row r="153" spans="1:11" ht="13.8" outlineLevel="1" thickBot="1">
      <c r="A153" s="28"/>
      <c r="B153" s="352" t="s">
        <v>0</v>
      </c>
      <c r="C153" s="353"/>
      <c r="D153" s="353"/>
      <c r="E153" s="353"/>
      <c r="F153" s="353"/>
      <c r="G153" s="353"/>
      <c r="H153" s="354"/>
      <c r="I153" s="160"/>
      <c r="J153" s="78"/>
      <c r="K153" s="153"/>
    </row>
    <row r="154" spans="1:11" ht="12" customHeight="1" collapsed="1">
      <c r="A154" s="28"/>
      <c r="B154" s="9"/>
      <c r="C154" s="9"/>
      <c r="D154" s="9"/>
      <c r="E154" s="9"/>
      <c r="F154" s="9"/>
      <c r="G154" s="9"/>
      <c r="H154" s="9"/>
      <c r="I154" s="9"/>
      <c r="J154" s="78"/>
      <c r="K154" s="153"/>
    </row>
    <row r="155" spans="1:11" ht="15.6" hidden="1" outlineLevel="1">
      <c r="A155" s="28">
        <v>1</v>
      </c>
      <c r="B155" s="297" t="str">
        <f>IF($H$2,"Part "&amp;K155&amp;": As this is an OFI, entries below this line are not required, but may be provided.","Part "&amp;K155&amp;": Causes of Nonconformity, Corrections &amp; Proposed Corrective Actions")</f>
        <v>Part 4: As this is an OFI, entries below this line are not required, but may be provided.</v>
      </c>
      <c r="C155" s="298"/>
      <c r="D155" s="298"/>
      <c r="E155" s="298"/>
      <c r="F155" s="298"/>
      <c r="G155" s="298"/>
      <c r="H155" s="298"/>
      <c r="I155" s="299"/>
      <c r="J155" s="78"/>
      <c r="K155" s="153">
        <f>SUBTOTAL(109,$A$103:A155)</f>
        <v>4</v>
      </c>
    </row>
    <row r="156" spans="1:11" ht="15.6" hidden="1" outlineLevel="1">
      <c r="A156" s="28"/>
      <c r="B156" s="300" t="s">
        <v>84</v>
      </c>
      <c r="C156" s="301"/>
      <c r="D156" s="301"/>
      <c r="E156" s="301"/>
      <c r="F156" s="301"/>
      <c r="G156" s="301"/>
      <c r="H156" s="301"/>
      <c r="I156" s="302"/>
      <c r="J156" s="78"/>
      <c r="K156" s="153"/>
    </row>
    <row r="157" spans="1:11" ht="12.75" hidden="1" customHeight="1" outlineLevel="1">
      <c r="A157" s="28"/>
      <c r="B157" s="336" t="str">
        <f>IF($H$2,K155&amp;".1 Why did this occur?",K155&amp;".1. Causes of Nonconformity (why did this non-conformity occur, the root cause analysis)")</f>
        <v>4.1 Why did this occur?</v>
      </c>
      <c r="C157" s="337"/>
      <c r="D157" s="337"/>
      <c r="E157" s="337"/>
      <c r="F157" s="337"/>
      <c r="G157" s="337"/>
      <c r="H157" s="337"/>
      <c r="I157" s="338"/>
      <c r="J157" s="78"/>
      <c r="K157" s="153"/>
    </row>
    <row r="158" spans="1:11" ht="90.75" hidden="1" customHeight="1" outlineLevel="1">
      <c r="A158" s="28"/>
      <c r="B158" s="339"/>
      <c r="C158" s="340"/>
      <c r="D158" s="340"/>
      <c r="E158" s="340"/>
      <c r="F158" s="340"/>
      <c r="G158" s="340"/>
      <c r="H158" s="340"/>
      <c r="I158" s="341"/>
      <c r="J158" s="78"/>
      <c r="K158" s="153"/>
    </row>
    <row r="159" spans="1:11" ht="12.75" hidden="1" customHeight="1" outlineLevel="1">
      <c r="A159" s="28"/>
      <c r="B159" s="336" t="str">
        <f>IF($H$2,K155&amp;".2 Corrections (changes that were implemented to solve the specific issue found)",K155&amp;".2. Corrections (changes that were implemented to solve the specific non-conformity found, e.g. the files or records that were corrected)")</f>
        <v>4.2 Corrections (changes that were implemented to solve the specific issue found)</v>
      </c>
      <c r="C159" s="342"/>
      <c r="D159" s="342"/>
      <c r="E159" s="342"/>
      <c r="F159" s="342"/>
      <c r="G159" s="342"/>
      <c r="H159" s="342"/>
      <c r="I159" s="343"/>
      <c r="J159" s="78"/>
      <c r="K159" s="153"/>
    </row>
    <row r="160" spans="1:11" ht="90.75" hidden="1" customHeight="1" outlineLevel="1">
      <c r="A160" s="28"/>
      <c r="B160" s="344"/>
      <c r="C160" s="345"/>
      <c r="D160" s="345"/>
      <c r="E160" s="345"/>
      <c r="F160" s="345"/>
      <c r="G160" s="345"/>
      <c r="H160" s="345"/>
      <c r="I160" s="346"/>
      <c r="J160" s="78"/>
      <c r="K160" s="153"/>
    </row>
    <row r="161" spans="1:11" ht="12.75" hidden="1" customHeight="1" outlineLevel="1">
      <c r="A161" s="28"/>
      <c r="B161" s="336"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4.3. Proposed Preventative Actions (what long term changes are proposed to ensure that this issue does not become a non-conformity)</v>
      </c>
      <c r="C161" s="342"/>
      <c r="D161" s="342"/>
      <c r="E161" s="342"/>
      <c r="F161" s="342"/>
      <c r="G161" s="342"/>
      <c r="H161" s="342"/>
      <c r="I161" s="343"/>
      <c r="J161" s="78"/>
      <c r="K161" s="153"/>
    </row>
    <row r="162" spans="1:11" ht="90.75" hidden="1" customHeight="1" outlineLevel="1">
      <c r="A162" s="28"/>
      <c r="B162" s="344"/>
      <c r="C162" s="345"/>
      <c r="D162" s="345"/>
      <c r="E162" s="345"/>
      <c r="F162" s="345"/>
      <c r="G162" s="345"/>
      <c r="H162" s="345"/>
      <c r="I162" s="346"/>
      <c r="J162" s="78"/>
      <c r="K162" s="153"/>
    </row>
    <row r="163" spans="1:11" ht="12.75" hidden="1" customHeight="1" outlineLevel="1">
      <c r="A163" s="28"/>
      <c r="B163" s="317" t="s">
        <v>85</v>
      </c>
      <c r="C163" s="318"/>
      <c r="D163" s="318"/>
      <c r="E163" s="318"/>
      <c r="F163" s="318"/>
      <c r="G163" s="318"/>
      <c r="H163" s="318"/>
      <c r="I163" s="319"/>
      <c r="J163" s="78"/>
      <c r="K163" s="153"/>
    </row>
    <row r="164" spans="1:11" hidden="1" outlineLevel="1">
      <c r="A164" s="28"/>
      <c r="B164" s="320" t="str">
        <f>K155&amp;".4. Submitted by:"</f>
        <v>4.4. Submitted by:</v>
      </c>
      <c r="C164" s="321"/>
      <c r="D164" s="321"/>
      <c r="E164" s="321"/>
      <c r="F164" s="321"/>
      <c r="G164" s="321"/>
      <c r="H164" s="322"/>
      <c r="I164" s="59" t="str">
        <f>K155&amp;".5. Date:"</f>
        <v>4.5. Date:</v>
      </c>
      <c r="J164" s="78"/>
      <c r="K164" s="153"/>
    </row>
    <row r="165" spans="1:11" ht="13.8" hidden="1" outlineLevel="1" thickBot="1">
      <c r="A165" s="28"/>
      <c r="B165" s="323" t="s">
        <v>141</v>
      </c>
      <c r="C165" s="324"/>
      <c r="D165" s="324"/>
      <c r="E165" s="324"/>
      <c r="F165" s="324"/>
      <c r="G165" s="325"/>
      <c r="H165" s="326"/>
      <c r="I165" s="160"/>
      <c r="J165" s="78"/>
      <c r="K165" s="153"/>
    </row>
    <row r="166" spans="1:11" ht="12" customHeight="1" collapsed="1">
      <c r="A166" s="28"/>
      <c r="B166" s="9"/>
      <c r="C166" s="9"/>
      <c r="D166" s="9"/>
      <c r="E166" s="9"/>
      <c r="F166" s="9"/>
      <c r="G166" s="9"/>
      <c r="H166" s="9"/>
      <c r="I166" s="9"/>
      <c r="J166" s="78"/>
      <c r="K166" s="153"/>
    </row>
    <row r="167" spans="1:11" ht="12.75" hidden="1" customHeight="1" outlineLevel="1">
      <c r="A167" s="28">
        <v>1</v>
      </c>
      <c r="B167" s="327" t="str">
        <f>IF($H$2,"Part "&amp;K167&amp;": Evaluation of Response","Part "&amp;K167&amp;": Evaluation of Response to Correction Action Request (Part "&amp;K167-1&amp;")")</f>
        <v>Part 4: Evaluation of Response</v>
      </c>
      <c r="C167" s="328"/>
      <c r="D167" s="328"/>
      <c r="E167" s="328"/>
      <c r="F167" s="328"/>
      <c r="G167" s="328"/>
      <c r="H167" s="328"/>
      <c r="I167" s="329"/>
      <c r="J167" s="78"/>
      <c r="K167" s="153">
        <f>SUBTOTAL(109,$A$103:A167)</f>
        <v>4</v>
      </c>
    </row>
    <row r="168" spans="1:11" ht="12.75" hidden="1" customHeight="1" outlineLevel="1">
      <c r="A168" s="28"/>
      <c r="B168" s="330" t="s">
        <v>47</v>
      </c>
      <c r="C168" s="355"/>
      <c r="D168" s="355"/>
      <c r="E168" s="355"/>
      <c r="F168" s="355"/>
      <c r="G168" s="355"/>
      <c r="H168" s="355"/>
      <c r="I168" s="332"/>
      <c r="J168" s="78"/>
      <c r="K168" s="153"/>
    </row>
    <row r="169" spans="1:11" ht="12.75" hidden="1" customHeight="1" outlineLevel="1">
      <c r="A169" s="28"/>
      <c r="B169" s="333" t="str">
        <f>K167&amp;".1. The responses provided in section "&amp;K167-1&amp;" are:"</f>
        <v>4.1. The responses provided in section 3 are:</v>
      </c>
      <c r="C169" s="334"/>
      <c r="D169" s="334"/>
      <c r="E169" s="334"/>
      <c r="F169" s="334"/>
      <c r="G169" s="334"/>
      <c r="H169" s="334"/>
      <c r="I169" s="335"/>
      <c r="J169" s="78"/>
      <c r="K169" s="153"/>
    </row>
    <row r="170" spans="1:11" ht="12.75" hidden="1" customHeight="1" outlineLevel="1">
      <c r="A170" s="28"/>
      <c r="B170" s="191"/>
      <c r="C170" s="173" t="str">
        <f>IF($H$2,"","Causes of Non-Conformity")</f>
        <v/>
      </c>
      <c r="D170" s="347"/>
      <c r="E170" s="347"/>
      <c r="F170" s="347"/>
      <c r="G170" s="347"/>
      <c r="H170" s="192"/>
      <c r="I170" s="193"/>
      <c r="J170" s="78"/>
      <c r="K170" s="153"/>
    </row>
    <row r="171" spans="1:11" hidden="1" outlineLevel="1">
      <c r="A171" s="28"/>
      <c r="B171" s="191"/>
      <c r="C171" s="183" t="s">
        <v>48</v>
      </c>
      <c r="D171" s="347"/>
      <c r="E171" s="347"/>
      <c r="F171" s="347"/>
      <c r="G171" s="347"/>
      <c r="H171" s="170"/>
      <c r="I171" s="193"/>
      <c r="J171" s="78"/>
      <c r="K171" s="153"/>
    </row>
    <row r="172" spans="1:11" ht="12" hidden="1" customHeight="1" outlineLevel="1">
      <c r="A172" s="28"/>
      <c r="B172" s="191"/>
      <c r="C172" s="183" t="s">
        <v>49</v>
      </c>
      <c r="D172" s="347"/>
      <c r="E172" s="347"/>
      <c r="F172" s="347"/>
      <c r="G172" s="347"/>
      <c r="H172" s="170"/>
      <c r="I172" s="52" t="str">
        <f>K167&amp;".2. Due Date: "</f>
        <v xml:space="preserve">4.2. Due Date: </v>
      </c>
      <c r="J172" s="78"/>
      <c r="K172" s="153"/>
    </row>
    <row r="173" spans="1:11" ht="15" hidden="1" customHeight="1" outlineLevel="1">
      <c r="A173" s="28"/>
      <c r="B173" s="171"/>
      <c r="C173" s="115" t="str">
        <f>"Note: CAB shall respond to all 'Unacceptable' and 'Incomplete' responses by due date in "&amp;K167&amp;".2."</f>
        <v>Note: CAB shall respond to all 'Unacceptable' and 'Incomplete' responses by due date in 4.2.</v>
      </c>
      <c r="D173" s="94"/>
      <c r="E173" s="95"/>
      <c r="F173" s="95"/>
      <c r="G173" s="95"/>
      <c r="H173" s="96"/>
      <c r="I173" s="161"/>
      <c r="J173" s="78"/>
      <c r="K173" s="153"/>
    </row>
    <row r="174" spans="1:11" ht="15" hidden="1" customHeight="1" outlineLevel="1">
      <c r="A174" s="28"/>
      <c r="B174" s="190" t="str">
        <f>K167&amp;".2. Justification for all responses shall be provided here:"</f>
        <v>4.2. Justification for all responses shall be provided here:</v>
      </c>
      <c r="C174" s="97"/>
      <c r="D174" s="97"/>
      <c r="E174" s="97"/>
      <c r="F174" s="97"/>
      <c r="G174" s="97"/>
      <c r="H174" s="97"/>
      <c r="I174" s="98"/>
      <c r="J174" s="78"/>
      <c r="K174" s="153"/>
    </row>
    <row r="175" spans="1:11" ht="99.9" hidden="1" customHeight="1" outlineLevel="1">
      <c r="A175" s="28"/>
      <c r="B175" s="348"/>
      <c r="C175" s="349"/>
      <c r="D175" s="349"/>
      <c r="E175" s="349"/>
      <c r="F175" s="349"/>
      <c r="G175" s="349"/>
      <c r="H175" s="349"/>
      <c r="I175" s="350"/>
      <c r="J175" s="78"/>
      <c r="K175" s="153"/>
    </row>
    <row r="176" spans="1:11" ht="13.5" hidden="1" customHeight="1" outlineLevel="1">
      <c r="A176" s="28"/>
      <c r="B176" s="351" t="str">
        <f>K167&amp;".4. Reviewed by: "</f>
        <v xml:space="preserve">4.4. Reviewed by: </v>
      </c>
      <c r="C176" s="321"/>
      <c r="D176" s="321"/>
      <c r="E176" s="321"/>
      <c r="F176" s="321"/>
      <c r="G176" s="321"/>
      <c r="H176" s="322"/>
      <c r="I176" s="52" t="str">
        <f>K167&amp;".5. Date: "</f>
        <v xml:space="preserve">4.5. Date: </v>
      </c>
      <c r="J176" s="78"/>
      <c r="K176" s="153"/>
    </row>
    <row r="177" spans="1:11" ht="13.8" hidden="1" outlineLevel="1" thickBot="1">
      <c r="A177" s="28"/>
      <c r="B177" s="352" t="s">
        <v>0</v>
      </c>
      <c r="C177" s="353"/>
      <c r="D177" s="353"/>
      <c r="E177" s="353"/>
      <c r="F177" s="353"/>
      <c r="G177" s="353"/>
      <c r="H177" s="354"/>
      <c r="I177" s="160"/>
      <c r="J177" s="78"/>
      <c r="K177" s="153"/>
    </row>
    <row r="178" spans="1:11" ht="12" customHeight="1" collapsed="1">
      <c r="A178" s="28"/>
      <c r="B178" s="9"/>
      <c r="C178" s="9"/>
      <c r="D178" s="9"/>
      <c r="E178" s="9"/>
      <c r="F178" s="9"/>
      <c r="G178" s="9"/>
      <c r="H178" s="9"/>
      <c r="I178" s="9"/>
      <c r="J178" s="78"/>
      <c r="K178" s="153"/>
    </row>
    <row r="179" spans="1:11" ht="12.75" hidden="1" customHeight="1" outlineLevel="1">
      <c r="A179" s="28">
        <v>1</v>
      </c>
      <c r="B179" s="362" t="str">
        <f>"Part "&amp; K179&amp;": Corrective Actions Taken"</f>
        <v>Part 4: Corrective Actions Taken</v>
      </c>
      <c r="C179" s="363"/>
      <c r="D179" s="363"/>
      <c r="E179" s="363"/>
      <c r="F179" s="363"/>
      <c r="G179" s="363"/>
      <c r="H179" s="363"/>
      <c r="I179" s="364"/>
      <c r="J179" s="78"/>
      <c r="K179" s="153">
        <f>SUBTOTAL(109,$A$103:A179)</f>
        <v>4</v>
      </c>
    </row>
    <row r="180" spans="1:11" ht="12.75" hidden="1" customHeight="1" outlineLevel="1">
      <c r="A180" s="28"/>
      <c r="B180" s="365" t="str">
        <f>"(this section to be completed by the CAB Representative if any part of "&amp;K179-1&amp;".1 is not acceptable. Note: only edit white cells)"</f>
        <v>(this section to be completed by the CAB Representative if any part of 3.1 is not acceptable. Note: only edit white cells)</v>
      </c>
      <c r="C180" s="366"/>
      <c r="D180" s="366"/>
      <c r="E180" s="366"/>
      <c r="F180" s="366"/>
      <c r="G180" s="366"/>
      <c r="H180" s="366"/>
      <c r="I180" s="367"/>
      <c r="J180" s="78"/>
      <c r="K180" s="153"/>
    </row>
    <row r="181" spans="1:11" hidden="1" outlineLevel="1">
      <c r="A181" s="28"/>
      <c r="B181" s="336" t="str">
        <f>K179&amp;".1.    Corrective Action Taken with respective objective evidence:"</f>
        <v>4.1.    Corrective Action Taken with respective objective evidence:</v>
      </c>
      <c r="C181" s="337"/>
      <c r="D181" s="337"/>
      <c r="E181" s="337"/>
      <c r="F181" s="337"/>
      <c r="G181" s="337"/>
      <c r="H181" s="337"/>
      <c r="I181" s="368"/>
      <c r="J181" s="78"/>
      <c r="K181" s="153"/>
    </row>
    <row r="182" spans="1:11" ht="15" hidden="1" customHeight="1" outlineLevel="1">
      <c r="A182" s="28"/>
      <c r="B182" s="369" t="str">
        <f>"(this information shall be submitted by the due date given in Part "&amp;K179-1&amp;".2 above)"</f>
        <v>(this information shall be submitted by the due date given in Part 3.2 above)</v>
      </c>
      <c r="C182" s="370"/>
      <c r="D182" s="370"/>
      <c r="E182" s="370"/>
      <c r="F182" s="370"/>
      <c r="G182" s="370"/>
      <c r="H182" s="370"/>
      <c r="I182" s="371"/>
      <c r="J182" s="78"/>
      <c r="K182" s="153"/>
    </row>
    <row r="183" spans="1:11" ht="12.75" hidden="1" customHeight="1" outlineLevel="1">
      <c r="A183" s="28"/>
      <c r="B183" s="317" t="s">
        <v>29</v>
      </c>
      <c r="C183" s="318"/>
      <c r="D183" s="318"/>
      <c r="E183" s="318"/>
      <c r="F183" s="318"/>
      <c r="G183" s="318"/>
      <c r="H183" s="318"/>
      <c r="I183" s="319"/>
      <c r="J183" s="78"/>
      <c r="K183" s="153"/>
    </row>
    <row r="184" spans="1:11" ht="99.9" hidden="1" customHeight="1" outlineLevel="1">
      <c r="A184" s="28"/>
      <c r="B184" s="356"/>
      <c r="C184" s="357"/>
      <c r="D184" s="357"/>
      <c r="E184" s="357"/>
      <c r="F184" s="357"/>
      <c r="G184" s="357"/>
      <c r="H184" s="357"/>
      <c r="I184" s="358"/>
      <c r="J184" s="78"/>
      <c r="K184" s="153"/>
    </row>
    <row r="185" spans="1:11" hidden="1" outlineLevel="1">
      <c r="A185" s="28"/>
      <c r="B185" s="359" t="str">
        <f>K179&amp;".2. Submitted by: "</f>
        <v xml:space="preserve">4.2. Submitted by: </v>
      </c>
      <c r="C185" s="321"/>
      <c r="D185" s="321"/>
      <c r="E185" s="321"/>
      <c r="F185" s="321"/>
      <c r="G185" s="321"/>
      <c r="H185" s="322"/>
      <c r="I185" s="114" t="str">
        <f>K179&amp;".3. Date: "</f>
        <v xml:space="preserve">4.3. Date: </v>
      </c>
      <c r="J185" s="78"/>
      <c r="K185" s="153"/>
    </row>
    <row r="186" spans="1:11" ht="13.8" hidden="1" outlineLevel="1" thickBot="1">
      <c r="A186" s="28"/>
      <c r="B186" s="323" t="s">
        <v>141</v>
      </c>
      <c r="C186" s="360"/>
      <c r="D186" s="360"/>
      <c r="E186" s="360"/>
      <c r="F186" s="360"/>
      <c r="G186" s="360"/>
      <c r="H186" s="361"/>
      <c r="I186" s="160"/>
      <c r="J186" s="78"/>
      <c r="K186" s="153"/>
    </row>
    <row r="187" spans="1:11" ht="12" customHeight="1" collapsed="1">
      <c r="A187" s="28"/>
      <c r="B187" s="9"/>
      <c r="C187" s="9"/>
      <c r="D187" s="9"/>
      <c r="E187" s="9"/>
      <c r="F187" s="9"/>
      <c r="G187" s="9"/>
      <c r="H187" s="9"/>
      <c r="I187" s="9"/>
      <c r="J187" s="78"/>
      <c r="K187" s="153"/>
    </row>
    <row r="188" spans="1:11" ht="12.75" hidden="1" customHeight="1" outlineLevel="1">
      <c r="A188" s="28">
        <v>1</v>
      </c>
      <c r="B188" s="327" t="str">
        <f>"Part "&amp;K188&amp;": Review of the completed Corrective Actions"</f>
        <v>Part 4: Review of the completed Corrective Actions</v>
      </c>
      <c r="C188" s="328"/>
      <c r="D188" s="328"/>
      <c r="E188" s="328"/>
      <c r="F188" s="328"/>
      <c r="G188" s="328"/>
      <c r="H188" s="328"/>
      <c r="I188" s="329"/>
      <c r="J188" s="78"/>
      <c r="K188" s="153">
        <f>SUBTOTAL(109,$A$103:A188)</f>
        <v>4</v>
      </c>
    </row>
    <row r="189" spans="1:11" ht="12.75" hidden="1" customHeight="1" outlineLevel="1">
      <c r="A189" s="28"/>
      <c r="B189" s="330" t="s">
        <v>47</v>
      </c>
      <c r="C189" s="331"/>
      <c r="D189" s="331"/>
      <c r="E189" s="331"/>
      <c r="F189" s="331"/>
      <c r="G189" s="331"/>
      <c r="H189" s="331"/>
      <c r="I189" s="332"/>
      <c r="J189" s="78"/>
      <c r="K189" s="153"/>
    </row>
    <row r="190" spans="1:11" ht="12.75" hidden="1" customHeight="1" outlineLevel="1">
      <c r="A190" s="28"/>
      <c r="B190" s="372" t="str">
        <f>K188&amp;".1. The responses provided in Section "&amp;K188-1&amp;" are:"</f>
        <v>4.1. The responses provided in Section 3 are:</v>
      </c>
      <c r="C190" s="373"/>
      <c r="D190" s="373"/>
      <c r="E190" s="373"/>
      <c r="F190" s="373"/>
      <c r="G190" s="373"/>
      <c r="H190" s="373"/>
      <c r="I190" s="374"/>
      <c r="J190" s="78"/>
      <c r="K190" s="153"/>
    </row>
    <row r="191" spans="1:11" ht="12.75" hidden="1" customHeight="1" outlineLevel="1">
      <c r="A191" s="28"/>
      <c r="B191" s="375"/>
      <c r="C191" s="376"/>
      <c r="D191" s="376"/>
      <c r="E191" s="376"/>
      <c r="F191" s="376"/>
      <c r="G191" s="376"/>
      <c r="H191" s="377"/>
      <c r="I191" s="19"/>
      <c r="J191" s="78"/>
      <c r="K191" s="153"/>
    </row>
    <row r="192" spans="1:11" ht="6.75" hidden="1" customHeight="1" outlineLevel="1">
      <c r="A192" s="28"/>
      <c r="B192" s="148"/>
      <c r="C192" s="17"/>
      <c r="D192" s="17"/>
      <c r="E192" s="18"/>
      <c r="F192" s="18"/>
      <c r="G192" s="18"/>
      <c r="H192" s="18"/>
      <c r="I192" s="19"/>
      <c r="J192" s="78"/>
      <c r="K192" s="153"/>
    </row>
    <row r="193" spans="1:15" ht="6" hidden="1" customHeight="1" outlineLevel="1">
      <c r="A193" s="28"/>
      <c r="B193" s="148"/>
      <c r="C193" s="17"/>
      <c r="D193" s="17"/>
      <c r="E193" s="18"/>
      <c r="F193" s="18"/>
      <c r="G193" s="18"/>
      <c r="H193" s="18"/>
      <c r="I193" s="19"/>
      <c r="J193" s="78"/>
      <c r="K193" s="153"/>
    </row>
    <row r="194" spans="1:15" hidden="1" outlineLevel="1">
      <c r="A194" s="28"/>
      <c r="B194" s="378" t="s">
        <v>46</v>
      </c>
      <c r="C194" s="379"/>
      <c r="D194" s="379"/>
      <c r="E194" s="379"/>
      <c r="F194" s="379"/>
      <c r="G194" s="379"/>
      <c r="H194" s="379"/>
      <c r="I194" s="380"/>
      <c r="J194" s="78"/>
      <c r="K194" s="153"/>
    </row>
    <row r="195" spans="1:15" ht="15" hidden="1" customHeight="1" outlineLevel="1">
      <c r="A195" s="28"/>
      <c r="B195" s="190" t="str">
        <f>K188&amp;".2. Justification for all responses shall be provided here:"</f>
        <v>4.2. Justification for all responses shall be provided here:</v>
      </c>
      <c r="C195" s="177"/>
      <c r="D195" s="177"/>
      <c r="E195" s="177"/>
      <c r="F195" s="177"/>
      <c r="G195" s="177"/>
      <c r="H195" s="177"/>
      <c r="I195" s="58"/>
      <c r="J195" s="78"/>
      <c r="K195" s="153"/>
    </row>
    <row r="196" spans="1:15" ht="99.9" hidden="1" customHeight="1" outlineLevel="1">
      <c r="A196" s="28"/>
      <c r="B196" s="348"/>
      <c r="C196" s="349"/>
      <c r="D196" s="349"/>
      <c r="E196" s="349"/>
      <c r="F196" s="349"/>
      <c r="G196" s="349"/>
      <c r="H196" s="349"/>
      <c r="I196" s="350"/>
      <c r="J196" s="78"/>
      <c r="K196" s="153"/>
    </row>
    <row r="197" spans="1:15" hidden="1" outlineLevel="1">
      <c r="A197" s="28"/>
      <c r="B197" s="351" t="str">
        <f>K188&amp;".3. Reviewed by: "</f>
        <v xml:space="preserve">4.3. Reviewed by: </v>
      </c>
      <c r="C197" s="321"/>
      <c r="D197" s="321"/>
      <c r="E197" s="321"/>
      <c r="F197" s="321"/>
      <c r="G197" s="321"/>
      <c r="H197" s="322"/>
      <c r="I197" s="52" t="str">
        <f>K188&amp;".4. Date: "</f>
        <v xml:space="preserve">4.4. Date: </v>
      </c>
      <c r="J197" s="78"/>
      <c r="K197" s="153"/>
    </row>
    <row r="198" spans="1:15" ht="13.8" hidden="1" outlineLevel="1" thickBot="1">
      <c r="A198" s="28"/>
      <c r="B198" s="323" t="s">
        <v>141</v>
      </c>
      <c r="C198" s="360"/>
      <c r="D198" s="360"/>
      <c r="E198" s="360"/>
      <c r="F198" s="360"/>
      <c r="G198" s="360"/>
      <c r="H198" s="361"/>
      <c r="I198" s="160"/>
      <c r="J198" s="78"/>
      <c r="K198" s="153"/>
    </row>
    <row r="199" spans="1:15" collapsed="1">
      <c r="A199" s="28"/>
      <c r="B199" s="8"/>
      <c r="C199" s="8"/>
      <c r="D199" s="8"/>
      <c r="E199" s="8"/>
      <c r="F199" s="8"/>
      <c r="G199" s="8"/>
      <c r="H199" s="8"/>
      <c r="I199" s="8"/>
      <c r="J199" s="78"/>
      <c r="K199" s="153"/>
    </row>
    <row r="200" spans="1:15" hidden="1" outlineLevel="1">
      <c r="A200" s="28">
        <v>1</v>
      </c>
      <c r="B200" s="362" t="str">
        <f>"Part "&amp; K200&amp;": Corrective Actions Taken"</f>
        <v>Part 4: Corrective Actions Taken</v>
      </c>
      <c r="C200" s="363"/>
      <c r="D200" s="363"/>
      <c r="E200" s="363"/>
      <c r="F200" s="363"/>
      <c r="G200" s="363"/>
      <c r="H200" s="363"/>
      <c r="I200" s="364"/>
      <c r="J200" s="78"/>
      <c r="K200" s="153">
        <f>SUBTOTAL(109,$A$103:A200)</f>
        <v>4</v>
      </c>
    </row>
    <row r="201" spans="1:15" ht="12.75" hidden="1" customHeight="1" outlineLevel="1">
      <c r="A201" s="28"/>
      <c r="B201" s="365" t="str">
        <f>"(this section to be completed by the CAB Representative if any part of "&amp;K200-1&amp;".1 is not acceptable. Note: only edit white cells)"</f>
        <v>(this section to be completed by the CAB Representative if any part of 3.1 is not acceptable. Note: only edit white cells)</v>
      </c>
      <c r="C201" s="366"/>
      <c r="D201" s="366"/>
      <c r="E201" s="366"/>
      <c r="F201" s="366"/>
      <c r="G201" s="366"/>
      <c r="H201" s="366"/>
      <c r="I201" s="367"/>
      <c r="J201" s="78"/>
      <c r="K201" s="153"/>
      <c r="O201" s="79"/>
    </row>
    <row r="202" spans="1:15" hidden="1" outlineLevel="1">
      <c r="A202" s="28"/>
      <c r="B202" s="336" t="str">
        <f>K200&amp;".1.    Corrective Action Taken with respective objective evidence:"</f>
        <v>4.1.    Corrective Action Taken with respective objective evidence:</v>
      </c>
      <c r="C202" s="337"/>
      <c r="D202" s="337"/>
      <c r="E202" s="337"/>
      <c r="F202" s="337"/>
      <c r="G202" s="337"/>
      <c r="H202" s="337"/>
      <c r="I202" s="368"/>
      <c r="J202" s="78"/>
      <c r="K202" s="153"/>
      <c r="O202" s="79"/>
    </row>
    <row r="203" spans="1:15" hidden="1" outlineLevel="1">
      <c r="A203" s="28"/>
      <c r="B203" s="369" t="str">
        <f>"(this information shall be submitted by the due date given in Part "&amp;K200-1&amp;".2 above)"</f>
        <v>(this information shall be submitted by the due date given in Part 3.2 above)</v>
      </c>
      <c r="C203" s="370"/>
      <c r="D203" s="370"/>
      <c r="E203" s="370"/>
      <c r="F203" s="370"/>
      <c r="G203" s="370"/>
      <c r="H203" s="370"/>
      <c r="I203" s="371"/>
      <c r="J203" s="78"/>
      <c r="K203" s="153"/>
      <c r="O203" s="79"/>
    </row>
    <row r="204" spans="1:15" hidden="1" outlineLevel="1">
      <c r="A204" s="28"/>
      <c r="B204" s="317" t="s">
        <v>29</v>
      </c>
      <c r="C204" s="318"/>
      <c r="D204" s="318"/>
      <c r="E204" s="318"/>
      <c r="F204" s="318"/>
      <c r="G204" s="318"/>
      <c r="H204" s="318"/>
      <c r="I204" s="319"/>
      <c r="J204" s="78"/>
      <c r="K204" s="153"/>
      <c r="O204" s="79"/>
    </row>
    <row r="205" spans="1:15" ht="99" hidden="1" customHeight="1" outlineLevel="1">
      <c r="A205" s="28"/>
      <c r="B205" s="356"/>
      <c r="C205" s="357"/>
      <c r="D205" s="357"/>
      <c r="E205" s="357"/>
      <c r="F205" s="357"/>
      <c r="G205" s="357"/>
      <c r="H205" s="357"/>
      <c r="I205" s="358"/>
      <c r="J205" s="78"/>
      <c r="K205" s="153"/>
      <c r="O205" s="79"/>
    </row>
    <row r="206" spans="1:15" hidden="1" outlineLevel="1">
      <c r="A206" s="28"/>
      <c r="B206" s="359" t="str">
        <f>K200&amp;".2. Submitted by: "</f>
        <v xml:space="preserve">4.2. Submitted by: </v>
      </c>
      <c r="C206" s="321"/>
      <c r="D206" s="321"/>
      <c r="E206" s="321"/>
      <c r="F206" s="321"/>
      <c r="G206" s="321"/>
      <c r="H206" s="322"/>
      <c r="I206" s="114" t="str">
        <f>K200&amp;".3. Date: "</f>
        <v xml:space="preserve">4.3. Date: </v>
      </c>
      <c r="J206" s="78"/>
      <c r="K206" s="153"/>
      <c r="O206" s="79"/>
    </row>
    <row r="207" spans="1:15" ht="13.8" hidden="1" outlineLevel="1" thickBot="1">
      <c r="A207" s="28"/>
      <c r="B207" s="323" t="s">
        <v>141</v>
      </c>
      <c r="C207" s="360"/>
      <c r="D207" s="360"/>
      <c r="E207" s="360"/>
      <c r="F207" s="360"/>
      <c r="G207" s="360"/>
      <c r="H207" s="361"/>
      <c r="I207" s="160"/>
      <c r="J207" s="78"/>
      <c r="K207" s="153"/>
      <c r="O207" s="79"/>
    </row>
    <row r="208" spans="1:15" collapsed="1">
      <c r="A208" s="28"/>
      <c r="B208" s="9"/>
      <c r="C208" s="9"/>
      <c r="D208" s="9"/>
      <c r="E208" s="9"/>
      <c r="F208" s="9"/>
      <c r="G208" s="9"/>
      <c r="H208" s="9"/>
      <c r="I208" s="9"/>
      <c r="J208" s="78"/>
      <c r="K208" s="153"/>
    </row>
    <row r="209" spans="1:11" hidden="1" outlineLevel="1">
      <c r="A209" s="28">
        <v>1</v>
      </c>
      <c r="B209" s="327" t="str">
        <f>"Part "&amp;K209&amp;": Review of the completed Corrective Actions"</f>
        <v>Part 4: Review of the completed Corrective Actions</v>
      </c>
      <c r="C209" s="328"/>
      <c r="D209" s="328"/>
      <c r="E209" s="328"/>
      <c r="F209" s="328"/>
      <c r="G209" s="328"/>
      <c r="H209" s="328"/>
      <c r="I209" s="329"/>
      <c r="J209" s="78"/>
      <c r="K209" s="153">
        <f>SUBTOTAL(109,$A$103:A209)</f>
        <v>4</v>
      </c>
    </row>
    <row r="210" spans="1:11" hidden="1" outlineLevel="1">
      <c r="A210" s="28"/>
      <c r="B210" s="330" t="s">
        <v>47</v>
      </c>
      <c r="C210" s="331"/>
      <c r="D210" s="331"/>
      <c r="E210" s="331"/>
      <c r="F210" s="331"/>
      <c r="G210" s="331"/>
      <c r="H210" s="331"/>
      <c r="I210" s="332"/>
      <c r="J210" s="78"/>
      <c r="K210" s="153"/>
    </row>
    <row r="211" spans="1:11" hidden="1" outlineLevel="1">
      <c r="A211" s="28"/>
      <c r="B211" s="372" t="str">
        <f>K209&amp;".1. The responses provided in Section "&amp;K209-1&amp;" are:"</f>
        <v>4.1. The responses provided in Section 3 are:</v>
      </c>
      <c r="C211" s="373"/>
      <c r="D211" s="373"/>
      <c r="E211" s="373"/>
      <c r="F211" s="373"/>
      <c r="G211" s="373"/>
      <c r="H211" s="373"/>
      <c r="I211" s="374"/>
      <c r="J211" s="78"/>
      <c r="K211" s="153"/>
    </row>
    <row r="212" spans="1:11" hidden="1" outlineLevel="1">
      <c r="A212" s="28"/>
      <c r="B212" s="375"/>
      <c r="C212" s="376"/>
      <c r="D212" s="376"/>
      <c r="E212" s="376"/>
      <c r="F212" s="376"/>
      <c r="G212" s="376"/>
      <c r="H212" s="377"/>
      <c r="I212" s="19"/>
      <c r="J212" s="78"/>
      <c r="K212" s="153"/>
    </row>
    <row r="213" spans="1:11" ht="6" hidden="1" customHeight="1" outlineLevel="1">
      <c r="A213" s="28"/>
      <c r="B213" s="148"/>
      <c r="C213" s="17"/>
      <c r="D213" s="17"/>
      <c r="E213" s="18"/>
      <c r="F213" s="18"/>
      <c r="G213" s="18"/>
      <c r="H213" s="18"/>
      <c r="I213" s="19"/>
      <c r="J213" s="78"/>
      <c r="K213" s="153"/>
    </row>
    <row r="214" spans="1:11" ht="6.75" hidden="1" customHeight="1" outlineLevel="1">
      <c r="A214" s="28"/>
      <c r="B214" s="148"/>
      <c r="C214" s="17"/>
      <c r="D214" s="17"/>
      <c r="E214" s="18"/>
      <c r="F214" s="18"/>
      <c r="G214" s="18"/>
      <c r="H214" s="18"/>
      <c r="I214" s="19"/>
      <c r="J214" s="78"/>
      <c r="K214" s="153"/>
    </row>
    <row r="215" spans="1:11" hidden="1" outlineLevel="1">
      <c r="A215" s="28"/>
      <c r="B215" s="378" t="s">
        <v>46</v>
      </c>
      <c r="C215" s="379"/>
      <c r="D215" s="379"/>
      <c r="E215" s="379"/>
      <c r="F215" s="379"/>
      <c r="G215" s="379"/>
      <c r="H215" s="379"/>
      <c r="I215" s="380"/>
      <c r="J215" s="78"/>
      <c r="K215" s="153"/>
    </row>
    <row r="216" spans="1:11" hidden="1" outlineLevel="1">
      <c r="A216" s="28"/>
      <c r="B216" s="190" t="str">
        <f>K209&amp;".2. Justification for all responses shall be provided here:"</f>
        <v>4.2. Justification for all responses shall be provided here:</v>
      </c>
      <c r="C216" s="177"/>
      <c r="D216" s="177"/>
      <c r="E216" s="177"/>
      <c r="F216" s="177"/>
      <c r="G216" s="177"/>
      <c r="H216" s="177"/>
      <c r="I216" s="58"/>
      <c r="J216" s="78"/>
      <c r="K216" s="153"/>
    </row>
    <row r="217" spans="1:11" ht="65.25" hidden="1" customHeight="1" outlineLevel="1">
      <c r="A217" s="28"/>
      <c r="B217" s="348"/>
      <c r="C217" s="349"/>
      <c r="D217" s="349"/>
      <c r="E217" s="349"/>
      <c r="F217" s="349"/>
      <c r="G217" s="349"/>
      <c r="H217" s="349"/>
      <c r="I217" s="350"/>
      <c r="J217" s="78"/>
      <c r="K217" s="153"/>
    </row>
    <row r="218" spans="1:11" hidden="1" outlineLevel="1">
      <c r="A218" s="28"/>
      <c r="B218" s="351" t="str">
        <f>K209&amp;".3. Reviewed by: "</f>
        <v xml:space="preserve">4.3. Reviewed by: </v>
      </c>
      <c r="C218" s="321"/>
      <c r="D218" s="321"/>
      <c r="E218" s="321"/>
      <c r="F218" s="321"/>
      <c r="G218" s="321"/>
      <c r="H218" s="322"/>
      <c r="I218" s="52" t="str">
        <f>K209&amp;".4. Date: "</f>
        <v xml:space="preserve">4.4. Date: </v>
      </c>
      <c r="J218" s="78"/>
      <c r="K218" s="153"/>
    </row>
    <row r="219" spans="1:11" ht="13.8" hidden="1" outlineLevel="1" thickBot="1">
      <c r="A219" s="28"/>
      <c r="B219" s="323" t="s">
        <v>141</v>
      </c>
      <c r="C219" s="360"/>
      <c r="D219" s="360"/>
      <c r="E219" s="360"/>
      <c r="F219" s="360"/>
      <c r="G219" s="360"/>
      <c r="H219" s="361"/>
      <c r="I219" s="160"/>
      <c r="J219" s="78"/>
      <c r="K219" s="153"/>
    </row>
    <row r="220" spans="1:11" ht="13.8" thickBot="1">
      <c r="A220" s="28"/>
      <c r="B220" s="8"/>
      <c r="C220" s="8"/>
      <c r="D220" s="8"/>
      <c r="E220" s="8"/>
      <c r="F220" s="8"/>
      <c r="G220" s="8"/>
      <c r="H220" s="8"/>
      <c r="I220" s="8"/>
      <c r="J220" s="78"/>
      <c r="K220" s="153"/>
    </row>
    <row r="221" spans="1:11">
      <c r="A221" s="28">
        <v>1</v>
      </c>
      <c r="B221" s="327" t="str">
        <f>"Part "&amp;K221&amp;": Current Status"</f>
        <v>Part 5: Current Status</v>
      </c>
      <c r="C221" s="328"/>
      <c r="D221" s="328"/>
      <c r="E221" s="328"/>
      <c r="F221" s="328"/>
      <c r="G221" s="328"/>
      <c r="H221" s="328"/>
      <c r="I221" s="329"/>
      <c r="J221" s="78"/>
      <c r="K221" s="153">
        <f>SUBTOTAL(109,$A$103:A221)</f>
        <v>5</v>
      </c>
    </row>
    <row r="222" spans="1:11">
      <c r="A222" s="28"/>
      <c r="B222" s="330" t="s">
        <v>47</v>
      </c>
      <c r="C222" s="331"/>
      <c r="D222" s="331"/>
      <c r="E222" s="331"/>
      <c r="F222" s="331"/>
      <c r="G222" s="331"/>
      <c r="H222" s="331"/>
      <c r="I222" s="332"/>
      <c r="J222" s="78"/>
      <c r="K222" s="153"/>
    </row>
    <row r="223" spans="1:11" ht="12.75" customHeight="1">
      <c r="A223" s="28"/>
      <c r="B223" s="333" t="str">
        <f>IF($H$2,K221&amp;".2 The status of this " &amp; $D$91 &amp; " is:  (Note: closure of an OFI is not mandatory)",K221&amp;".2. The status of this " &amp; $D$91 &amp; " is:")</f>
        <v>5.2 The status of this  is:  (Note: closure of an OFI is not mandatory)</v>
      </c>
      <c r="C223" s="334"/>
      <c r="D223" s="334"/>
      <c r="E223" s="334"/>
      <c r="F223" s="334"/>
      <c r="G223" s="334"/>
      <c r="H223" s="334"/>
      <c r="I223" s="335"/>
      <c r="J223" s="78"/>
      <c r="K223" s="153"/>
    </row>
    <row r="224" spans="1:11" ht="21.75" customHeight="1">
      <c r="A224" s="28"/>
      <c r="B224" s="191"/>
      <c r="C224" s="192"/>
      <c r="D224" s="183"/>
      <c r="E224" s="184" t="s">
        <v>163</v>
      </c>
      <c r="F224" s="187"/>
      <c r="G224" s="187"/>
      <c r="H224" s="192"/>
      <c r="I224" s="193"/>
      <c r="J224" s="78"/>
      <c r="K224" s="153"/>
    </row>
    <row r="225" spans="1:11" ht="12.75" customHeight="1" thickBot="1">
      <c r="A225" s="28"/>
      <c r="B225" s="381"/>
      <c r="C225" s="382"/>
      <c r="D225" s="382"/>
      <c r="E225" s="382"/>
      <c r="F225" s="382"/>
      <c r="G225" s="382"/>
      <c r="H225" s="382"/>
      <c r="I225" s="383"/>
      <c r="J225" s="78"/>
      <c r="K225" s="153"/>
    </row>
    <row r="226" spans="1:11">
      <c r="A226" s="28"/>
      <c r="B226" s="8"/>
      <c r="C226" s="8"/>
      <c r="D226" s="8"/>
      <c r="E226" s="8"/>
      <c r="F226" s="8"/>
      <c r="G226" s="8"/>
      <c r="H226" s="8"/>
      <c r="I226" s="8"/>
      <c r="J226" s="78"/>
      <c r="K226" s="153"/>
    </row>
  </sheetData>
  <mergeCells count="104">
    <mergeCell ref="B223:I223"/>
    <mergeCell ref="B225:I225"/>
    <mergeCell ref="B215:I215"/>
    <mergeCell ref="B217:I217"/>
    <mergeCell ref="B218:H218"/>
    <mergeCell ref="B219:H219"/>
    <mergeCell ref="B221:I221"/>
    <mergeCell ref="B222:I222"/>
    <mergeCell ref="B206:H206"/>
    <mergeCell ref="B207:H207"/>
    <mergeCell ref="B209:I209"/>
    <mergeCell ref="B210:I210"/>
    <mergeCell ref="B211:I211"/>
    <mergeCell ref="B212:H212"/>
    <mergeCell ref="B200:I200"/>
    <mergeCell ref="B201:I201"/>
    <mergeCell ref="B202:I202"/>
    <mergeCell ref="B203:I203"/>
    <mergeCell ref="B204:I204"/>
    <mergeCell ref="B205:I205"/>
    <mergeCell ref="B190:I190"/>
    <mergeCell ref="B191:H191"/>
    <mergeCell ref="B194:I194"/>
    <mergeCell ref="B196:I196"/>
    <mergeCell ref="B197:H197"/>
    <mergeCell ref="B198:H198"/>
    <mergeCell ref="B183:I183"/>
    <mergeCell ref="B184:I184"/>
    <mergeCell ref="B185:H185"/>
    <mergeCell ref="B186:H186"/>
    <mergeCell ref="B188:I188"/>
    <mergeCell ref="B189:I189"/>
    <mergeCell ref="B176:H176"/>
    <mergeCell ref="B177:H177"/>
    <mergeCell ref="B179:I179"/>
    <mergeCell ref="B180:I180"/>
    <mergeCell ref="B181:I181"/>
    <mergeCell ref="B182:I182"/>
    <mergeCell ref="B168:I168"/>
    <mergeCell ref="B169:I169"/>
    <mergeCell ref="D170:G170"/>
    <mergeCell ref="D171:G171"/>
    <mergeCell ref="D172:G172"/>
    <mergeCell ref="B175:I175"/>
    <mergeCell ref="B161:I161"/>
    <mergeCell ref="B162:I162"/>
    <mergeCell ref="B163:I163"/>
    <mergeCell ref="B164:H164"/>
    <mergeCell ref="B165:H165"/>
    <mergeCell ref="B167:I167"/>
    <mergeCell ref="B155:I155"/>
    <mergeCell ref="B156:I156"/>
    <mergeCell ref="B157:I157"/>
    <mergeCell ref="B158:I158"/>
    <mergeCell ref="B159:I159"/>
    <mergeCell ref="B160:I160"/>
    <mergeCell ref="D146:G146"/>
    <mergeCell ref="D147:G147"/>
    <mergeCell ref="D148:G148"/>
    <mergeCell ref="B151:I151"/>
    <mergeCell ref="B152:H152"/>
    <mergeCell ref="B153:H153"/>
    <mergeCell ref="B139:I139"/>
    <mergeCell ref="B140:H140"/>
    <mergeCell ref="B141:H141"/>
    <mergeCell ref="B143:I143"/>
    <mergeCell ref="B144:I144"/>
    <mergeCell ref="B145:I145"/>
    <mergeCell ref="B133:I133"/>
    <mergeCell ref="B134:I134"/>
    <mergeCell ref="B135:I135"/>
    <mergeCell ref="B136:I136"/>
    <mergeCell ref="B137:I137"/>
    <mergeCell ref="B138:I138"/>
    <mergeCell ref="B127:I127"/>
    <mergeCell ref="B128:I128"/>
    <mergeCell ref="B129:I129"/>
    <mergeCell ref="B131:I131"/>
    <mergeCell ref="B132:I132"/>
    <mergeCell ref="B116:H116"/>
    <mergeCell ref="B117:I117"/>
    <mergeCell ref="B120:I120"/>
    <mergeCell ref="B122:I122"/>
    <mergeCell ref="B124:I124"/>
    <mergeCell ref="B125:I125"/>
    <mergeCell ref="B113:I113"/>
    <mergeCell ref="C115:H115"/>
    <mergeCell ref="B106:E106"/>
    <mergeCell ref="F106:H106"/>
    <mergeCell ref="B107:E107"/>
    <mergeCell ref="F107:H107"/>
    <mergeCell ref="B108:G108"/>
    <mergeCell ref="B109:G109"/>
    <mergeCell ref="B126:I126"/>
    <mergeCell ref="B100:I100"/>
    <mergeCell ref="E101:G101"/>
    <mergeCell ref="B102:H102"/>
    <mergeCell ref="B103:G103"/>
    <mergeCell ref="I103:I104"/>
    <mergeCell ref="C105:I105"/>
    <mergeCell ref="B110:D110"/>
    <mergeCell ref="E110:G110"/>
    <mergeCell ref="B111:D111"/>
    <mergeCell ref="E111:G111"/>
  </mergeCells>
  <conditionalFormatting sqref="H109">
    <cfRule type="expression" dxfId="5" priority="2" stopIfTrue="1">
      <formula>D91="OFI"</formula>
    </cfRule>
  </conditionalFormatting>
  <conditionalFormatting sqref="C105:I105">
    <cfRule type="expression" dxfId="4" priority="4" stopIfTrue="1">
      <formula>LEFT(C105,4)="info"</formula>
    </cfRule>
  </conditionalFormatting>
  <conditionalFormatting sqref="B120:I120 B122:I122 B124:I124 B129:I129">
    <cfRule type="expression" dxfId="3" priority="5" stopIfTrue="1">
      <formula>LEFT(B120,18)="REFERENCE SELECTED"</formula>
    </cfRule>
  </conditionalFormatting>
  <conditionalFormatting sqref="I115">
    <cfRule type="expression" dxfId="2" priority="10" stopIfTrue="1">
      <formula>Joint?</formula>
    </cfRule>
  </conditionalFormatting>
  <conditionalFormatting sqref="I116">
    <cfRule type="expression" dxfId="1" priority="11" stopIfTrue="1">
      <formula>Joint?</formula>
    </cfRule>
  </conditionalFormatting>
  <conditionalFormatting sqref="H111">
    <cfRule type="expression" dxfId="0" priority="1" stopIfTrue="1">
      <formula>D91="OFI"</formula>
    </cfRule>
  </conditionalFormatting>
  <dataValidations count="6">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D170:D172 D146:D148">
      <formula1>EvalOptions</formula1>
    </dataValidation>
    <dataValidation type="list" allowBlank="1" showInputMessage="1" showErrorMessage="1" sqref="B191:H191 B212:H212">
      <formula1>ReviewOptions</formula1>
    </dataValidation>
    <dataValidation type="list" allowBlank="1" showInputMessage="1" showErrorMessage="1" sqref="E224">
      <formula1>$C$97:$C$98</formula1>
    </dataValidation>
    <dataValidation allowBlank="1" showInputMessage="1" showErrorMessage="1" sqref="B103: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1054745"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1054745" r:id="rId4" name="CheckBox15"/>
      </mc:Fallback>
    </mc:AlternateContent>
    <mc:AlternateContent xmlns:mc="http://schemas.openxmlformats.org/markup-compatibility/2006">
      <mc:Choice Requires="x14">
        <control shapeId="1054744"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1054744" r:id="rId6" name="CheckBox14"/>
      </mc:Fallback>
    </mc:AlternateContent>
    <mc:AlternateContent xmlns:mc="http://schemas.openxmlformats.org/markup-compatibility/2006">
      <mc:Choice Requires="x14">
        <control shapeId="1054743"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1054743" r:id="rId8" name="CheckBox13"/>
      </mc:Fallback>
    </mc:AlternateContent>
    <mc:AlternateContent xmlns:mc="http://schemas.openxmlformats.org/markup-compatibility/2006">
      <mc:Choice Requires="x14">
        <control shapeId="1054742"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1054742" r:id="rId10" name="CheckBox24"/>
      </mc:Fallback>
    </mc:AlternateContent>
    <mc:AlternateContent xmlns:mc="http://schemas.openxmlformats.org/markup-compatibility/2006">
      <mc:Choice Requires="x14">
        <control shapeId="1054741"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1054741" r:id="rId12" name="CheckBox23"/>
      </mc:Fallback>
    </mc:AlternateContent>
    <mc:AlternateContent xmlns:mc="http://schemas.openxmlformats.org/markup-compatibility/2006">
      <mc:Choice Requires="x14">
        <control shapeId="1054740"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1054740" r:id="rId14" name="CheckBox22"/>
      </mc:Fallback>
    </mc:AlternateContent>
    <mc:AlternateContent xmlns:mc="http://schemas.openxmlformats.org/markup-compatibility/2006">
      <mc:Choice Requires="x14">
        <control shapeId="1054739"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1054739" r:id="rId16" name="CheckBox21"/>
      </mc:Fallback>
    </mc:AlternateContent>
    <mc:AlternateContent xmlns:mc="http://schemas.openxmlformats.org/markup-compatibility/2006">
      <mc:Choice Requires="x14">
        <control shapeId="1054738"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1054738" r:id="rId18" name="CheckBox20"/>
      </mc:Fallback>
    </mc:AlternateContent>
    <mc:AlternateContent xmlns:mc="http://schemas.openxmlformats.org/markup-compatibility/2006">
      <mc:Choice Requires="x14">
        <control shapeId="1054737"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1054737" r:id="rId20" name="CheckBox19"/>
      </mc:Fallback>
    </mc:AlternateContent>
    <mc:AlternateContent xmlns:mc="http://schemas.openxmlformats.org/markup-compatibility/2006">
      <mc:Choice Requires="x14">
        <control shapeId="1054736"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1054736" r:id="rId22" name="CheckBox18"/>
      </mc:Fallback>
    </mc:AlternateContent>
    <mc:AlternateContent xmlns:mc="http://schemas.openxmlformats.org/markup-compatibility/2006">
      <mc:Choice Requires="x14">
        <control shapeId="1054735"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1054735" r:id="rId24" name="CheckBox17"/>
      </mc:Fallback>
    </mc:AlternateContent>
    <mc:AlternateContent xmlns:mc="http://schemas.openxmlformats.org/markup-compatibility/2006">
      <mc:Choice Requires="x14">
        <control shapeId="1054734"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1054734" r:id="rId26" name="CheckBox16"/>
      </mc:Fallback>
    </mc:AlternateContent>
    <mc:AlternateContent xmlns:mc="http://schemas.openxmlformats.org/markup-compatibility/2006">
      <mc:Choice Requires="x14">
        <control shapeId="1054733"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1054733" r:id="rId28" name="CheckBox12"/>
      </mc:Fallback>
    </mc:AlternateContent>
    <mc:AlternateContent xmlns:mc="http://schemas.openxmlformats.org/markup-compatibility/2006">
      <mc:Choice Requires="x14">
        <control shapeId="1054732"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1054732" r:id="rId30" name="CheckBox11"/>
      </mc:Fallback>
    </mc:AlternateContent>
    <mc:AlternateContent xmlns:mc="http://schemas.openxmlformats.org/markup-compatibility/2006">
      <mc:Choice Requires="x14">
        <control shapeId="1054731"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1054731" r:id="rId32" name="CheckBox4"/>
      </mc:Fallback>
    </mc:AlternateContent>
    <mc:AlternateContent xmlns:mc="http://schemas.openxmlformats.org/markup-compatibility/2006">
      <mc:Choice Requires="x14">
        <control shapeId="1054730"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1054730" r:id="rId34" name="CheckBox3"/>
      </mc:Fallback>
    </mc:AlternateContent>
    <mc:AlternateContent xmlns:mc="http://schemas.openxmlformats.org/markup-compatibility/2006">
      <mc:Choice Requires="x14">
        <control shapeId="1054729"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1054729" r:id="rId36" name="CheckBox2"/>
      </mc:Fallback>
    </mc:AlternateContent>
    <mc:AlternateContent xmlns:mc="http://schemas.openxmlformats.org/markup-compatibility/2006">
      <mc:Choice Requires="x14">
        <control shapeId="1054728"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1054728" r:id="rId38" name="CheckBox1"/>
      </mc:Fallback>
    </mc:AlternateContent>
    <mc:AlternateContent xmlns:mc="http://schemas.openxmlformats.org/markup-compatibility/2006">
      <mc:Choice Requires="x14">
        <control shapeId="1054727"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1054727" r:id="rId40" name="CheckBox10"/>
      </mc:Fallback>
    </mc:AlternateContent>
    <mc:AlternateContent xmlns:mc="http://schemas.openxmlformats.org/markup-compatibility/2006">
      <mc:Choice Requires="x14">
        <control shapeId="1054726"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1054726" r:id="rId42" name="CheckBox9"/>
      </mc:Fallback>
    </mc:AlternateContent>
    <mc:AlternateContent xmlns:mc="http://schemas.openxmlformats.org/markup-compatibility/2006">
      <mc:Choice Requires="x14">
        <control shapeId="1054725"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1054725" r:id="rId44" name="CheckBox8"/>
      </mc:Fallback>
    </mc:AlternateContent>
    <mc:AlternateContent xmlns:mc="http://schemas.openxmlformats.org/markup-compatibility/2006">
      <mc:Choice Requires="x14">
        <control shapeId="1054724"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1054724" r:id="rId46" name="CheckBox7"/>
      </mc:Fallback>
    </mc:AlternateContent>
    <mc:AlternateContent xmlns:mc="http://schemas.openxmlformats.org/markup-compatibility/2006">
      <mc:Choice Requires="x14">
        <control shapeId="1054723"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1054723" r:id="rId48" name="CheckBox6"/>
      </mc:Fallback>
    </mc:AlternateContent>
    <mc:AlternateContent xmlns:mc="http://schemas.openxmlformats.org/markup-compatibility/2006">
      <mc:Choice Requires="x14">
        <control shapeId="1054722"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1054722" r:id="rId50" name="CheckBox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2" bestFit="1" customWidth="1"/>
    <col min="21" max="21" width="56.109375" customWidth="1"/>
  </cols>
  <sheetData>
    <row r="1" spans="1:21">
      <c r="A1" s="24">
        <v>1</v>
      </c>
      <c r="B1" s="24">
        <v>0</v>
      </c>
      <c r="C1" s="24">
        <v>1</v>
      </c>
      <c r="D1" s="24">
        <v>20</v>
      </c>
      <c r="T1" s="99">
        <v>20</v>
      </c>
    </row>
    <row r="2" spans="1:21">
      <c r="A2" s="23" t="s">
        <v>131</v>
      </c>
      <c r="B2" s="23" t="s">
        <v>106</v>
      </c>
      <c r="C2" s="23" t="s">
        <v>112</v>
      </c>
      <c r="D2" s="23" t="s">
        <v>120</v>
      </c>
      <c r="E2" s="23" t="s">
        <v>142</v>
      </c>
      <c r="F2" s="23" t="s">
        <v>143</v>
      </c>
      <c r="G2" s="23" t="s">
        <v>90</v>
      </c>
      <c r="H2" s="23" t="s">
        <v>95</v>
      </c>
      <c r="I2" s="22" t="s">
        <v>107</v>
      </c>
      <c r="J2" s="23" t="s">
        <v>106</v>
      </c>
      <c r="K2" s="23" t="s">
        <v>123</v>
      </c>
      <c r="L2" s="22" t="s">
        <v>99</v>
      </c>
      <c r="M2" s="22" t="s">
        <v>124</v>
      </c>
      <c r="N2" s="22" t="s">
        <v>100</v>
      </c>
      <c r="O2" s="22" t="s">
        <v>125</v>
      </c>
      <c r="P2" s="22" t="s">
        <v>101</v>
      </c>
      <c r="Q2" s="22" t="s">
        <v>1</v>
      </c>
      <c r="R2" s="22" t="s">
        <v>2</v>
      </c>
      <c r="S2" s="22" t="s">
        <v>6</v>
      </c>
      <c r="T2" s="23" t="s">
        <v>43</v>
      </c>
      <c r="U2" s="23" t="s">
        <v>145</v>
      </c>
    </row>
    <row r="3" spans="1:21">
      <c r="A3" s="21" t="s">
        <v>15</v>
      </c>
      <c r="B3" s="21" t="s">
        <v>207</v>
      </c>
      <c r="C3" s="21" t="s">
        <v>168</v>
      </c>
      <c r="D3" s="21">
        <v>2013</v>
      </c>
      <c r="E3" s="21" t="s">
        <v>208</v>
      </c>
      <c r="F3" s="21" t="s">
        <v>209</v>
      </c>
      <c r="G3" s="21" t="s">
        <v>210</v>
      </c>
      <c r="H3" s="21" t="s">
        <v>132</v>
      </c>
      <c r="I3" s="25" t="s">
        <v>211</v>
      </c>
      <c r="J3" s="21" t="s">
        <v>98</v>
      </c>
      <c r="K3" s="25" t="s">
        <v>66</v>
      </c>
      <c r="L3" s="25" t="s">
        <v>21</v>
      </c>
      <c r="M3" s="25" t="s">
        <v>59</v>
      </c>
      <c r="N3" s="25" t="s">
        <v>59</v>
      </c>
      <c r="O3" s="25" t="s">
        <v>59</v>
      </c>
      <c r="P3" s="25" t="s">
        <v>59</v>
      </c>
      <c r="Q3" s="25" t="s">
        <v>205</v>
      </c>
      <c r="R3" s="25" t="s">
        <v>59</v>
      </c>
      <c r="S3" s="25" t="s">
        <v>206</v>
      </c>
      <c r="T3" s="88" t="s">
        <v>212</v>
      </c>
      <c r="U3" s="25" t="s">
        <v>213</v>
      </c>
    </row>
    <row r="4" spans="1:21">
      <c r="A4" s="21" t="s">
        <v>34</v>
      </c>
      <c r="B4" s="21" t="s">
        <v>59</v>
      </c>
      <c r="C4" s="21" t="s">
        <v>59</v>
      </c>
      <c r="D4" s="21" t="s">
        <v>59</v>
      </c>
      <c r="E4" s="21" t="s">
        <v>59</v>
      </c>
      <c r="F4" s="21" t="s">
        <v>59</v>
      </c>
      <c r="G4" s="21" t="s">
        <v>59</v>
      </c>
      <c r="H4" s="21" t="s">
        <v>59</v>
      </c>
      <c r="I4" s="25" t="s">
        <v>59</v>
      </c>
      <c r="J4" s="21" t="s">
        <v>59</v>
      </c>
      <c r="K4" s="25" t="s">
        <v>59</v>
      </c>
      <c r="L4" s="25" t="s">
        <v>59</v>
      </c>
      <c r="M4" s="25" t="s">
        <v>59</v>
      </c>
      <c r="N4" s="25" t="s">
        <v>59</v>
      </c>
      <c r="O4" s="25" t="s">
        <v>59</v>
      </c>
      <c r="P4" s="25" t="s">
        <v>59</v>
      </c>
      <c r="Q4" s="25" t="s">
        <v>59</v>
      </c>
      <c r="R4" s="25" t="s">
        <v>59</v>
      </c>
      <c r="S4" s="25" t="s">
        <v>59</v>
      </c>
      <c r="T4" s="88" t="s">
        <v>59</v>
      </c>
      <c r="U4" s="25" t="s">
        <v>59</v>
      </c>
    </row>
    <row r="5" spans="1:21">
      <c r="A5" s="21" t="s">
        <v>34</v>
      </c>
      <c r="B5" s="21" t="s">
        <v>59</v>
      </c>
      <c r="C5" s="21" t="s">
        <v>59</v>
      </c>
      <c r="D5" s="21" t="s">
        <v>59</v>
      </c>
      <c r="E5" s="21" t="s">
        <v>59</v>
      </c>
      <c r="F5" s="21" t="s">
        <v>59</v>
      </c>
      <c r="G5" s="21" t="s">
        <v>59</v>
      </c>
      <c r="H5" s="21" t="s">
        <v>59</v>
      </c>
      <c r="I5" s="25" t="s">
        <v>59</v>
      </c>
      <c r="J5" s="21" t="s">
        <v>59</v>
      </c>
      <c r="K5" s="25" t="s">
        <v>59</v>
      </c>
      <c r="L5" s="25" t="s">
        <v>59</v>
      </c>
      <c r="M5" s="25" t="s">
        <v>59</v>
      </c>
      <c r="N5" s="25" t="s">
        <v>59</v>
      </c>
      <c r="O5" s="25" t="s">
        <v>59</v>
      </c>
      <c r="P5" s="25" t="s">
        <v>59</v>
      </c>
      <c r="Q5" s="25" t="s">
        <v>59</v>
      </c>
      <c r="R5" s="25" t="s">
        <v>59</v>
      </c>
      <c r="S5" s="25" t="s">
        <v>59</v>
      </c>
      <c r="T5" s="88" t="s">
        <v>59</v>
      </c>
      <c r="U5" s="25" t="s">
        <v>59</v>
      </c>
    </row>
    <row r="6" spans="1:21">
      <c r="A6" s="21" t="s">
        <v>34</v>
      </c>
      <c r="B6" s="21" t="s">
        <v>59</v>
      </c>
      <c r="C6" s="21" t="s">
        <v>59</v>
      </c>
      <c r="D6" s="21" t="s">
        <v>59</v>
      </c>
      <c r="E6" s="21" t="s">
        <v>59</v>
      </c>
      <c r="F6" s="21" t="s">
        <v>59</v>
      </c>
      <c r="G6" s="21" t="s">
        <v>59</v>
      </c>
      <c r="H6" s="21" t="s">
        <v>59</v>
      </c>
      <c r="I6" s="25" t="s">
        <v>59</v>
      </c>
      <c r="J6" s="21" t="s">
        <v>59</v>
      </c>
      <c r="K6" s="25" t="s">
        <v>59</v>
      </c>
      <c r="L6" s="25" t="s">
        <v>59</v>
      </c>
      <c r="M6" s="25" t="s">
        <v>59</v>
      </c>
      <c r="N6" s="25" t="s">
        <v>59</v>
      </c>
      <c r="O6" s="25" t="s">
        <v>59</v>
      </c>
      <c r="P6" s="25" t="s">
        <v>59</v>
      </c>
      <c r="Q6" s="25" t="s">
        <v>59</v>
      </c>
      <c r="R6" s="25" t="s">
        <v>59</v>
      </c>
      <c r="S6" s="25" t="s">
        <v>59</v>
      </c>
      <c r="T6" s="88" t="s">
        <v>59</v>
      </c>
      <c r="U6" s="25" t="s">
        <v>59</v>
      </c>
    </row>
    <row r="7" spans="1:21">
      <c r="A7" s="21" t="s">
        <v>34</v>
      </c>
      <c r="B7" s="21" t="s">
        <v>59</v>
      </c>
      <c r="C7" s="21" t="s">
        <v>59</v>
      </c>
      <c r="D7" s="21" t="s">
        <v>59</v>
      </c>
      <c r="E7" s="21" t="s">
        <v>59</v>
      </c>
      <c r="F7" s="21" t="s">
        <v>59</v>
      </c>
      <c r="G7" s="21" t="s">
        <v>59</v>
      </c>
      <c r="H7" s="21" t="s">
        <v>59</v>
      </c>
      <c r="I7" s="25" t="s">
        <v>59</v>
      </c>
      <c r="J7" s="21" t="s">
        <v>59</v>
      </c>
      <c r="K7" s="25" t="s">
        <v>59</v>
      </c>
      <c r="L7" s="25" t="s">
        <v>59</v>
      </c>
      <c r="M7" s="25" t="s">
        <v>59</v>
      </c>
      <c r="N7" s="25" t="s">
        <v>59</v>
      </c>
      <c r="O7" s="25" t="s">
        <v>59</v>
      </c>
      <c r="P7" s="25" t="s">
        <v>59</v>
      </c>
      <c r="Q7" s="25" t="s">
        <v>59</v>
      </c>
      <c r="R7" s="25" t="s">
        <v>59</v>
      </c>
      <c r="S7" s="25" t="s">
        <v>59</v>
      </c>
      <c r="T7" s="88" t="s">
        <v>59</v>
      </c>
      <c r="U7" s="25" t="s">
        <v>59</v>
      </c>
    </row>
    <row r="8" spans="1:21">
      <c r="A8" s="21" t="s">
        <v>34</v>
      </c>
      <c r="B8" s="21" t="s">
        <v>59</v>
      </c>
      <c r="C8" s="21" t="s">
        <v>59</v>
      </c>
      <c r="D8" s="21" t="s">
        <v>59</v>
      </c>
      <c r="E8" s="21" t="s">
        <v>59</v>
      </c>
      <c r="F8" s="21" t="s">
        <v>59</v>
      </c>
      <c r="G8" s="21" t="s">
        <v>59</v>
      </c>
      <c r="H8" s="21" t="s">
        <v>59</v>
      </c>
      <c r="I8" s="25" t="s">
        <v>59</v>
      </c>
      <c r="J8" s="21" t="s">
        <v>59</v>
      </c>
      <c r="K8" s="25" t="s">
        <v>59</v>
      </c>
      <c r="L8" s="25" t="s">
        <v>59</v>
      </c>
      <c r="M8" s="25" t="s">
        <v>59</v>
      </c>
      <c r="N8" s="25" t="s">
        <v>59</v>
      </c>
      <c r="O8" s="25" t="s">
        <v>59</v>
      </c>
      <c r="P8" s="25" t="s">
        <v>59</v>
      </c>
      <c r="Q8" s="25" t="s">
        <v>59</v>
      </c>
      <c r="R8" s="25" t="s">
        <v>59</v>
      </c>
      <c r="S8" s="25" t="s">
        <v>59</v>
      </c>
      <c r="T8" s="88" t="s">
        <v>59</v>
      </c>
      <c r="U8" s="25" t="s">
        <v>59</v>
      </c>
    </row>
    <row r="9" spans="1:21">
      <c r="A9" s="21" t="s">
        <v>34</v>
      </c>
      <c r="B9" s="21" t="s">
        <v>59</v>
      </c>
      <c r="C9" s="21" t="s">
        <v>59</v>
      </c>
      <c r="D9" s="21" t="s">
        <v>59</v>
      </c>
      <c r="E9" s="21" t="s">
        <v>59</v>
      </c>
      <c r="F9" s="21" t="s">
        <v>59</v>
      </c>
      <c r="G9" s="21" t="s">
        <v>59</v>
      </c>
      <c r="H9" s="21" t="s">
        <v>59</v>
      </c>
      <c r="I9" s="25" t="s">
        <v>59</v>
      </c>
      <c r="J9" s="21" t="s">
        <v>59</v>
      </c>
      <c r="K9" s="25" t="s">
        <v>59</v>
      </c>
      <c r="L9" s="25" t="s">
        <v>59</v>
      </c>
      <c r="M9" s="25" t="s">
        <v>59</v>
      </c>
      <c r="N9" s="25" t="s">
        <v>59</v>
      </c>
      <c r="O9" s="25" t="s">
        <v>59</v>
      </c>
      <c r="P9" s="25" t="s">
        <v>59</v>
      </c>
      <c r="Q9" s="25" t="s">
        <v>59</v>
      </c>
      <c r="R9" s="25" t="s">
        <v>59</v>
      </c>
      <c r="S9" s="25" t="s">
        <v>59</v>
      </c>
      <c r="T9" s="88" t="s">
        <v>59</v>
      </c>
      <c r="U9" s="25" t="s">
        <v>59</v>
      </c>
    </row>
    <row r="10" spans="1:21">
      <c r="A10" s="21" t="s">
        <v>34</v>
      </c>
      <c r="B10" s="21" t="s">
        <v>59</v>
      </c>
      <c r="C10" s="21" t="s">
        <v>59</v>
      </c>
      <c r="D10" s="21" t="s">
        <v>59</v>
      </c>
      <c r="E10" s="21" t="s">
        <v>59</v>
      </c>
      <c r="F10" s="21" t="s">
        <v>59</v>
      </c>
      <c r="G10" s="21" t="s">
        <v>59</v>
      </c>
      <c r="H10" s="21" t="s">
        <v>59</v>
      </c>
      <c r="I10" s="25" t="s">
        <v>59</v>
      </c>
      <c r="J10" s="21" t="s">
        <v>59</v>
      </c>
      <c r="K10" s="25" t="s">
        <v>59</v>
      </c>
      <c r="L10" s="25" t="s">
        <v>59</v>
      </c>
      <c r="M10" s="25" t="s">
        <v>59</v>
      </c>
      <c r="N10" s="25" t="s">
        <v>59</v>
      </c>
      <c r="O10" s="25" t="s">
        <v>59</v>
      </c>
      <c r="P10" s="25" t="s">
        <v>59</v>
      </c>
      <c r="Q10" s="25" t="s">
        <v>59</v>
      </c>
      <c r="R10" s="25" t="s">
        <v>59</v>
      </c>
      <c r="S10" s="25" t="s">
        <v>59</v>
      </c>
      <c r="T10" s="88" t="s">
        <v>59</v>
      </c>
      <c r="U10" s="25" t="s">
        <v>59</v>
      </c>
    </row>
    <row r="11" spans="1:21">
      <c r="A11" s="21" t="s">
        <v>34</v>
      </c>
      <c r="B11" s="21" t="s">
        <v>59</v>
      </c>
      <c r="C11" s="21" t="s">
        <v>59</v>
      </c>
      <c r="D11" s="21" t="s">
        <v>59</v>
      </c>
      <c r="E11" s="21" t="s">
        <v>59</v>
      </c>
      <c r="F11" s="21" t="s">
        <v>59</v>
      </c>
      <c r="G11" s="21" t="s">
        <v>59</v>
      </c>
      <c r="H11" s="21" t="s">
        <v>59</v>
      </c>
      <c r="I11" s="25" t="s">
        <v>59</v>
      </c>
      <c r="J11" s="21" t="s">
        <v>59</v>
      </c>
      <c r="K11" s="25" t="s">
        <v>59</v>
      </c>
      <c r="L11" s="25" t="s">
        <v>59</v>
      </c>
      <c r="M11" s="25" t="s">
        <v>59</v>
      </c>
      <c r="N11" s="25" t="s">
        <v>59</v>
      </c>
      <c r="O11" s="25" t="s">
        <v>59</v>
      </c>
      <c r="P11" s="25" t="s">
        <v>59</v>
      </c>
      <c r="Q11" s="25" t="s">
        <v>59</v>
      </c>
      <c r="R11" s="25" t="s">
        <v>59</v>
      </c>
      <c r="S11" s="25" t="s">
        <v>59</v>
      </c>
      <c r="T11" s="88" t="s">
        <v>59</v>
      </c>
      <c r="U11" s="25" t="s">
        <v>59</v>
      </c>
    </row>
    <row r="12" spans="1:21">
      <c r="A12" s="21" t="s">
        <v>34</v>
      </c>
      <c r="B12" s="21" t="s">
        <v>59</v>
      </c>
      <c r="C12" s="21" t="s">
        <v>59</v>
      </c>
      <c r="D12" s="21" t="s">
        <v>59</v>
      </c>
      <c r="E12" s="21" t="s">
        <v>59</v>
      </c>
      <c r="F12" s="21" t="s">
        <v>59</v>
      </c>
      <c r="G12" s="21" t="s">
        <v>59</v>
      </c>
      <c r="H12" s="21" t="s">
        <v>59</v>
      </c>
      <c r="I12" s="25" t="s">
        <v>59</v>
      </c>
      <c r="J12" s="21" t="s">
        <v>59</v>
      </c>
      <c r="K12" s="25" t="s">
        <v>59</v>
      </c>
      <c r="L12" s="25" t="s">
        <v>59</v>
      </c>
      <c r="M12" s="25" t="s">
        <v>59</v>
      </c>
      <c r="N12" s="25" t="s">
        <v>59</v>
      </c>
      <c r="O12" s="25" t="s">
        <v>59</v>
      </c>
      <c r="P12" s="25" t="s">
        <v>59</v>
      </c>
      <c r="Q12" s="25" t="s">
        <v>59</v>
      </c>
      <c r="R12" s="25" t="s">
        <v>59</v>
      </c>
      <c r="S12" s="25" t="s">
        <v>59</v>
      </c>
      <c r="T12" s="88" t="s">
        <v>59</v>
      </c>
      <c r="U12" s="25" t="s">
        <v>59</v>
      </c>
    </row>
    <row r="13" spans="1:21">
      <c r="A13" s="21" t="s">
        <v>34</v>
      </c>
      <c r="B13" s="21" t="s">
        <v>59</v>
      </c>
      <c r="C13" s="21" t="s">
        <v>59</v>
      </c>
      <c r="D13" s="21" t="s">
        <v>59</v>
      </c>
      <c r="E13" s="21" t="s">
        <v>59</v>
      </c>
      <c r="F13" s="21" t="s">
        <v>59</v>
      </c>
      <c r="G13" s="21" t="s">
        <v>59</v>
      </c>
      <c r="H13" s="21" t="s">
        <v>59</v>
      </c>
      <c r="I13" s="25" t="s">
        <v>59</v>
      </c>
      <c r="J13" s="21" t="s">
        <v>59</v>
      </c>
      <c r="K13" s="25" t="s">
        <v>59</v>
      </c>
      <c r="L13" s="25" t="s">
        <v>59</v>
      </c>
      <c r="M13" s="25" t="s">
        <v>59</v>
      </c>
      <c r="N13" s="25" t="s">
        <v>59</v>
      </c>
      <c r="O13" s="25" t="s">
        <v>59</v>
      </c>
      <c r="P13" s="25" t="s">
        <v>59</v>
      </c>
      <c r="Q13" s="25" t="s">
        <v>59</v>
      </c>
      <c r="R13" s="25" t="s">
        <v>59</v>
      </c>
      <c r="S13" s="25" t="s">
        <v>59</v>
      </c>
      <c r="T13" s="88" t="s">
        <v>59</v>
      </c>
      <c r="U13" s="25" t="s">
        <v>59</v>
      </c>
    </row>
    <row r="14" spans="1:21">
      <c r="A14" s="21" t="s">
        <v>34</v>
      </c>
      <c r="B14" s="21" t="s">
        <v>59</v>
      </c>
      <c r="C14" s="21" t="s">
        <v>59</v>
      </c>
      <c r="D14" s="21" t="s">
        <v>59</v>
      </c>
      <c r="E14" s="21" t="s">
        <v>59</v>
      </c>
      <c r="F14" s="21" t="s">
        <v>59</v>
      </c>
      <c r="G14" s="21" t="s">
        <v>59</v>
      </c>
      <c r="H14" s="21" t="s">
        <v>59</v>
      </c>
      <c r="I14" s="25" t="s">
        <v>59</v>
      </c>
      <c r="J14" s="21" t="s">
        <v>59</v>
      </c>
      <c r="K14" s="25" t="s">
        <v>59</v>
      </c>
      <c r="L14" s="25" t="s">
        <v>59</v>
      </c>
      <c r="M14" s="25" t="s">
        <v>59</v>
      </c>
      <c r="N14" s="25" t="s">
        <v>59</v>
      </c>
      <c r="O14" s="25" t="s">
        <v>59</v>
      </c>
      <c r="P14" s="25" t="s">
        <v>59</v>
      </c>
      <c r="Q14" s="25" t="s">
        <v>59</v>
      </c>
      <c r="R14" s="25" t="s">
        <v>59</v>
      </c>
      <c r="S14" s="25" t="s">
        <v>59</v>
      </c>
      <c r="T14" s="88" t="s">
        <v>59</v>
      </c>
      <c r="U14" s="25" t="s">
        <v>59</v>
      </c>
    </row>
    <row r="15" spans="1:21">
      <c r="A15" s="21" t="s">
        <v>34</v>
      </c>
      <c r="B15" s="21" t="s">
        <v>59</v>
      </c>
      <c r="C15" s="21" t="s">
        <v>59</v>
      </c>
      <c r="D15" s="21" t="s">
        <v>59</v>
      </c>
      <c r="E15" s="21" t="s">
        <v>59</v>
      </c>
      <c r="F15" s="21" t="s">
        <v>59</v>
      </c>
      <c r="G15" s="21" t="s">
        <v>59</v>
      </c>
      <c r="H15" s="21" t="s">
        <v>59</v>
      </c>
      <c r="I15" s="25" t="s">
        <v>59</v>
      </c>
      <c r="J15" s="21" t="s">
        <v>59</v>
      </c>
      <c r="K15" s="25" t="s">
        <v>59</v>
      </c>
      <c r="L15" s="25" t="s">
        <v>59</v>
      </c>
      <c r="M15" s="25" t="s">
        <v>59</v>
      </c>
      <c r="N15" s="25" t="s">
        <v>59</v>
      </c>
      <c r="O15" s="25" t="s">
        <v>59</v>
      </c>
      <c r="P15" s="25" t="s">
        <v>59</v>
      </c>
      <c r="Q15" s="25" t="s">
        <v>59</v>
      </c>
      <c r="R15" s="25" t="s">
        <v>59</v>
      </c>
      <c r="S15" s="25" t="s">
        <v>59</v>
      </c>
      <c r="T15" s="88" t="s">
        <v>59</v>
      </c>
      <c r="U15" s="25" t="s">
        <v>59</v>
      </c>
    </row>
    <row r="16" spans="1:21">
      <c r="A16" s="21" t="s">
        <v>34</v>
      </c>
      <c r="B16" s="21" t="s">
        <v>59</v>
      </c>
      <c r="C16" s="21" t="s">
        <v>59</v>
      </c>
      <c r="D16" s="21" t="s">
        <v>59</v>
      </c>
      <c r="E16" s="21" t="s">
        <v>59</v>
      </c>
      <c r="F16" s="21" t="s">
        <v>59</v>
      </c>
      <c r="G16" s="21" t="s">
        <v>59</v>
      </c>
      <c r="H16" s="21" t="s">
        <v>59</v>
      </c>
      <c r="I16" s="25" t="s">
        <v>59</v>
      </c>
      <c r="J16" s="21" t="s">
        <v>59</v>
      </c>
      <c r="K16" s="25" t="s">
        <v>59</v>
      </c>
      <c r="L16" s="25" t="s">
        <v>59</v>
      </c>
      <c r="M16" s="25" t="s">
        <v>59</v>
      </c>
      <c r="N16" s="25" t="s">
        <v>59</v>
      </c>
      <c r="O16" s="25" t="s">
        <v>59</v>
      </c>
      <c r="P16" s="25" t="s">
        <v>59</v>
      </c>
      <c r="Q16" s="25" t="s">
        <v>59</v>
      </c>
      <c r="R16" s="25" t="s">
        <v>59</v>
      </c>
      <c r="S16" s="25" t="s">
        <v>59</v>
      </c>
      <c r="T16" s="88" t="s">
        <v>59</v>
      </c>
      <c r="U16" s="25" t="s">
        <v>59</v>
      </c>
    </row>
    <row r="17" spans="1:21">
      <c r="A17" s="21" t="s">
        <v>34</v>
      </c>
      <c r="B17" s="21" t="s">
        <v>59</v>
      </c>
      <c r="C17" s="21" t="s">
        <v>59</v>
      </c>
      <c r="D17" s="21" t="s">
        <v>59</v>
      </c>
      <c r="E17" s="21" t="s">
        <v>59</v>
      </c>
      <c r="F17" s="21" t="s">
        <v>59</v>
      </c>
      <c r="G17" s="21" t="s">
        <v>59</v>
      </c>
      <c r="H17" s="21" t="s">
        <v>59</v>
      </c>
      <c r="I17" s="25" t="s">
        <v>59</v>
      </c>
      <c r="J17" s="21" t="s">
        <v>59</v>
      </c>
      <c r="K17" s="25" t="s">
        <v>59</v>
      </c>
      <c r="L17" s="25" t="s">
        <v>59</v>
      </c>
      <c r="M17" s="25" t="s">
        <v>59</v>
      </c>
      <c r="N17" s="25" t="s">
        <v>59</v>
      </c>
      <c r="O17" s="25" t="s">
        <v>59</v>
      </c>
      <c r="P17" s="25" t="s">
        <v>59</v>
      </c>
      <c r="Q17" s="25" t="s">
        <v>59</v>
      </c>
      <c r="R17" s="25" t="s">
        <v>59</v>
      </c>
      <c r="S17" s="25" t="s">
        <v>59</v>
      </c>
      <c r="T17" s="88" t="s">
        <v>59</v>
      </c>
      <c r="U17" s="25" t="s">
        <v>59</v>
      </c>
    </row>
    <row r="18" spans="1:21">
      <c r="A18" s="21" t="s">
        <v>34</v>
      </c>
      <c r="B18" s="21" t="s">
        <v>59</v>
      </c>
      <c r="C18" s="21" t="s">
        <v>59</v>
      </c>
      <c r="D18" s="21" t="s">
        <v>59</v>
      </c>
      <c r="E18" s="21" t="s">
        <v>59</v>
      </c>
      <c r="F18" s="21" t="s">
        <v>59</v>
      </c>
      <c r="G18" s="21" t="s">
        <v>59</v>
      </c>
      <c r="H18" s="21" t="s">
        <v>59</v>
      </c>
      <c r="I18" s="25" t="s">
        <v>59</v>
      </c>
      <c r="J18" s="21" t="s">
        <v>59</v>
      </c>
      <c r="K18" s="25" t="s">
        <v>59</v>
      </c>
      <c r="L18" s="25" t="s">
        <v>59</v>
      </c>
      <c r="M18" s="25" t="s">
        <v>59</v>
      </c>
      <c r="N18" s="25" t="s">
        <v>59</v>
      </c>
      <c r="O18" s="25" t="s">
        <v>59</v>
      </c>
      <c r="P18" s="25" t="s">
        <v>59</v>
      </c>
      <c r="Q18" s="25" t="s">
        <v>59</v>
      </c>
      <c r="R18" s="25" t="s">
        <v>59</v>
      </c>
      <c r="S18" s="25" t="s">
        <v>59</v>
      </c>
      <c r="T18" s="88" t="s">
        <v>59</v>
      </c>
      <c r="U18" s="25" t="s">
        <v>59</v>
      </c>
    </row>
    <row r="19" spans="1:21">
      <c r="A19" s="21" t="s">
        <v>34</v>
      </c>
      <c r="B19" s="21" t="s">
        <v>59</v>
      </c>
      <c r="C19" s="21" t="s">
        <v>59</v>
      </c>
      <c r="D19" s="21" t="s">
        <v>59</v>
      </c>
      <c r="E19" s="21" t="s">
        <v>59</v>
      </c>
      <c r="F19" s="21" t="s">
        <v>59</v>
      </c>
      <c r="G19" s="21" t="s">
        <v>59</v>
      </c>
      <c r="H19" s="21" t="s">
        <v>59</v>
      </c>
      <c r="I19" s="25" t="s">
        <v>59</v>
      </c>
      <c r="J19" s="21" t="s">
        <v>59</v>
      </c>
      <c r="K19" s="25" t="s">
        <v>59</v>
      </c>
      <c r="L19" s="25" t="s">
        <v>59</v>
      </c>
      <c r="M19" s="25" t="s">
        <v>59</v>
      </c>
      <c r="N19" s="25" t="s">
        <v>59</v>
      </c>
      <c r="O19" s="25" t="s">
        <v>59</v>
      </c>
      <c r="P19" s="25" t="s">
        <v>59</v>
      </c>
      <c r="Q19" s="25" t="s">
        <v>59</v>
      </c>
      <c r="R19" s="25" t="s">
        <v>59</v>
      </c>
      <c r="S19" s="25" t="s">
        <v>59</v>
      </c>
      <c r="T19" s="88" t="s">
        <v>59</v>
      </c>
      <c r="U19" s="25" t="s">
        <v>59</v>
      </c>
    </row>
    <row r="20" spans="1:21">
      <c r="A20" s="21" t="s">
        <v>34</v>
      </c>
      <c r="B20" s="21" t="s">
        <v>59</v>
      </c>
      <c r="C20" s="21" t="s">
        <v>59</v>
      </c>
      <c r="D20" s="21" t="s">
        <v>59</v>
      </c>
      <c r="E20" s="21" t="s">
        <v>59</v>
      </c>
      <c r="F20" s="21" t="s">
        <v>59</v>
      </c>
      <c r="G20" s="21" t="s">
        <v>59</v>
      </c>
      <c r="H20" s="21" t="s">
        <v>59</v>
      </c>
      <c r="I20" s="25" t="s">
        <v>59</v>
      </c>
      <c r="J20" s="21" t="s">
        <v>59</v>
      </c>
      <c r="K20" s="25" t="s">
        <v>59</v>
      </c>
      <c r="L20" s="25" t="s">
        <v>59</v>
      </c>
      <c r="M20" s="25" t="s">
        <v>59</v>
      </c>
      <c r="N20" s="25" t="s">
        <v>59</v>
      </c>
      <c r="O20" s="25" t="s">
        <v>59</v>
      </c>
      <c r="P20" s="25" t="s">
        <v>59</v>
      </c>
      <c r="Q20" s="25" t="s">
        <v>59</v>
      </c>
      <c r="R20" s="25" t="s">
        <v>59</v>
      </c>
      <c r="S20" s="25" t="s">
        <v>59</v>
      </c>
      <c r="T20" s="88" t="s">
        <v>59</v>
      </c>
      <c r="U20" s="25" t="s">
        <v>59</v>
      </c>
    </row>
    <row r="21" spans="1:21">
      <c r="A21" s="21" t="s">
        <v>34</v>
      </c>
      <c r="B21" s="21" t="s">
        <v>59</v>
      </c>
      <c r="C21" s="21" t="s">
        <v>59</v>
      </c>
      <c r="D21" s="21" t="s">
        <v>59</v>
      </c>
      <c r="E21" s="21" t="s">
        <v>59</v>
      </c>
      <c r="F21" s="21" t="s">
        <v>59</v>
      </c>
      <c r="G21" s="21" t="s">
        <v>59</v>
      </c>
      <c r="H21" s="21" t="s">
        <v>59</v>
      </c>
      <c r="I21" s="25" t="s">
        <v>59</v>
      </c>
      <c r="J21" s="21" t="s">
        <v>59</v>
      </c>
      <c r="K21" s="25" t="s">
        <v>59</v>
      </c>
      <c r="L21" s="25" t="s">
        <v>59</v>
      </c>
      <c r="M21" s="25" t="s">
        <v>59</v>
      </c>
      <c r="N21" s="25" t="s">
        <v>59</v>
      </c>
      <c r="O21" s="25" t="s">
        <v>59</v>
      </c>
      <c r="P21" s="25" t="s">
        <v>59</v>
      </c>
      <c r="Q21" s="25" t="s">
        <v>59</v>
      </c>
      <c r="R21" s="25" t="s">
        <v>59</v>
      </c>
      <c r="S21" s="25" t="s">
        <v>59</v>
      </c>
      <c r="T21" s="88" t="s">
        <v>59</v>
      </c>
      <c r="U21" s="25" t="s">
        <v>59</v>
      </c>
    </row>
    <row r="22" spans="1:21">
      <c r="A22" s="21" t="s">
        <v>34</v>
      </c>
      <c r="B22" s="21" t="s">
        <v>59</v>
      </c>
      <c r="C22" s="21" t="s">
        <v>59</v>
      </c>
      <c r="D22" s="21" t="s">
        <v>59</v>
      </c>
      <c r="E22" s="21" t="s">
        <v>59</v>
      </c>
      <c r="F22" s="21" t="s">
        <v>59</v>
      </c>
      <c r="G22" s="21" t="s">
        <v>59</v>
      </c>
      <c r="H22" s="21" t="s">
        <v>59</v>
      </c>
      <c r="I22" s="25" t="s">
        <v>59</v>
      </c>
      <c r="J22" s="21" t="s">
        <v>59</v>
      </c>
      <c r="K22" s="25" t="s">
        <v>59</v>
      </c>
      <c r="L22" s="25" t="s">
        <v>59</v>
      </c>
      <c r="M22" s="25" t="s">
        <v>59</v>
      </c>
      <c r="N22" s="25" t="s">
        <v>59</v>
      </c>
      <c r="O22" s="25" t="s">
        <v>59</v>
      </c>
      <c r="P22" s="25" t="s">
        <v>59</v>
      </c>
      <c r="Q22" s="25" t="s">
        <v>59</v>
      </c>
      <c r="R22" s="25" t="s">
        <v>59</v>
      </c>
      <c r="S22" s="25" t="s">
        <v>59</v>
      </c>
      <c r="T22" s="88" t="s">
        <v>59</v>
      </c>
      <c r="U22" s="25" t="s">
        <v>59</v>
      </c>
    </row>
    <row r="23" spans="1:21">
      <c r="A23" s="21" t="s">
        <v>34</v>
      </c>
      <c r="B23" s="21" t="s">
        <v>59</v>
      </c>
      <c r="C23" s="21" t="s">
        <v>59</v>
      </c>
      <c r="D23" s="21" t="s">
        <v>59</v>
      </c>
      <c r="E23" s="21" t="s">
        <v>59</v>
      </c>
      <c r="F23" s="21" t="s">
        <v>59</v>
      </c>
      <c r="G23" s="21" t="s">
        <v>59</v>
      </c>
      <c r="H23" s="21" t="s">
        <v>59</v>
      </c>
      <c r="I23" s="25" t="s">
        <v>59</v>
      </c>
      <c r="J23" s="21" t="s">
        <v>59</v>
      </c>
      <c r="K23" s="25" t="s">
        <v>59</v>
      </c>
      <c r="L23" s="25" t="s">
        <v>59</v>
      </c>
      <c r="M23" s="25" t="s">
        <v>59</v>
      </c>
      <c r="N23" s="25" t="s">
        <v>59</v>
      </c>
      <c r="O23" s="25" t="s">
        <v>59</v>
      </c>
      <c r="P23" s="25" t="s">
        <v>59</v>
      </c>
      <c r="Q23" s="25" t="s">
        <v>59</v>
      </c>
      <c r="R23" s="25" t="s">
        <v>59</v>
      </c>
      <c r="S23" s="25" t="s">
        <v>59</v>
      </c>
      <c r="T23" s="88" t="s">
        <v>59</v>
      </c>
      <c r="U23" s="25" t="s">
        <v>59</v>
      </c>
    </row>
    <row r="24" spans="1:21">
      <c r="A24" s="21" t="s">
        <v>34</v>
      </c>
      <c r="B24" s="21" t="s">
        <v>59</v>
      </c>
      <c r="C24" s="21" t="s">
        <v>59</v>
      </c>
      <c r="D24" s="21" t="s">
        <v>59</v>
      </c>
      <c r="E24" s="21" t="s">
        <v>59</v>
      </c>
      <c r="F24" s="21" t="s">
        <v>59</v>
      </c>
      <c r="G24" s="21" t="s">
        <v>59</v>
      </c>
      <c r="H24" s="21" t="s">
        <v>59</v>
      </c>
      <c r="I24" s="25" t="s">
        <v>59</v>
      </c>
      <c r="J24" s="21" t="s">
        <v>59</v>
      </c>
      <c r="K24" s="25" t="s">
        <v>59</v>
      </c>
      <c r="L24" s="25" t="s">
        <v>59</v>
      </c>
      <c r="M24" s="25" t="s">
        <v>59</v>
      </c>
      <c r="N24" s="25" t="s">
        <v>59</v>
      </c>
      <c r="O24" s="25" t="s">
        <v>59</v>
      </c>
      <c r="P24" s="25" t="s">
        <v>59</v>
      </c>
      <c r="Q24" s="25" t="s">
        <v>59</v>
      </c>
      <c r="R24" s="25" t="s">
        <v>59</v>
      </c>
      <c r="S24" s="25" t="s">
        <v>59</v>
      </c>
      <c r="T24" s="88" t="s">
        <v>59</v>
      </c>
      <c r="U24" s="25" t="s">
        <v>59</v>
      </c>
    </row>
    <row r="25" spans="1:21">
      <c r="A25" s="21" t="s">
        <v>34</v>
      </c>
      <c r="B25" s="21" t="s">
        <v>59</v>
      </c>
      <c r="C25" s="21" t="s">
        <v>59</v>
      </c>
      <c r="D25" s="21" t="s">
        <v>59</v>
      </c>
      <c r="E25" s="21" t="s">
        <v>59</v>
      </c>
      <c r="F25" s="21" t="s">
        <v>59</v>
      </c>
      <c r="G25" s="21" t="s">
        <v>59</v>
      </c>
      <c r="H25" s="21" t="s">
        <v>59</v>
      </c>
      <c r="I25" s="25" t="s">
        <v>59</v>
      </c>
      <c r="J25" s="21" t="s">
        <v>59</v>
      </c>
      <c r="K25" s="25" t="s">
        <v>59</v>
      </c>
      <c r="L25" s="25" t="s">
        <v>59</v>
      </c>
      <c r="M25" s="25" t="s">
        <v>59</v>
      </c>
      <c r="N25" s="25" t="s">
        <v>59</v>
      </c>
      <c r="O25" s="25" t="s">
        <v>59</v>
      </c>
      <c r="P25" s="25" t="s">
        <v>59</v>
      </c>
      <c r="Q25" s="25" t="s">
        <v>59</v>
      </c>
      <c r="R25" s="25" t="s">
        <v>59</v>
      </c>
      <c r="S25" s="25" t="s">
        <v>59</v>
      </c>
      <c r="T25" s="88" t="s">
        <v>59</v>
      </c>
      <c r="U25" s="25" t="s">
        <v>59</v>
      </c>
    </row>
    <row r="26" spans="1:21">
      <c r="A26" s="21" t="s">
        <v>34</v>
      </c>
      <c r="B26" s="21" t="s">
        <v>59</v>
      </c>
      <c r="C26" s="21" t="s">
        <v>59</v>
      </c>
      <c r="D26" s="21" t="s">
        <v>59</v>
      </c>
      <c r="E26" s="21" t="s">
        <v>59</v>
      </c>
      <c r="F26" s="21" t="s">
        <v>59</v>
      </c>
      <c r="G26" s="21" t="s">
        <v>59</v>
      </c>
      <c r="H26" s="21" t="s">
        <v>59</v>
      </c>
      <c r="I26" s="25" t="s">
        <v>59</v>
      </c>
      <c r="J26" s="21" t="s">
        <v>59</v>
      </c>
      <c r="K26" s="25" t="s">
        <v>59</v>
      </c>
      <c r="L26" s="25" t="s">
        <v>59</v>
      </c>
      <c r="M26" s="25" t="s">
        <v>59</v>
      </c>
      <c r="N26" s="25" t="s">
        <v>59</v>
      </c>
      <c r="O26" s="25" t="s">
        <v>59</v>
      </c>
      <c r="P26" s="25" t="s">
        <v>59</v>
      </c>
      <c r="Q26" s="25" t="s">
        <v>59</v>
      </c>
      <c r="R26" s="25" t="s">
        <v>59</v>
      </c>
      <c r="S26" s="25" t="s">
        <v>59</v>
      </c>
      <c r="T26" s="88" t="s">
        <v>59</v>
      </c>
      <c r="U26" s="25" t="s">
        <v>59</v>
      </c>
    </row>
    <row r="27" spans="1:21">
      <c r="A27" s="21" t="s">
        <v>34</v>
      </c>
      <c r="B27" s="21" t="s">
        <v>59</v>
      </c>
      <c r="C27" s="21" t="s">
        <v>59</v>
      </c>
      <c r="D27" s="21" t="s">
        <v>59</v>
      </c>
      <c r="E27" s="21" t="s">
        <v>59</v>
      </c>
      <c r="F27" s="21" t="s">
        <v>59</v>
      </c>
      <c r="G27" s="21" t="s">
        <v>59</v>
      </c>
      <c r="H27" s="21" t="s">
        <v>59</v>
      </c>
      <c r="I27" s="25" t="s">
        <v>59</v>
      </c>
      <c r="J27" s="21" t="s">
        <v>59</v>
      </c>
      <c r="K27" s="25" t="s">
        <v>59</v>
      </c>
      <c r="L27" s="25" t="s">
        <v>59</v>
      </c>
      <c r="M27" s="25" t="s">
        <v>59</v>
      </c>
      <c r="N27" s="25" t="s">
        <v>59</v>
      </c>
      <c r="O27" s="25" t="s">
        <v>59</v>
      </c>
      <c r="P27" s="25" t="s">
        <v>59</v>
      </c>
      <c r="Q27" s="25" t="s">
        <v>59</v>
      </c>
      <c r="R27" s="25" t="s">
        <v>59</v>
      </c>
      <c r="S27" s="25" t="s">
        <v>59</v>
      </c>
      <c r="T27" s="88" t="s">
        <v>59</v>
      </c>
      <c r="U27" s="25" t="s">
        <v>59</v>
      </c>
    </row>
    <row r="28" spans="1:21">
      <c r="A28" s="21" t="s">
        <v>34</v>
      </c>
      <c r="B28" s="21" t="s">
        <v>59</v>
      </c>
      <c r="C28" s="21" t="s">
        <v>59</v>
      </c>
      <c r="D28" s="21" t="s">
        <v>59</v>
      </c>
      <c r="E28" s="21" t="s">
        <v>59</v>
      </c>
      <c r="F28" s="21" t="s">
        <v>59</v>
      </c>
      <c r="G28" s="21" t="s">
        <v>59</v>
      </c>
      <c r="H28" s="21" t="s">
        <v>59</v>
      </c>
      <c r="I28" s="25" t="s">
        <v>59</v>
      </c>
      <c r="J28" s="21" t="s">
        <v>59</v>
      </c>
      <c r="K28" s="25" t="s">
        <v>59</v>
      </c>
      <c r="L28" s="25" t="s">
        <v>59</v>
      </c>
      <c r="M28" s="25" t="s">
        <v>59</v>
      </c>
      <c r="N28" s="25" t="s">
        <v>59</v>
      </c>
      <c r="O28" s="25" t="s">
        <v>59</v>
      </c>
      <c r="P28" s="25" t="s">
        <v>59</v>
      </c>
      <c r="Q28" s="25" t="s">
        <v>59</v>
      </c>
      <c r="R28" s="25" t="s">
        <v>59</v>
      </c>
      <c r="S28" s="25" t="s">
        <v>59</v>
      </c>
      <c r="T28" s="88" t="s">
        <v>59</v>
      </c>
      <c r="U28" s="25" t="s">
        <v>59</v>
      </c>
    </row>
    <row r="29" spans="1:21">
      <c r="A29" s="21" t="s">
        <v>34</v>
      </c>
      <c r="B29" s="21" t="s">
        <v>59</v>
      </c>
      <c r="C29" s="21" t="s">
        <v>59</v>
      </c>
      <c r="D29" s="21" t="s">
        <v>59</v>
      </c>
      <c r="E29" s="21" t="s">
        <v>59</v>
      </c>
      <c r="F29" s="21" t="s">
        <v>59</v>
      </c>
      <c r="G29" s="21" t="s">
        <v>59</v>
      </c>
      <c r="H29" s="21" t="s">
        <v>59</v>
      </c>
      <c r="I29" s="25" t="s">
        <v>59</v>
      </c>
      <c r="J29" s="21" t="s">
        <v>59</v>
      </c>
      <c r="K29" s="25" t="s">
        <v>59</v>
      </c>
      <c r="L29" s="25" t="s">
        <v>59</v>
      </c>
      <c r="M29" s="25" t="s">
        <v>59</v>
      </c>
      <c r="N29" s="25" t="s">
        <v>59</v>
      </c>
      <c r="O29" s="25" t="s">
        <v>59</v>
      </c>
      <c r="P29" s="25" t="s">
        <v>59</v>
      </c>
      <c r="Q29" s="25" t="s">
        <v>59</v>
      </c>
      <c r="R29" s="25" t="s">
        <v>59</v>
      </c>
      <c r="S29" s="25" t="s">
        <v>59</v>
      </c>
      <c r="T29" s="88" t="s">
        <v>59</v>
      </c>
      <c r="U29" s="25" t="s">
        <v>59</v>
      </c>
    </row>
    <row r="30" spans="1:21">
      <c r="A30" s="21" t="s">
        <v>34</v>
      </c>
      <c r="B30" s="21" t="s">
        <v>59</v>
      </c>
      <c r="C30" s="21" t="s">
        <v>59</v>
      </c>
      <c r="D30" s="21" t="s">
        <v>59</v>
      </c>
      <c r="E30" s="21" t="s">
        <v>59</v>
      </c>
      <c r="F30" s="21" t="s">
        <v>59</v>
      </c>
      <c r="G30" s="21" t="s">
        <v>59</v>
      </c>
      <c r="H30" s="21" t="s">
        <v>59</v>
      </c>
      <c r="I30" s="25" t="s">
        <v>59</v>
      </c>
      <c r="J30" s="21" t="s">
        <v>59</v>
      </c>
      <c r="K30" s="25" t="s">
        <v>59</v>
      </c>
      <c r="L30" s="25" t="s">
        <v>59</v>
      </c>
      <c r="M30" s="25" t="s">
        <v>59</v>
      </c>
      <c r="N30" s="25" t="s">
        <v>59</v>
      </c>
      <c r="O30" s="25" t="s">
        <v>59</v>
      </c>
      <c r="P30" s="25" t="s">
        <v>59</v>
      </c>
      <c r="Q30" s="25" t="s">
        <v>59</v>
      </c>
      <c r="R30" s="25" t="s">
        <v>59</v>
      </c>
      <c r="S30" s="25" t="s">
        <v>59</v>
      </c>
      <c r="T30" s="88" t="s">
        <v>59</v>
      </c>
      <c r="U30" s="25" t="s">
        <v>59</v>
      </c>
    </row>
    <row r="31" spans="1:21">
      <c r="A31" s="21" t="s">
        <v>34</v>
      </c>
      <c r="B31" s="21" t="s">
        <v>59</v>
      </c>
      <c r="C31" s="21" t="s">
        <v>59</v>
      </c>
      <c r="D31" s="21" t="s">
        <v>59</v>
      </c>
      <c r="E31" s="21" t="s">
        <v>59</v>
      </c>
      <c r="F31" s="21" t="s">
        <v>59</v>
      </c>
      <c r="G31" s="21" t="s">
        <v>59</v>
      </c>
      <c r="H31" s="21" t="s">
        <v>59</v>
      </c>
      <c r="I31" s="25" t="s">
        <v>59</v>
      </c>
      <c r="J31" s="21" t="s">
        <v>59</v>
      </c>
      <c r="K31" s="25" t="s">
        <v>59</v>
      </c>
      <c r="L31" s="25" t="s">
        <v>59</v>
      </c>
      <c r="M31" s="25" t="s">
        <v>59</v>
      </c>
      <c r="N31" s="25" t="s">
        <v>59</v>
      </c>
      <c r="O31" s="25" t="s">
        <v>59</v>
      </c>
      <c r="P31" s="25" t="s">
        <v>59</v>
      </c>
      <c r="Q31" s="25" t="s">
        <v>59</v>
      </c>
      <c r="R31" s="25" t="s">
        <v>59</v>
      </c>
      <c r="S31" s="25" t="s">
        <v>59</v>
      </c>
      <c r="T31" s="88" t="s">
        <v>59</v>
      </c>
      <c r="U31" s="25" t="s">
        <v>59</v>
      </c>
    </row>
    <row r="32" spans="1:21">
      <c r="A32" s="21" t="s">
        <v>34</v>
      </c>
      <c r="B32" s="21" t="s">
        <v>59</v>
      </c>
      <c r="C32" s="21" t="s">
        <v>59</v>
      </c>
      <c r="D32" s="21" t="s">
        <v>59</v>
      </c>
      <c r="E32" s="21" t="s">
        <v>59</v>
      </c>
      <c r="F32" s="21" t="s">
        <v>59</v>
      </c>
      <c r="G32" s="21" t="s">
        <v>59</v>
      </c>
      <c r="H32" s="21" t="s">
        <v>59</v>
      </c>
      <c r="I32" s="25" t="s">
        <v>59</v>
      </c>
      <c r="J32" s="21" t="s">
        <v>59</v>
      </c>
      <c r="K32" s="25" t="s">
        <v>59</v>
      </c>
      <c r="L32" s="25" t="s">
        <v>59</v>
      </c>
      <c r="M32" s="25" t="s">
        <v>59</v>
      </c>
      <c r="N32" s="25" t="s">
        <v>59</v>
      </c>
      <c r="O32" s="25" t="s">
        <v>59</v>
      </c>
      <c r="P32" s="25" t="s">
        <v>59</v>
      </c>
      <c r="Q32" s="25" t="s">
        <v>59</v>
      </c>
      <c r="R32" s="25" t="s">
        <v>59</v>
      </c>
      <c r="S32" s="25" t="s">
        <v>59</v>
      </c>
      <c r="T32" s="88" t="s">
        <v>59</v>
      </c>
      <c r="U32" s="25" t="s">
        <v>59</v>
      </c>
    </row>
    <row r="33" spans="1:21">
      <c r="A33" s="21" t="s">
        <v>34</v>
      </c>
      <c r="B33" s="21" t="s">
        <v>59</v>
      </c>
      <c r="C33" s="21" t="s">
        <v>59</v>
      </c>
      <c r="D33" s="21" t="s">
        <v>59</v>
      </c>
      <c r="E33" s="21" t="s">
        <v>59</v>
      </c>
      <c r="F33" s="21" t="s">
        <v>59</v>
      </c>
      <c r="G33" s="21" t="s">
        <v>59</v>
      </c>
      <c r="H33" s="21" t="s">
        <v>59</v>
      </c>
      <c r="I33" s="25" t="s">
        <v>59</v>
      </c>
      <c r="J33" s="21" t="s">
        <v>59</v>
      </c>
      <c r="K33" s="25" t="s">
        <v>59</v>
      </c>
      <c r="L33" s="25" t="s">
        <v>59</v>
      </c>
      <c r="M33" s="25" t="s">
        <v>59</v>
      </c>
      <c r="N33" s="25" t="s">
        <v>59</v>
      </c>
      <c r="O33" s="25" t="s">
        <v>59</v>
      </c>
      <c r="P33" s="25" t="s">
        <v>59</v>
      </c>
      <c r="Q33" s="25" t="s">
        <v>59</v>
      </c>
      <c r="R33" s="25" t="s">
        <v>59</v>
      </c>
      <c r="S33" s="25" t="s">
        <v>59</v>
      </c>
      <c r="T33" s="88" t="s">
        <v>59</v>
      </c>
      <c r="U33" s="25" t="s">
        <v>59</v>
      </c>
    </row>
    <row r="34" spans="1:21">
      <c r="A34" s="21" t="s">
        <v>34</v>
      </c>
      <c r="B34" s="21" t="s">
        <v>59</v>
      </c>
      <c r="C34" s="21" t="s">
        <v>59</v>
      </c>
      <c r="D34" s="21" t="s">
        <v>59</v>
      </c>
      <c r="E34" s="21" t="s">
        <v>59</v>
      </c>
      <c r="F34" s="21" t="s">
        <v>59</v>
      </c>
      <c r="G34" s="21" t="s">
        <v>59</v>
      </c>
      <c r="H34" s="21" t="s">
        <v>59</v>
      </c>
      <c r="I34" s="25" t="s">
        <v>59</v>
      </c>
      <c r="J34" s="21" t="s">
        <v>59</v>
      </c>
      <c r="K34" s="25" t="s">
        <v>59</v>
      </c>
      <c r="L34" s="25" t="s">
        <v>59</v>
      </c>
      <c r="M34" s="25" t="s">
        <v>59</v>
      </c>
      <c r="N34" s="25" t="s">
        <v>59</v>
      </c>
      <c r="O34" s="25" t="s">
        <v>59</v>
      </c>
      <c r="P34" s="25" t="s">
        <v>59</v>
      </c>
      <c r="Q34" s="25" t="s">
        <v>59</v>
      </c>
      <c r="R34" s="25" t="s">
        <v>59</v>
      </c>
      <c r="S34" s="25" t="s">
        <v>59</v>
      </c>
      <c r="T34" s="88" t="s">
        <v>59</v>
      </c>
      <c r="U34" s="25" t="s">
        <v>59</v>
      </c>
    </row>
    <row r="35" spans="1:21">
      <c r="A35" s="21" t="s">
        <v>34</v>
      </c>
      <c r="B35" s="21" t="s">
        <v>59</v>
      </c>
      <c r="C35" s="21" t="s">
        <v>59</v>
      </c>
      <c r="D35" s="21" t="s">
        <v>59</v>
      </c>
      <c r="E35" s="21" t="s">
        <v>59</v>
      </c>
      <c r="F35" s="21" t="s">
        <v>59</v>
      </c>
      <c r="G35" s="21" t="s">
        <v>59</v>
      </c>
      <c r="H35" s="21" t="s">
        <v>59</v>
      </c>
      <c r="I35" s="25" t="s">
        <v>59</v>
      </c>
      <c r="J35" s="21" t="s">
        <v>59</v>
      </c>
      <c r="K35" s="25" t="s">
        <v>59</v>
      </c>
      <c r="L35" s="25" t="s">
        <v>59</v>
      </c>
      <c r="M35" s="25" t="s">
        <v>59</v>
      </c>
      <c r="N35" s="25" t="s">
        <v>59</v>
      </c>
      <c r="O35" s="25" t="s">
        <v>59</v>
      </c>
      <c r="P35" s="25" t="s">
        <v>59</v>
      </c>
      <c r="Q35" s="25" t="s">
        <v>59</v>
      </c>
      <c r="R35" s="25" t="s">
        <v>59</v>
      </c>
      <c r="S35" s="25" t="s">
        <v>59</v>
      </c>
      <c r="T35" s="88" t="s">
        <v>59</v>
      </c>
      <c r="U35" s="25" t="s">
        <v>59</v>
      </c>
    </row>
    <row r="36" spans="1:21">
      <c r="A36" s="21" t="s">
        <v>34</v>
      </c>
      <c r="B36" s="21" t="s">
        <v>59</v>
      </c>
      <c r="C36" s="21" t="s">
        <v>59</v>
      </c>
      <c r="D36" s="21" t="s">
        <v>59</v>
      </c>
      <c r="E36" s="21" t="s">
        <v>59</v>
      </c>
      <c r="F36" s="21" t="s">
        <v>59</v>
      </c>
      <c r="G36" s="21" t="s">
        <v>59</v>
      </c>
      <c r="H36" s="21" t="s">
        <v>59</v>
      </c>
      <c r="I36" s="25" t="s">
        <v>59</v>
      </c>
      <c r="J36" s="21" t="s">
        <v>59</v>
      </c>
      <c r="K36" s="25" t="s">
        <v>59</v>
      </c>
      <c r="L36" s="25" t="s">
        <v>59</v>
      </c>
      <c r="M36" s="25" t="s">
        <v>59</v>
      </c>
      <c r="N36" s="25" t="s">
        <v>59</v>
      </c>
      <c r="O36" s="25" t="s">
        <v>59</v>
      </c>
      <c r="P36" s="25" t="s">
        <v>59</v>
      </c>
      <c r="Q36" s="25" t="s">
        <v>59</v>
      </c>
      <c r="R36" s="25" t="s">
        <v>59</v>
      </c>
      <c r="S36" s="25" t="s">
        <v>59</v>
      </c>
      <c r="T36" s="88" t="s">
        <v>59</v>
      </c>
      <c r="U36" s="25" t="s">
        <v>59</v>
      </c>
    </row>
    <row r="37" spans="1:21">
      <c r="A37" s="21" t="s">
        <v>34</v>
      </c>
      <c r="B37" s="21" t="s">
        <v>59</v>
      </c>
      <c r="C37" s="21" t="s">
        <v>59</v>
      </c>
      <c r="D37" s="21" t="s">
        <v>59</v>
      </c>
      <c r="E37" s="21" t="s">
        <v>59</v>
      </c>
      <c r="F37" s="21" t="s">
        <v>59</v>
      </c>
      <c r="G37" s="21" t="s">
        <v>59</v>
      </c>
      <c r="H37" s="21" t="s">
        <v>59</v>
      </c>
      <c r="I37" s="25" t="s">
        <v>59</v>
      </c>
      <c r="J37" s="21" t="s">
        <v>59</v>
      </c>
      <c r="K37" s="25" t="s">
        <v>59</v>
      </c>
      <c r="L37" s="25" t="s">
        <v>59</v>
      </c>
      <c r="M37" s="25" t="s">
        <v>59</v>
      </c>
      <c r="N37" s="25" t="s">
        <v>59</v>
      </c>
      <c r="O37" s="25" t="s">
        <v>59</v>
      </c>
      <c r="P37" s="25" t="s">
        <v>59</v>
      </c>
      <c r="Q37" s="25" t="s">
        <v>59</v>
      </c>
      <c r="R37" s="25" t="s">
        <v>59</v>
      </c>
      <c r="S37" s="25" t="s">
        <v>59</v>
      </c>
      <c r="T37" s="88" t="s">
        <v>59</v>
      </c>
      <c r="U37" s="25" t="s">
        <v>59</v>
      </c>
    </row>
    <row r="38" spans="1:21">
      <c r="A38" s="21" t="s">
        <v>34</v>
      </c>
      <c r="B38" s="21" t="s">
        <v>59</v>
      </c>
      <c r="C38" s="21" t="s">
        <v>59</v>
      </c>
      <c r="D38" s="21" t="s">
        <v>59</v>
      </c>
      <c r="E38" s="21" t="s">
        <v>59</v>
      </c>
      <c r="F38" s="21" t="s">
        <v>59</v>
      </c>
      <c r="G38" s="21" t="s">
        <v>59</v>
      </c>
      <c r="H38" s="21" t="s">
        <v>59</v>
      </c>
      <c r="I38" s="25" t="s">
        <v>59</v>
      </c>
      <c r="J38" s="21" t="s">
        <v>59</v>
      </c>
      <c r="K38" s="25" t="s">
        <v>59</v>
      </c>
      <c r="L38" s="25" t="s">
        <v>59</v>
      </c>
      <c r="M38" s="25" t="s">
        <v>59</v>
      </c>
      <c r="N38" s="25" t="s">
        <v>59</v>
      </c>
      <c r="O38" s="25" t="s">
        <v>59</v>
      </c>
      <c r="P38" s="25" t="s">
        <v>59</v>
      </c>
      <c r="Q38" s="25" t="s">
        <v>59</v>
      </c>
      <c r="R38" s="25" t="s">
        <v>59</v>
      </c>
      <c r="S38" s="25" t="s">
        <v>59</v>
      </c>
      <c r="T38" s="88" t="s">
        <v>59</v>
      </c>
      <c r="U38" s="25" t="s">
        <v>59</v>
      </c>
    </row>
    <row r="39" spans="1:21">
      <c r="A39" s="21" t="s">
        <v>34</v>
      </c>
      <c r="B39" s="21" t="s">
        <v>59</v>
      </c>
      <c r="C39" s="21" t="s">
        <v>59</v>
      </c>
      <c r="D39" s="21" t="s">
        <v>59</v>
      </c>
      <c r="E39" s="21" t="s">
        <v>59</v>
      </c>
      <c r="F39" s="21" t="s">
        <v>59</v>
      </c>
      <c r="G39" s="21" t="s">
        <v>59</v>
      </c>
      <c r="H39" s="21" t="s">
        <v>59</v>
      </c>
      <c r="I39" s="25" t="s">
        <v>59</v>
      </c>
      <c r="J39" s="21" t="s">
        <v>59</v>
      </c>
      <c r="K39" s="25" t="s">
        <v>59</v>
      </c>
      <c r="L39" s="25" t="s">
        <v>59</v>
      </c>
      <c r="M39" s="25" t="s">
        <v>59</v>
      </c>
      <c r="N39" s="25" t="s">
        <v>59</v>
      </c>
      <c r="O39" s="25" t="s">
        <v>59</v>
      </c>
      <c r="P39" s="25" t="s">
        <v>59</v>
      </c>
      <c r="Q39" s="25" t="s">
        <v>59</v>
      </c>
      <c r="R39" s="25" t="s">
        <v>59</v>
      </c>
      <c r="S39" s="25" t="s">
        <v>59</v>
      </c>
      <c r="T39" s="88" t="s">
        <v>59</v>
      </c>
      <c r="U39" s="25" t="s">
        <v>59</v>
      </c>
    </row>
    <row r="40" spans="1:21">
      <c r="A40" s="21" t="s">
        <v>34</v>
      </c>
      <c r="B40" s="21" t="s">
        <v>59</v>
      </c>
      <c r="C40" s="21" t="s">
        <v>59</v>
      </c>
      <c r="D40" s="21" t="s">
        <v>59</v>
      </c>
      <c r="E40" s="21" t="s">
        <v>59</v>
      </c>
      <c r="F40" s="21" t="s">
        <v>59</v>
      </c>
      <c r="G40" s="21" t="s">
        <v>59</v>
      </c>
      <c r="H40" s="21" t="s">
        <v>59</v>
      </c>
      <c r="I40" s="25" t="s">
        <v>59</v>
      </c>
      <c r="J40" s="21" t="s">
        <v>59</v>
      </c>
      <c r="K40" s="25" t="s">
        <v>59</v>
      </c>
      <c r="L40" s="25" t="s">
        <v>59</v>
      </c>
      <c r="M40" s="25" t="s">
        <v>59</v>
      </c>
      <c r="N40" s="25" t="s">
        <v>59</v>
      </c>
      <c r="O40" s="25" t="s">
        <v>59</v>
      </c>
      <c r="P40" s="25" t="s">
        <v>59</v>
      </c>
      <c r="Q40" s="25" t="s">
        <v>59</v>
      </c>
      <c r="R40" s="25" t="s">
        <v>59</v>
      </c>
      <c r="S40" s="25" t="s">
        <v>59</v>
      </c>
      <c r="T40" s="88" t="s">
        <v>59</v>
      </c>
      <c r="U40" s="25" t="s">
        <v>59</v>
      </c>
    </row>
    <row r="41" spans="1:21">
      <c r="A41" s="21" t="s">
        <v>34</v>
      </c>
      <c r="B41" s="21" t="s">
        <v>59</v>
      </c>
      <c r="C41" s="21" t="s">
        <v>59</v>
      </c>
      <c r="D41" s="21" t="s">
        <v>59</v>
      </c>
      <c r="E41" s="21" t="s">
        <v>59</v>
      </c>
      <c r="F41" s="21" t="s">
        <v>59</v>
      </c>
      <c r="G41" s="21" t="s">
        <v>59</v>
      </c>
      <c r="H41" s="21" t="s">
        <v>59</v>
      </c>
      <c r="I41" s="25" t="s">
        <v>59</v>
      </c>
      <c r="J41" s="21" t="s">
        <v>59</v>
      </c>
      <c r="K41" s="25" t="s">
        <v>59</v>
      </c>
      <c r="L41" s="25" t="s">
        <v>59</v>
      </c>
      <c r="M41" s="25" t="s">
        <v>59</v>
      </c>
      <c r="N41" s="25" t="s">
        <v>59</v>
      </c>
      <c r="O41" s="25" t="s">
        <v>59</v>
      </c>
      <c r="P41" s="25" t="s">
        <v>59</v>
      </c>
      <c r="Q41" s="25" t="s">
        <v>59</v>
      </c>
      <c r="R41" s="25" t="s">
        <v>59</v>
      </c>
      <c r="S41" s="25" t="s">
        <v>59</v>
      </c>
      <c r="T41" s="88" t="s">
        <v>59</v>
      </c>
      <c r="U41" s="25" t="s">
        <v>59</v>
      </c>
    </row>
    <row r="42" spans="1:21">
      <c r="A42" s="21" t="s">
        <v>34</v>
      </c>
      <c r="B42" s="21" t="s">
        <v>59</v>
      </c>
      <c r="C42" s="21" t="s">
        <v>59</v>
      </c>
      <c r="D42" s="21" t="s">
        <v>59</v>
      </c>
      <c r="E42" s="21" t="s">
        <v>59</v>
      </c>
      <c r="F42" s="21" t="s">
        <v>59</v>
      </c>
      <c r="G42" s="21" t="s">
        <v>59</v>
      </c>
      <c r="H42" s="21" t="s">
        <v>59</v>
      </c>
      <c r="I42" s="25" t="s">
        <v>59</v>
      </c>
      <c r="J42" s="21" t="s">
        <v>59</v>
      </c>
      <c r="K42" s="25" t="s">
        <v>59</v>
      </c>
      <c r="L42" s="25" t="s">
        <v>59</v>
      </c>
      <c r="M42" s="25" t="s">
        <v>59</v>
      </c>
      <c r="N42" s="25" t="s">
        <v>59</v>
      </c>
      <c r="O42" s="25" t="s">
        <v>59</v>
      </c>
      <c r="P42" s="25" t="s">
        <v>59</v>
      </c>
      <c r="Q42" s="25" t="s">
        <v>59</v>
      </c>
      <c r="R42" s="25" t="s">
        <v>59</v>
      </c>
      <c r="S42" s="25" t="s">
        <v>59</v>
      </c>
      <c r="T42" s="88" t="s">
        <v>59</v>
      </c>
      <c r="U42" s="25" t="s">
        <v>59</v>
      </c>
    </row>
    <row r="43" spans="1:21">
      <c r="A43" s="21" t="s">
        <v>34</v>
      </c>
      <c r="B43" s="21" t="s">
        <v>59</v>
      </c>
      <c r="C43" s="21" t="s">
        <v>59</v>
      </c>
      <c r="D43" s="21" t="s">
        <v>59</v>
      </c>
      <c r="E43" s="21" t="s">
        <v>59</v>
      </c>
      <c r="F43" s="21" t="s">
        <v>59</v>
      </c>
      <c r="G43" s="21" t="s">
        <v>59</v>
      </c>
      <c r="H43" s="21" t="s">
        <v>59</v>
      </c>
      <c r="I43" s="25" t="s">
        <v>59</v>
      </c>
      <c r="J43" s="21" t="s">
        <v>59</v>
      </c>
      <c r="K43" s="25" t="s">
        <v>59</v>
      </c>
      <c r="L43" s="25" t="s">
        <v>59</v>
      </c>
      <c r="M43" s="25" t="s">
        <v>59</v>
      </c>
      <c r="N43" s="25" t="s">
        <v>59</v>
      </c>
      <c r="O43" s="25" t="s">
        <v>59</v>
      </c>
      <c r="P43" s="25" t="s">
        <v>59</v>
      </c>
      <c r="Q43" s="25" t="s">
        <v>59</v>
      </c>
      <c r="R43" s="25" t="s">
        <v>59</v>
      </c>
      <c r="S43" s="25" t="s">
        <v>59</v>
      </c>
      <c r="T43" s="88" t="s">
        <v>59</v>
      </c>
      <c r="U43" s="25" t="s">
        <v>59</v>
      </c>
    </row>
    <row r="44" spans="1:21">
      <c r="A44" s="21" t="s">
        <v>34</v>
      </c>
      <c r="B44" s="21" t="s">
        <v>59</v>
      </c>
      <c r="C44" s="21" t="s">
        <v>59</v>
      </c>
      <c r="D44" s="21" t="s">
        <v>59</v>
      </c>
      <c r="E44" s="21" t="s">
        <v>59</v>
      </c>
      <c r="F44" s="21" t="s">
        <v>59</v>
      </c>
      <c r="G44" s="21" t="s">
        <v>59</v>
      </c>
      <c r="H44" s="21" t="s">
        <v>59</v>
      </c>
      <c r="I44" s="25" t="s">
        <v>59</v>
      </c>
      <c r="J44" s="21" t="s">
        <v>59</v>
      </c>
      <c r="K44" s="25" t="s">
        <v>59</v>
      </c>
      <c r="L44" s="25" t="s">
        <v>59</v>
      </c>
      <c r="M44" s="25" t="s">
        <v>59</v>
      </c>
      <c r="N44" s="25" t="s">
        <v>59</v>
      </c>
      <c r="O44" s="25" t="s">
        <v>59</v>
      </c>
      <c r="P44" s="25" t="s">
        <v>59</v>
      </c>
      <c r="Q44" s="25" t="s">
        <v>59</v>
      </c>
      <c r="R44" s="25" t="s">
        <v>59</v>
      </c>
      <c r="S44" s="25" t="s">
        <v>59</v>
      </c>
      <c r="T44" s="88" t="s">
        <v>59</v>
      </c>
      <c r="U44" s="25" t="s">
        <v>59</v>
      </c>
    </row>
    <row r="45" spans="1:21">
      <c r="A45" s="21" t="s">
        <v>34</v>
      </c>
      <c r="B45" s="21" t="s">
        <v>59</v>
      </c>
      <c r="C45" s="21" t="s">
        <v>59</v>
      </c>
      <c r="D45" s="21" t="s">
        <v>59</v>
      </c>
      <c r="E45" s="21" t="s">
        <v>59</v>
      </c>
      <c r="F45" s="21" t="s">
        <v>59</v>
      </c>
      <c r="G45" s="21" t="s">
        <v>59</v>
      </c>
      <c r="H45" s="21" t="s">
        <v>59</v>
      </c>
      <c r="I45" s="25" t="s">
        <v>59</v>
      </c>
      <c r="J45" s="21" t="s">
        <v>59</v>
      </c>
      <c r="K45" s="25" t="s">
        <v>59</v>
      </c>
      <c r="L45" s="25" t="s">
        <v>59</v>
      </c>
      <c r="M45" s="25" t="s">
        <v>59</v>
      </c>
      <c r="N45" s="25" t="s">
        <v>59</v>
      </c>
      <c r="O45" s="25" t="s">
        <v>59</v>
      </c>
      <c r="P45" s="25" t="s">
        <v>59</v>
      </c>
      <c r="Q45" s="25" t="s">
        <v>59</v>
      </c>
      <c r="R45" s="25" t="s">
        <v>59</v>
      </c>
      <c r="S45" s="25" t="s">
        <v>59</v>
      </c>
      <c r="T45" s="88" t="s">
        <v>59</v>
      </c>
      <c r="U45" s="25" t="s">
        <v>59</v>
      </c>
    </row>
    <row r="46" spans="1:21">
      <c r="A46" s="21" t="s">
        <v>34</v>
      </c>
      <c r="B46" s="21" t="s">
        <v>59</v>
      </c>
      <c r="C46" s="21" t="s">
        <v>59</v>
      </c>
      <c r="D46" s="21" t="s">
        <v>59</v>
      </c>
      <c r="E46" s="21" t="s">
        <v>59</v>
      </c>
      <c r="F46" s="21" t="s">
        <v>59</v>
      </c>
      <c r="G46" s="21" t="s">
        <v>59</v>
      </c>
      <c r="H46" s="21" t="s">
        <v>59</v>
      </c>
      <c r="I46" s="25" t="s">
        <v>59</v>
      </c>
      <c r="J46" s="21" t="s">
        <v>59</v>
      </c>
      <c r="K46" s="25" t="s">
        <v>59</v>
      </c>
      <c r="L46" s="25" t="s">
        <v>59</v>
      </c>
      <c r="M46" s="25" t="s">
        <v>59</v>
      </c>
      <c r="N46" s="25" t="s">
        <v>59</v>
      </c>
      <c r="O46" s="25" t="s">
        <v>59</v>
      </c>
      <c r="P46" s="25" t="s">
        <v>59</v>
      </c>
      <c r="Q46" s="25" t="s">
        <v>59</v>
      </c>
      <c r="R46" s="25" t="s">
        <v>59</v>
      </c>
      <c r="S46" s="25" t="s">
        <v>59</v>
      </c>
      <c r="T46" s="88" t="s">
        <v>59</v>
      </c>
      <c r="U46" s="25" t="s">
        <v>59</v>
      </c>
    </row>
    <row r="47" spans="1:21">
      <c r="A47" s="21" t="s">
        <v>34</v>
      </c>
      <c r="B47" s="21" t="s">
        <v>59</v>
      </c>
      <c r="C47" s="21" t="s">
        <v>59</v>
      </c>
      <c r="D47" s="21" t="s">
        <v>59</v>
      </c>
      <c r="E47" s="21" t="s">
        <v>59</v>
      </c>
      <c r="F47" s="21" t="s">
        <v>59</v>
      </c>
      <c r="G47" s="21" t="s">
        <v>59</v>
      </c>
      <c r="H47" s="21" t="s">
        <v>59</v>
      </c>
      <c r="I47" s="25" t="s">
        <v>59</v>
      </c>
      <c r="J47" s="21" t="s">
        <v>59</v>
      </c>
      <c r="K47" s="25" t="s">
        <v>59</v>
      </c>
      <c r="L47" s="25" t="s">
        <v>59</v>
      </c>
      <c r="M47" s="25" t="s">
        <v>59</v>
      </c>
      <c r="N47" s="25" t="s">
        <v>59</v>
      </c>
      <c r="O47" s="25" t="s">
        <v>59</v>
      </c>
      <c r="P47" s="25" t="s">
        <v>59</v>
      </c>
      <c r="Q47" s="25" t="s">
        <v>59</v>
      </c>
      <c r="R47" s="25" t="s">
        <v>59</v>
      </c>
      <c r="S47" s="25" t="s">
        <v>59</v>
      </c>
      <c r="T47" s="88" t="s">
        <v>59</v>
      </c>
      <c r="U47" s="25" t="s">
        <v>59</v>
      </c>
    </row>
    <row r="48" spans="1:21">
      <c r="A48" s="21" t="s">
        <v>34</v>
      </c>
      <c r="B48" s="21" t="s">
        <v>59</v>
      </c>
      <c r="C48" s="21" t="s">
        <v>59</v>
      </c>
      <c r="D48" s="21" t="s">
        <v>59</v>
      </c>
      <c r="E48" s="21" t="s">
        <v>59</v>
      </c>
      <c r="F48" s="21" t="s">
        <v>59</v>
      </c>
      <c r="G48" s="21" t="s">
        <v>59</v>
      </c>
      <c r="H48" s="21" t="s">
        <v>59</v>
      </c>
      <c r="I48" s="25" t="s">
        <v>59</v>
      </c>
      <c r="J48" s="21" t="s">
        <v>59</v>
      </c>
      <c r="K48" s="25" t="s">
        <v>59</v>
      </c>
      <c r="L48" s="25" t="s">
        <v>59</v>
      </c>
      <c r="M48" s="25" t="s">
        <v>59</v>
      </c>
      <c r="N48" s="25" t="s">
        <v>59</v>
      </c>
      <c r="O48" s="25" t="s">
        <v>59</v>
      </c>
      <c r="P48" s="25" t="s">
        <v>59</v>
      </c>
      <c r="Q48" s="25" t="s">
        <v>59</v>
      </c>
      <c r="R48" s="25" t="s">
        <v>59</v>
      </c>
      <c r="S48" s="25" t="s">
        <v>59</v>
      </c>
      <c r="T48" s="88" t="s">
        <v>59</v>
      </c>
      <c r="U48" s="25" t="s">
        <v>59</v>
      </c>
    </row>
    <row r="49" spans="1:21">
      <c r="A49" s="21" t="s">
        <v>34</v>
      </c>
      <c r="B49" s="21" t="s">
        <v>59</v>
      </c>
      <c r="C49" s="21" t="s">
        <v>59</v>
      </c>
      <c r="D49" s="21" t="s">
        <v>59</v>
      </c>
      <c r="E49" s="21" t="s">
        <v>59</v>
      </c>
      <c r="F49" s="21" t="s">
        <v>59</v>
      </c>
      <c r="G49" s="21" t="s">
        <v>59</v>
      </c>
      <c r="H49" s="21" t="s">
        <v>59</v>
      </c>
      <c r="I49" s="25" t="s">
        <v>59</v>
      </c>
      <c r="J49" s="21" t="s">
        <v>59</v>
      </c>
      <c r="K49" s="25" t="s">
        <v>59</v>
      </c>
      <c r="L49" s="25" t="s">
        <v>59</v>
      </c>
      <c r="M49" s="25" t="s">
        <v>59</v>
      </c>
      <c r="N49" s="25" t="s">
        <v>59</v>
      </c>
      <c r="O49" s="25" t="s">
        <v>59</v>
      </c>
      <c r="P49" s="25" t="s">
        <v>59</v>
      </c>
      <c r="Q49" s="25" t="s">
        <v>59</v>
      </c>
      <c r="R49" s="25" t="s">
        <v>59</v>
      </c>
      <c r="S49" s="25" t="s">
        <v>59</v>
      </c>
      <c r="T49" s="88" t="s">
        <v>59</v>
      </c>
      <c r="U49" s="25" t="s">
        <v>59</v>
      </c>
    </row>
    <row r="50" spans="1:21">
      <c r="A50" s="21" t="s">
        <v>34</v>
      </c>
      <c r="B50" s="21" t="s">
        <v>59</v>
      </c>
      <c r="C50" s="21" t="s">
        <v>59</v>
      </c>
      <c r="D50" s="21" t="s">
        <v>59</v>
      </c>
      <c r="E50" s="21" t="s">
        <v>59</v>
      </c>
      <c r="F50" s="21" t="s">
        <v>59</v>
      </c>
      <c r="G50" s="21" t="s">
        <v>59</v>
      </c>
      <c r="H50" s="21" t="s">
        <v>59</v>
      </c>
      <c r="I50" s="25" t="s">
        <v>59</v>
      </c>
      <c r="J50" s="21" t="s">
        <v>59</v>
      </c>
      <c r="K50" s="25" t="s">
        <v>59</v>
      </c>
      <c r="L50" s="25" t="s">
        <v>59</v>
      </c>
      <c r="M50" s="25" t="s">
        <v>59</v>
      </c>
      <c r="N50" s="25" t="s">
        <v>59</v>
      </c>
      <c r="O50" s="25" t="s">
        <v>59</v>
      </c>
      <c r="P50" s="25" t="s">
        <v>59</v>
      </c>
      <c r="Q50" s="25" t="s">
        <v>59</v>
      </c>
      <c r="R50" s="25" t="s">
        <v>59</v>
      </c>
      <c r="S50" s="25" t="s">
        <v>59</v>
      </c>
      <c r="T50" s="88" t="s">
        <v>59</v>
      </c>
      <c r="U50" s="25" t="s">
        <v>59</v>
      </c>
    </row>
    <row r="51" spans="1:21">
      <c r="A51" s="21" t="s">
        <v>34</v>
      </c>
      <c r="B51" s="21" t="s">
        <v>59</v>
      </c>
      <c r="C51" s="21" t="s">
        <v>59</v>
      </c>
      <c r="D51" s="21" t="s">
        <v>59</v>
      </c>
      <c r="E51" s="21" t="s">
        <v>59</v>
      </c>
      <c r="F51" s="21" t="s">
        <v>59</v>
      </c>
      <c r="G51" s="21" t="s">
        <v>59</v>
      </c>
      <c r="H51" s="21" t="s">
        <v>59</v>
      </c>
      <c r="I51" s="25" t="s">
        <v>59</v>
      </c>
      <c r="J51" s="21" t="s">
        <v>59</v>
      </c>
      <c r="K51" s="25" t="s">
        <v>59</v>
      </c>
      <c r="L51" s="25" t="s">
        <v>59</v>
      </c>
      <c r="M51" s="25" t="s">
        <v>59</v>
      </c>
      <c r="N51" s="25" t="s">
        <v>59</v>
      </c>
      <c r="O51" s="25" t="s">
        <v>59</v>
      </c>
      <c r="P51" s="25" t="s">
        <v>59</v>
      </c>
      <c r="Q51" s="25" t="s">
        <v>59</v>
      </c>
      <c r="R51" s="25" t="s">
        <v>59</v>
      </c>
      <c r="S51" s="25" t="s">
        <v>59</v>
      </c>
      <c r="T51" s="88" t="s">
        <v>59</v>
      </c>
      <c r="U51" s="25" t="s">
        <v>59</v>
      </c>
    </row>
    <row r="52" spans="1:21">
      <c r="A52" s="21" t="s">
        <v>34</v>
      </c>
      <c r="B52" s="21" t="s">
        <v>59</v>
      </c>
      <c r="C52" s="21" t="s">
        <v>59</v>
      </c>
      <c r="D52" s="21" t="s">
        <v>59</v>
      </c>
      <c r="E52" s="21" t="s">
        <v>59</v>
      </c>
      <c r="F52" s="21" t="s">
        <v>59</v>
      </c>
      <c r="G52" s="21" t="s">
        <v>59</v>
      </c>
      <c r="H52" s="21" t="s">
        <v>59</v>
      </c>
      <c r="I52" s="25" t="s">
        <v>59</v>
      </c>
      <c r="J52" s="21" t="s">
        <v>59</v>
      </c>
      <c r="K52" s="25" t="s">
        <v>59</v>
      </c>
      <c r="L52" s="25" t="s">
        <v>59</v>
      </c>
      <c r="M52" s="25" t="s">
        <v>59</v>
      </c>
      <c r="N52" s="25" t="s">
        <v>59</v>
      </c>
      <c r="O52" s="25" t="s">
        <v>59</v>
      </c>
      <c r="P52" s="25" t="s">
        <v>59</v>
      </c>
      <c r="Q52" s="25" t="s">
        <v>59</v>
      </c>
      <c r="R52" s="25" t="s">
        <v>59</v>
      </c>
      <c r="S52" s="25" t="s">
        <v>59</v>
      </c>
      <c r="T52" s="88" t="s">
        <v>59</v>
      </c>
      <c r="U52" s="25" t="s">
        <v>59</v>
      </c>
    </row>
    <row r="53" spans="1:21">
      <c r="A53" s="21" t="s">
        <v>34</v>
      </c>
      <c r="B53" s="21" t="s">
        <v>59</v>
      </c>
      <c r="C53" s="21" t="s">
        <v>59</v>
      </c>
      <c r="D53" s="21" t="s">
        <v>59</v>
      </c>
      <c r="E53" s="21" t="s">
        <v>59</v>
      </c>
      <c r="F53" s="21" t="s">
        <v>59</v>
      </c>
      <c r="G53" s="21" t="s">
        <v>59</v>
      </c>
      <c r="H53" s="21" t="s">
        <v>59</v>
      </c>
      <c r="I53" s="25" t="s">
        <v>59</v>
      </c>
      <c r="J53" s="21" t="s">
        <v>59</v>
      </c>
      <c r="K53" s="25" t="s">
        <v>59</v>
      </c>
      <c r="L53" s="25" t="s">
        <v>59</v>
      </c>
      <c r="M53" s="25" t="s">
        <v>59</v>
      </c>
      <c r="N53" s="25" t="s">
        <v>59</v>
      </c>
      <c r="O53" s="25" t="s">
        <v>59</v>
      </c>
      <c r="P53" s="25" t="s">
        <v>59</v>
      </c>
      <c r="Q53" s="25" t="s">
        <v>59</v>
      </c>
      <c r="R53" s="25" t="s">
        <v>59</v>
      </c>
      <c r="S53" s="25" t="s">
        <v>59</v>
      </c>
      <c r="T53" s="88" t="s">
        <v>59</v>
      </c>
      <c r="U53" s="25" t="s">
        <v>59</v>
      </c>
    </row>
    <row r="54" spans="1:21">
      <c r="A54" s="21" t="s">
        <v>34</v>
      </c>
      <c r="B54" s="21" t="s">
        <v>59</v>
      </c>
      <c r="C54" s="21" t="s">
        <v>59</v>
      </c>
      <c r="D54" s="21" t="s">
        <v>59</v>
      </c>
      <c r="E54" s="21" t="s">
        <v>59</v>
      </c>
      <c r="F54" s="21" t="s">
        <v>59</v>
      </c>
      <c r="G54" s="21" t="s">
        <v>59</v>
      </c>
      <c r="H54" s="21" t="s">
        <v>59</v>
      </c>
      <c r="I54" s="25" t="s">
        <v>59</v>
      </c>
      <c r="J54" s="21" t="s">
        <v>59</v>
      </c>
      <c r="K54" s="25" t="s">
        <v>59</v>
      </c>
      <c r="L54" s="25" t="s">
        <v>59</v>
      </c>
      <c r="M54" s="25" t="s">
        <v>59</v>
      </c>
      <c r="N54" s="25" t="s">
        <v>59</v>
      </c>
      <c r="O54" s="25" t="s">
        <v>59</v>
      </c>
      <c r="P54" s="25" t="s">
        <v>59</v>
      </c>
      <c r="Q54" s="25" t="s">
        <v>59</v>
      </c>
      <c r="R54" s="25" t="s">
        <v>59</v>
      </c>
      <c r="S54" s="25" t="s">
        <v>59</v>
      </c>
      <c r="T54" s="88" t="s">
        <v>59</v>
      </c>
      <c r="U54" s="25" t="s">
        <v>59</v>
      </c>
    </row>
    <row r="55" spans="1:21">
      <c r="A55" s="21" t="s">
        <v>34</v>
      </c>
      <c r="B55" s="21" t="s">
        <v>59</v>
      </c>
      <c r="C55" s="21" t="s">
        <v>59</v>
      </c>
      <c r="D55" s="21" t="s">
        <v>59</v>
      </c>
      <c r="E55" s="21" t="s">
        <v>59</v>
      </c>
      <c r="F55" s="21" t="s">
        <v>59</v>
      </c>
      <c r="G55" s="21" t="s">
        <v>59</v>
      </c>
      <c r="H55" s="21" t="s">
        <v>59</v>
      </c>
      <c r="I55" s="25" t="s">
        <v>59</v>
      </c>
      <c r="J55" s="21" t="s">
        <v>59</v>
      </c>
      <c r="K55" s="25" t="s">
        <v>59</v>
      </c>
      <c r="L55" s="25" t="s">
        <v>59</v>
      </c>
      <c r="M55" s="25" t="s">
        <v>59</v>
      </c>
      <c r="N55" s="25" t="s">
        <v>59</v>
      </c>
      <c r="O55" s="25" t="s">
        <v>59</v>
      </c>
      <c r="P55" s="25" t="s">
        <v>59</v>
      </c>
      <c r="Q55" s="25" t="s">
        <v>59</v>
      </c>
      <c r="R55" s="25" t="s">
        <v>59</v>
      </c>
      <c r="S55" s="25" t="s">
        <v>59</v>
      </c>
      <c r="T55" s="88" t="s">
        <v>59</v>
      </c>
      <c r="U55" s="25" t="s">
        <v>59</v>
      </c>
    </row>
    <row r="56" spans="1:21">
      <c r="A56" s="21" t="s">
        <v>34</v>
      </c>
      <c r="B56" s="21" t="s">
        <v>59</v>
      </c>
      <c r="C56" s="21" t="s">
        <v>59</v>
      </c>
      <c r="D56" s="21" t="s">
        <v>59</v>
      </c>
      <c r="E56" s="21" t="s">
        <v>59</v>
      </c>
      <c r="F56" s="21" t="s">
        <v>59</v>
      </c>
      <c r="G56" s="21" t="s">
        <v>59</v>
      </c>
      <c r="H56" s="21" t="s">
        <v>59</v>
      </c>
      <c r="I56" s="25" t="s">
        <v>59</v>
      </c>
      <c r="J56" s="21" t="s">
        <v>59</v>
      </c>
      <c r="K56" s="25" t="s">
        <v>59</v>
      </c>
      <c r="L56" s="25" t="s">
        <v>59</v>
      </c>
      <c r="M56" s="25" t="s">
        <v>59</v>
      </c>
      <c r="N56" s="25" t="s">
        <v>59</v>
      </c>
      <c r="O56" s="25" t="s">
        <v>59</v>
      </c>
      <c r="P56" s="25" t="s">
        <v>59</v>
      </c>
      <c r="Q56" s="25" t="s">
        <v>59</v>
      </c>
      <c r="R56" s="25" t="s">
        <v>59</v>
      </c>
      <c r="S56" s="25" t="s">
        <v>59</v>
      </c>
      <c r="T56" s="88" t="s">
        <v>59</v>
      </c>
      <c r="U56" s="25" t="s">
        <v>59</v>
      </c>
    </row>
    <row r="57" spans="1:21">
      <c r="A57" s="21" t="s">
        <v>34</v>
      </c>
      <c r="B57" s="21" t="s">
        <v>59</v>
      </c>
      <c r="C57" s="21" t="s">
        <v>59</v>
      </c>
      <c r="D57" s="21" t="s">
        <v>59</v>
      </c>
      <c r="E57" s="21" t="s">
        <v>59</v>
      </c>
      <c r="F57" s="21" t="s">
        <v>59</v>
      </c>
      <c r="G57" s="21" t="s">
        <v>59</v>
      </c>
      <c r="H57" s="21" t="s">
        <v>59</v>
      </c>
      <c r="I57" s="25" t="s">
        <v>59</v>
      </c>
      <c r="J57" s="21" t="s">
        <v>59</v>
      </c>
      <c r="K57" s="25" t="s">
        <v>59</v>
      </c>
      <c r="L57" s="25" t="s">
        <v>59</v>
      </c>
      <c r="M57" s="25" t="s">
        <v>59</v>
      </c>
      <c r="N57" s="25" t="s">
        <v>59</v>
      </c>
      <c r="O57" s="25" t="s">
        <v>59</v>
      </c>
      <c r="P57" s="25" t="s">
        <v>59</v>
      </c>
      <c r="Q57" s="25" t="s">
        <v>59</v>
      </c>
      <c r="R57" s="25" t="s">
        <v>59</v>
      </c>
      <c r="S57" s="25" t="s">
        <v>59</v>
      </c>
      <c r="T57" s="88" t="s">
        <v>59</v>
      </c>
      <c r="U57" s="25" t="s">
        <v>59</v>
      </c>
    </row>
    <row r="58" spans="1:21">
      <c r="A58" s="21" t="s">
        <v>34</v>
      </c>
      <c r="B58" s="21" t="s">
        <v>59</v>
      </c>
      <c r="C58" s="21" t="s">
        <v>59</v>
      </c>
      <c r="D58" s="21" t="s">
        <v>59</v>
      </c>
      <c r="E58" s="21" t="s">
        <v>59</v>
      </c>
      <c r="F58" s="21" t="s">
        <v>59</v>
      </c>
      <c r="G58" s="21" t="s">
        <v>59</v>
      </c>
      <c r="H58" s="21" t="s">
        <v>59</v>
      </c>
      <c r="I58" s="25" t="s">
        <v>59</v>
      </c>
      <c r="J58" s="21" t="s">
        <v>59</v>
      </c>
      <c r="K58" s="25" t="s">
        <v>59</v>
      </c>
      <c r="L58" s="25" t="s">
        <v>59</v>
      </c>
      <c r="M58" s="25" t="s">
        <v>59</v>
      </c>
      <c r="N58" s="25" t="s">
        <v>59</v>
      </c>
      <c r="O58" s="25" t="s">
        <v>59</v>
      </c>
      <c r="P58" s="25" t="s">
        <v>59</v>
      </c>
      <c r="Q58" s="25" t="s">
        <v>59</v>
      </c>
      <c r="R58" s="25" t="s">
        <v>59</v>
      </c>
      <c r="S58" s="25" t="s">
        <v>59</v>
      </c>
      <c r="T58" s="88" t="s">
        <v>59</v>
      </c>
      <c r="U58" s="25" t="s">
        <v>59</v>
      </c>
    </row>
    <row r="59" spans="1:21">
      <c r="A59" s="21" t="s">
        <v>34</v>
      </c>
      <c r="B59" s="21" t="s">
        <v>59</v>
      </c>
      <c r="C59" s="21" t="s">
        <v>59</v>
      </c>
      <c r="D59" s="21" t="s">
        <v>59</v>
      </c>
      <c r="E59" s="21" t="s">
        <v>59</v>
      </c>
      <c r="F59" s="21" t="s">
        <v>59</v>
      </c>
      <c r="G59" s="21" t="s">
        <v>59</v>
      </c>
      <c r="H59" s="21" t="s">
        <v>59</v>
      </c>
      <c r="I59" s="25" t="s">
        <v>59</v>
      </c>
      <c r="J59" s="21" t="s">
        <v>59</v>
      </c>
      <c r="K59" s="25" t="s">
        <v>59</v>
      </c>
      <c r="L59" s="25" t="s">
        <v>59</v>
      </c>
      <c r="M59" s="25" t="s">
        <v>59</v>
      </c>
      <c r="N59" s="25" t="s">
        <v>59</v>
      </c>
      <c r="O59" s="25" t="s">
        <v>59</v>
      </c>
      <c r="P59" s="25" t="s">
        <v>59</v>
      </c>
      <c r="Q59" s="25" t="s">
        <v>59</v>
      </c>
      <c r="R59" s="25" t="s">
        <v>59</v>
      </c>
      <c r="S59" s="25" t="s">
        <v>59</v>
      </c>
      <c r="T59" s="88" t="s">
        <v>59</v>
      </c>
      <c r="U59" s="25" t="s">
        <v>59</v>
      </c>
    </row>
    <row r="60" spans="1:21">
      <c r="A60" s="21" t="s">
        <v>34</v>
      </c>
      <c r="B60" s="21" t="s">
        <v>59</v>
      </c>
      <c r="C60" s="21" t="s">
        <v>59</v>
      </c>
      <c r="D60" s="21" t="s">
        <v>59</v>
      </c>
      <c r="E60" s="21" t="s">
        <v>59</v>
      </c>
      <c r="F60" s="21" t="s">
        <v>59</v>
      </c>
      <c r="G60" s="21" t="s">
        <v>59</v>
      </c>
      <c r="H60" s="21" t="s">
        <v>59</v>
      </c>
      <c r="I60" s="25" t="s">
        <v>59</v>
      </c>
      <c r="J60" s="21" t="s">
        <v>59</v>
      </c>
      <c r="K60" s="25" t="s">
        <v>59</v>
      </c>
      <c r="L60" s="25" t="s">
        <v>59</v>
      </c>
      <c r="M60" s="25" t="s">
        <v>59</v>
      </c>
      <c r="N60" s="25" t="s">
        <v>59</v>
      </c>
      <c r="O60" s="25" t="s">
        <v>59</v>
      </c>
      <c r="P60" s="25" t="s">
        <v>59</v>
      </c>
      <c r="Q60" s="25" t="s">
        <v>59</v>
      </c>
      <c r="R60" s="25" t="s">
        <v>59</v>
      </c>
      <c r="S60" s="25" t="s">
        <v>59</v>
      </c>
      <c r="T60" s="88" t="s">
        <v>59</v>
      </c>
      <c r="U60" s="25" t="s">
        <v>59</v>
      </c>
    </row>
    <row r="61" spans="1:21">
      <c r="A61" s="21" t="s">
        <v>34</v>
      </c>
      <c r="B61" s="21" t="s">
        <v>59</v>
      </c>
      <c r="C61" s="21" t="s">
        <v>59</v>
      </c>
      <c r="D61" s="21" t="s">
        <v>59</v>
      </c>
      <c r="E61" s="21" t="s">
        <v>59</v>
      </c>
      <c r="F61" s="21" t="s">
        <v>59</v>
      </c>
      <c r="G61" s="21" t="s">
        <v>59</v>
      </c>
      <c r="H61" s="21" t="s">
        <v>59</v>
      </c>
      <c r="I61" s="25" t="s">
        <v>59</v>
      </c>
      <c r="J61" s="21" t="s">
        <v>59</v>
      </c>
      <c r="K61" s="25" t="s">
        <v>59</v>
      </c>
      <c r="L61" s="25" t="s">
        <v>59</v>
      </c>
      <c r="M61" s="25" t="s">
        <v>59</v>
      </c>
      <c r="N61" s="25" t="s">
        <v>59</v>
      </c>
      <c r="O61" s="25" t="s">
        <v>59</v>
      </c>
      <c r="P61" s="25" t="s">
        <v>59</v>
      </c>
      <c r="Q61" s="25" t="s">
        <v>59</v>
      </c>
      <c r="R61" s="25" t="s">
        <v>59</v>
      </c>
      <c r="S61" s="25" t="s">
        <v>59</v>
      </c>
      <c r="T61" s="88" t="s">
        <v>59</v>
      </c>
      <c r="U61" s="25" t="s">
        <v>59</v>
      </c>
    </row>
    <row r="62" spans="1:21">
      <c r="A62" s="21" t="s">
        <v>34</v>
      </c>
      <c r="B62" s="21" t="s">
        <v>59</v>
      </c>
      <c r="C62" s="21" t="s">
        <v>59</v>
      </c>
      <c r="D62" s="21" t="s">
        <v>59</v>
      </c>
      <c r="E62" s="21" t="s">
        <v>59</v>
      </c>
      <c r="F62" s="21" t="s">
        <v>59</v>
      </c>
      <c r="G62" s="21" t="s">
        <v>59</v>
      </c>
      <c r="H62" s="21" t="s">
        <v>59</v>
      </c>
      <c r="I62" s="25" t="s">
        <v>59</v>
      </c>
      <c r="J62" s="21" t="s">
        <v>59</v>
      </c>
      <c r="K62" s="25" t="s">
        <v>59</v>
      </c>
      <c r="L62" s="25" t="s">
        <v>59</v>
      </c>
      <c r="M62" s="25" t="s">
        <v>59</v>
      </c>
      <c r="N62" s="25" t="s">
        <v>59</v>
      </c>
      <c r="O62" s="25" t="s">
        <v>59</v>
      </c>
      <c r="P62" s="25" t="s">
        <v>59</v>
      </c>
      <c r="Q62" s="25" t="s">
        <v>59</v>
      </c>
      <c r="R62" s="25" t="s">
        <v>59</v>
      </c>
      <c r="S62" s="25" t="s">
        <v>59</v>
      </c>
      <c r="T62" s="88" t="s">
        <v>59</v>
      </c>
      <c r="U62" s="25" t="s">
        <v>59</v>
      </c>
    </row>
    <row r="63" spans="1:21">
      <c r="A63" s="21" t="s">
        <v>34</v>
      </c>
      <c r="B63" s="21" t="s">
        <v>59</v>
      </c>
      <c r="C63" s="21" t="s">
        <v>59</v>
      </c>
      <c r="D63" s="21" t="s">
        <v>59</v>
      </c>
      <c r="E63" s="21" t="s">
        <v>59</v>
      </c>
      <c r="F63" s="21" t="s">
        <v>59</v>
      </c>
      <c r="G63" s="21" t="s">
        <v>59</v>
      </c>
      <c r="H63" s="21" t="s">
        <v>59</v>
      </c>
      <c r="I63" s="25" t="s">
        <v>59</v>
      </c>
      <c r="J63" s="21" t="s">
        <v>59</v>
      </c>
      <c r="K63" s="25" t="s">
        <v>59</v>
      </c>
      <c r="L63" s="25" t="s">
        <v>59</v>
      </c>
      <c r="M63" s="25" t="s">
        <v>59</v>
      </c>
      <c r="N63" s="25" t="s">
        <v>59</v>
      </c>
      <c r="O63" s="25" t="s">
        <v>59</v>
      </c>
      <c r="P63" s="25" t="s">
        <v>59</v>
      </c>
      <c r="Q63" s="25" t="s">
        <v>59</v>
      </c>
      <c r="R63" s="25" t="s">
        <v>59</v>
      </c>
      <c r="S63" s="25" t="s">
        <v>59</v>
      </c>
      <c r="T63" s="88" t="s">
        <v>59</v>
      </c>
      <c r="U63" s="25" t="s">
        <v>59</v>
      </c>
    </row>
    <row r="64" spans="1:21">
      <c r="A64" s="21" t="s">
        <v>34</v>
      </c>
      <c r="B64" s="21" t="s">
        <v>59</v>
      </c>
      <c r="C64" s="21" t="s">
        <v>59</v>
      </c>
      <c r="D64" s="21" t="s">
        <v>59</v>
      </c>
      <c r="E64" s="21" t="s">
        <v>59</v>
      </c>
      <c r="F64" s="21" t="s">
        <v>59</v>
      </c>
      <c r="G64" s="21" t="s">
        <v>59</v>
      </c>
      <c r="H64" s="21" t="s">
        <v>59</v>
      </c>
      <c r="I64" s="25" t="s">
        <v>59</v>
      </c>
      <c r="J64" s="21" t="s">
        <v>59</v>
      </c>
      <c r="K64" s="25" t="s">
        <v>59</v>
      </c>
      <c r="L64" s="25" t="s">
        <v>59</v>
      </c>
      <c r="M64" s="25" t="s">
        <v>59</v>
      </c>
      <c r="N64" s="25" t="s">
        <v>59</v>
      </c>
      <c r="O64" s="25" t="s">
        <v>59</v>
      </c>
      <c r="P64" s="25" t="s">
        <v>59</v>
      </c>
      <c r="Q64" s="25" t="s">
        <v>59</v>
      </c>
      <c r="R64" s="25" t="s">
        <v>59</v>
      </c>
      <c r="S64" s="25" t="s">
        <v>59</v>
      </c>
      <c r="T64" s="88" t="s">
        <v>59</v>
      </c>
      <c r="U64" s="25" t="s">
        <v>59</v>
      </c>
    </row>
    <row r="65" spans="1:21">
      <c r="A65" s="21" t="s">
        <v>34</v>
      </c>
      <c r="B65" s="21" t="s">
        <v>59</v>
      </c>
      <c r="C65" s="21" t="s">
        <v>59</v>
      </c>
      <c r="D65" s="21" t="s">
        <v>59</v>
      </c>
      <c r="E65" s="21" t="s">
        <v>59</v>
      </c>
      <c r="F65" s="21" t="s">
        <v>59</v>
      </c>
      <c r="G65" s="21" t="s">
        <v>59</v>
      </c>
      <c r="H65" s="21" t="s">
        <v>59</v>
      </c>
      <c r="I65" s="25" t="s">
        <v>59</v>
      </c>
      <c r="J65" s="21" t="s">
        <v>59</v>
      </c>
      <c r="K65" s="25" t="s">
        <v>59</v>
      </c>
      <c r="L65" s="25" t="s">
        <v>59</v>
      </c>
      <c r="M65" s="25" t="s">
        <v>59</v>
      </c>
      <c r="N65" s="25" t="s">
        <v>59</v>
      </c>
      <c r="O65" s="25" t="s">
        <v>59</v>
      </c>
      <c r="P65" s="25" t="s">
        <v>59</v>
      </c>
      <c r="Q65" s="25" t="s">
        <v>59</v>
      </c>
      <c r="R65" s="25" t="s">
        <v>59</v>
      </c>
      <c r="S65" s="25" t="s">
        <v>59</v>
      </c>
      <c r="T65" s="88" t="s">
        <v>59</v>
      </c>
      <c r="U65" s="25" t="s">
        <v>59</v>
      </c>
    </row>
    <row r="66" spans="1:21">
      <c r="A66" s="21" t="s">
        <v>34</v>
      </c>
      <c r="B66" s="21" t="s">
        <v>59</v>
      </c>
      <c r="C66" s="21" t="s">
        <v>59</v>
      </c>
      <c r="D66" s="21" t="s">
        <v>59</v>
      </c>
      <c r="E66" s="21" t="s">
        <v>59</v>
      </c>
      <c r="F66" s="21" t="s">
        <v>59</v>
      </c>
      <c r="G66" s="21" t="s">
        <v>59</v>
      </c>
      <c r="H66" s="21" t="s">
        <v>59</v>
      </c>
      <c r="I66" s="25" t="s">
        <v>59</v>
      </c>
      <c r="J66" s="21" t="s">
        <v>59</v>
      </c>
      <c r="K66" s="25" t="s">
        <v>59</v>
      </c>
      <c r="L66" s="25" t="s">
        <v>59</v>
      </c>
      <c r="M66" s="25" t="s">
        <v>59</v>
      </c>
      <c r="N66" s="25" t="s">
        <v>59</v>
      </c>
      <c r="O66" s="25" t="s">
        <v>59</v>
      </c>
      <c r="P66" s="25" t="s">
        <v>59</v>
      </c>
      <c r="Q66" s="25" t="s">
        <v>59</v>
      </c>
      <c r="R66" s="25" t="s">
        <v>59</v>
      </c>
      <c r="S66" s="25" t="s">
        <v>59</v>
      </c>
      <c r="T66" s="88" t="s">
        <v>59</v>
      </c>
      <c r="U66" s="25" t="s">
        <v>59</v>
      </c>
    </row>
    <row r="67" spans="1:21">
      <c r="A67" s="21" t="s">
        <v>34</v>
      </c>
      <c r="B67" s="21" t="s">
        <v>59</v>
      </c>
      <c r="C67" s="21" t="s">
        <v>59</v>
      </c>
      <c r="D67" s="21" t="s">
        <v>59</v>
      </c>
      <c r="E67" s="21" t="s">
        <v>59</v>
      </c>
      <c r="F67" s="21" t="s">
        <v>59</v>
      </c>
      <c r="G67" s="21" t="s">
        <v>59</v>
      </c>
      <c r="H67" s="21" t="s">
        <v>59</v>
      </c>
      <c r="I67" s="25" t="s">
        <v>59</v>
      </c>
      <c r="J67" s="21" t="s">
        <v>59</v>
      </c>
      <c r="K67" s="25" t="s">
        <v>59</v>
      </c>
      <c r="L67" s="25" t="s">
        <v>59</v>
      </c>
      <c r="M67" s="25" t="s">
        <v>59</v>
      </c>
      <c r="N67" s="25" t="s">
        <v>59</v>
      </c>
      <c r="O67" s="25" t="s">
        <v>59</v>
      </c>
      <c r="P67" s="25" t="s">
        <v>59</v>
      </c>
      <c r="Q67" s="25" t="s">
        <v>59</v>
      </c>
      <c r="R67" s="25" t="s">
        <v>59</v>
      </c>
      <c r="S67" s="25" t="s">
        <v>59</v>
      </c>
      <c r="T67" s="88" t="s">
        <v>59</v>
      </c>
      <c r="U67" s="25" t="s">
        <v>59</v>
      </c>
    </row>
    <row r="68" spans="1:21">
      <c r="A68" s="21" t="s">
        <v>34</v>
      </c>
      <c r="B68" s="21" t="s">
        <v>59</v>
      </c>
      <c r="C68" s="21" t="s">
        <v>59</v>
      </c>
      <c r="D68" s="21" t="s">
        <v>59</v>
      </c>
      <c r="E68" s="21" t="s">
        <v>59</v>
      </c>
      <c r="F68" s="21" t="s">
        <v>59</v>
      </c>
      <c r="G68" s="21" t="s">
        <v>59</v>
      </c>
      <c r="H68" s="21" t="s">
        <v>59</v>
      </c>
      <c r="I68" s="25" t="s">
        <v>59</v>
      </c>
      <c r="J68" s="21" t="s">
        <v>59</v>
      </c>
      <c r="K68" s="25" t="s">
        <v>59</v>
      </c>
      <c r="L68" s="25" t="s">
        <v>59</v>
      </c>
      <c r="M68" s="25" t="s">
        <v>59</v>
      </c>
      <c r="N68" s="25" t="s">
        <v>59</v>
      </c>
      <c r="O68" s="25" t="s">
        <v>59</v>
      </c>
      <c r="P68" s="25" t="s">
        <v>59</v>
      </c>
      <c r="Q68" s="25" t="s">
        <v>59</v>
      </c>
      <c r="R68" s="25" t="s">
        <v>59</v>
      </c>
      <c r="S68" s="25" t="s">
        <v>59</v>
      </c>
      <c r="T68" s="88" t="s">
        <v>59</v>
      </c>
      <c r="U68" s="25" t="s">
        <v>59</v>
      </c>
    </row>
    <row r="69" spans="1:21">
      <c r="A69" s="21" t="s">
        <v>34</v>
      </c>
      <c r="B69" s="21" t="s">
        <v>59</v>
      </c>
      <c r="C69" s="21" t="s">
        <v>59</v>
      </c>
      <c r="D69" s="21" t="s">
        <v>59</v>
      </c>
      <c r="E69" s="21" t="s">
        <v>59</v>
      </c>
      <c r="F69" s="21" t="s">
        <v>59</v>
      </c>
      <c r="G69" s="21" t="s">
        <v>59</v>
      </c>
      <c r="H69" s="21" t="s">
        <v>59</v>
      </c>
      <c r="I69" s="25" t="s">
        <v>59</v>
      </c>
      <c r="J69" s="21" t="s">
        <v>59</v>
      </c>
      <c r="K69" s="25" t="s">
        <v>59</v>
      </c>
      <c r="L69" s="25" t="s">
        <v>59</v>
      </c>
      <c r="M69" s="25" t="s">
        <v>59</v>
      </c>
      <c r="N69" s="25" t="s">
        <v>59</v>
      </c>
      <c r="O69" s="25" t="s">
        <v>59</v>
      </c>
      <c r="P69" s="25" t="s">
        <v>59</v>
      </c>
      <c r="Q69" s="25" t="s">
        <v>59</v>
      </c>
      <c r="R69" s="25" t="s">
        <v>59</v>
      </c>
      <c r="S69" s="25" t="s">
        <v>59</v>
      </c>
      <c r="T69" s="88" t="s">
        <v>59</v>
      </c>
      <c r="U69" s="25" t="s">
        <v>59</v>
      </c>
    </row>
    <row r="70" spans="1:21">
      <c r="A70" s="21" t="s">
        <v>34</v>
      </c>
      <c r="B70" s="21" t="s">
        <v>59</v>
      </c>
      <c r="C70" s="21" t="s">
        <v>59</v>
      </c>
      <c r="D70" s="21" t="s">
        <v>59</v>
      </c>
      <c r="E70" s="21" t="s">
        <v>59</v>
      </c>
      <c r="F70" s="21" t="s">
        <v>59</v>
      </c>
      <c r="G70" s="21" t="s">
        <v>59</v>
      </c>
      <c r="H70" s="21" t="s">
        <v>59</v>
      </c>
      <c r="I70" s="25" t="s">
        <v>59</v>
      </c>
      <c r="J70" s="21" t="s">
        <v>59</v>
      </c>
      <c r="K70" s="25" t="s">
        <v>59</v>
      </c>
      <c r="L70" s="25" t="s">
        <v>59</v>
      </c>
      <c r="M70" s="25" t="s">
        <v>59</v>
      </c>
      <c r="N70" s="25" t="s">
        <v>59</v>
      </c>
      <c r="O70" s="25" t="s">
        <v>59</v>
      </c>
      <c r="P70" s="25" t="s">
        <v>59</v>
      </c>
      <c r="Q70" s="25" t="s">
        <v>59</v>
      </c>
      <c r="R70" s="25" t="s">
        <v>59</v>
      </c>
      <c r="S70" s="25" t="s">
        <v>59</v>
      </c>
      <c r="T70" s="88" t="s">
        <v>59</v>
      </c>
      <c r="U70" s="25" t="s">
        <v>59</v>
      </c>
    </row>
    <row r="71" spans="1:21">
      <c r="A71" s="21" t="s">
        <v>34</v>
      </c>
      <c r="B71" s="21" t="s">
        <v>59</v>
      </c>
      <c r="C71" s="21" t="s">
        <v>59</v>
      </c>
      <c r="D71" s="21" t="s">
        <v>59</v>
      </c>
      <c r="E71" s="21" t="s">
        <v>59</v>
      </c>
      <c r="F71" s="21" t="s">
        <v>59</v>
      </c>
      <c r="G71" s="21" t="s">
        <v>59</v>
      </c>
      <c r="H71" s="21" t="s">
        <v>59</v>
      </c>
      <c r="I71" s="25" t="s">
        <v>59</v>
      </c>
      <c r="J71" s="21" t="s">
        <v>59</v>
      </c>
      <c r="K71" s="25" t="s">
        <v>59</v>
      </c>
      <c r="L71" s="25" t="s">
        <v>59</v>
      </c>
      <c r="M71" s="25" t="s">
        <v>59</v>
      </c>
      <c r="N71" s="25" t="s">
        <v>59</v>
      </c>
      <c r="O71" s="25" t="s">
        <v>59</v>
      </c>
      <c r="P71" s="25" t="s">
        <v>59</v>
      </c>
      <c r="Q71" s="25" t="s">
        <v>59</v>
      </c>
      <c r="R71" s="25" t="s">
        <v>59</v>
      </c>
      <c r="S71" s="25" t="s">
        <v>59</v>
      </c>
      <c r="T71" s="88" t="s">
        <v>59</v>
      </c>
      <c r="U71" s="25" t="s">
        <v>59</v>
      </c>
    </row>
    <row r="72" spans="1:21">
      <c r="A72" s="21" t="s">
        <v>34</v>
      </c>
      <c r="B72" s="21" t="s">
        <v>59</v>
      </c>
      <c r="C72" s="21" t="s">
        <v>59</v>
      </c>
      <c r="D72" s="21" t="s">
        <v>59</v>
      </c>
      <c r="E72" s="21" t="s">
        <v>59</v>
      </c>
      <c r="F72" s="21" t="s">
        <v>59</v>
      </c>
      <c r="G72" s="21" t="s">
        <v>59</v>
      </c>
      <c r="H72" s="21" t="s">
        <v>59</v>
      </c>
      <c r="I72" s="25" t="s">
        <v>59</v>
      </c>
      <c r="J72" s="21" t="s">
        <v>59</v>
      </c>
      <c r="K72" s="25" t="s">
        <v>59</v>
      </c>
      <c r="L72" s="25" t="s">
        <v>59</v>
      </c>
      <c r="M72" s="25" t="s">
        <v>59</v>
      </c>
      <c r="N72" s="25" t="s">
        <v>59</v>
      </c>
      <c r="O72" s="25" t="s">
        <v>59</v>
      </c>
      <c r="P72" s="25" t="s">
        <v>59</v>
      </c>
      <c r="Q72" s="25" t="s">
        <v>59</v>
      </c>
      <c r="R72" s="25" t="s">
        <v>59</v>
      </c>
      <c r="S72" s="25" t="s">
        <v>59</v>
      </c>
      <c r="T72" s="88" t="s">
        <v>59</v>
      </c>
      <c r="U72" s="25" t="s">
        <v>59</v>
      </c>
    </row>
    <row r="73" spans="1:21">
      <c r="A73" s="21" t="s">
        <v>34</v>
      </c>
      <c r="B73" s="21" t="s">
        <v>59</v>
      </c>
      <c r="C73" s="21" t="s">
        <v>59</v>
      </c>
      <c r="D73" s="21" t="s">
        <v>59</v>
      </c>
      <c r="E73" s="21" t="s">
        <v>59</v>
      </c>
      <c r="F73" s="21" t="s">
        <v>59</v>
      </c>
      <c r="G73" s="21" t="s">
        <v>59</v>
      </c>
      <c r="H73" s="21" t="s">
        <v>59</v>
      </c>
      <c r="I73" s="25" t="s">
        <v>59</v>
      </c>
      <c r="J73" s="21" t="s">
        <v>59</v>
      </c>
      <c r="K73" s="25" t="s">
        <v>59</v>
      </c>
      <c r="L73" s="25" t="s">
        <v>59</v>
      </c>
      <c r="M73" s="25" t="s">
        <v>59</v>
      </c>
      <c r="N73" s="25" t="s">
        <v>59</v>
      </c>
      <c r="O73" s="25" t="s">
        <v>59</v>
      </c>
      <c r="P73" s="25" t="s">
        <v>59</v>
      </c>
      <c r="Q73" s="25" t="s">
        <v>59</v>
      </c>
      <c r="R73" s="25" t="s">
        <v>59</v>
      </c>
      <c r="S73" s="25" t="s">
        <v>59</v>
      </c>
      <c r="T73" s="88" t="s">
        <v>59</v>
      </c>
      <c r="U73" s="25" t="s">
        <v>59</v>
      </c>
    </row>
    <row r="74" spans="1:21">
      <c r="A74" s="21" t="s">
        <v>34</v>
      </c>
      <c r="B74" s="21" t="s">
        <v>59</v>
      </c>
      <c r="C74" s="21" t="s">
        <v>59</v>
      </c>
      <c r="D74" s="21" t="s">
        <v>59</v>
      </c>
      <c r="E74" s="21" t="s">
        <v>59</v>
      </c>
      <c r="F74" s="21" t="s">
        <v>59</v>
      </c>
      <c r="G74" s="21" t="s">
        <v>59</v>
      </c>
      <c r="H74" s="21" t="s">
        <v>59</v>
      </c>
      <c r="I74" s="25" t="s">
        <v>59</v>
      </c>
      <c r="J74" s="21" t="s">
        <v>59</v>
      </c>
      <c r="K74" s="25" t="s">
        <v>59</v>
      </c>
      <c r="L74" s="25" t="s">
        <v>59</v>
      </c>
      <c r="M74" s="25" t="s">
        <v>59</v>
      </c>
      <c r="N74" s="25" t="s">
        <v>59</v>
      </c>
      <c r="O74" s="25" t="s">
        <v>59</v>
      </c>
      <c r="P74" s="25" t="s">
        <v>59</v>
      </c>
      <c r="Q74" s="25" t="s">
        <v>59</v>
      </c>
      <c r="R74" s="25" t="s">
        <v>59</v>
      </c>
      <c r="S74" s="25" t="s">
        <v>59</v>
      </c>
      <c r="T74" s="88" t="s">
        <v>59</v>
      </c>
      <c r="U74" s="25" t="s">
        <v>59</v>
      </c>
    </row>
    <row r="75" spans="1:21">
      <c r="A75" s="21" t="s">
        <v>34</v>
      </c>
      <c r="B75" s="21" t="s">
        <v>59</v>
      </c>
      <c r="C75" s="21" t="s">
        <v>59</v>
      </c>
      <c r="D75" s="21" t="s">
        <v>59</v>
      </c>
      <c r="E75" s="21" t="s">
        <v>59</v>
      </c>
      <c r="F75" s="21" t="s">
        <v>59</v>
      </c>
      <c r="G75" s="21" t="s">
        <v>59</v>
      </c>
      <c r="H75" s="21" t="s">
        <v>59</v>
      </c>
      <c r="I75" s="25" t="s">
        <v>59</v>
      </c>
      <c r="J75" s="21" t="s">
        <v>59</v>
      </c>
      <c r="K75" s="25" t="s">
        <v>59</v>
      </c>
      <c r="L75" s="25" t="s">
        <v>59</v>
      </c>
      <c r="M75" s="25" t="s">
        <v>59</v>
      </c>
      <c r="N75" s="25" t="s">
        <v>59</v>
      </c>
      <c r="O75" s="25" t="s">
        <v>59</v>
      </c>
      <c r="P75" s="25" t="s">
        <v>59</v>
      </c>
      <c r="Q75" s="25" t="s">
        <v>59</v>
      </c>
      <c r="R75" s="25" t="s">
        <v>59</v>
      </c>
      <c r="S75" s="25" t="s">
        <v>59</v>
      </c>
      <c r="T75" s="88" t="s">
        <v>59</v>
      </c>
      <c r="U75" s="25" t="s">
        <v>59</v>
      </c>
    </row>
    <row r="76" spans="1:21">
      <c r="A76" s="21" t="s">
        <v>34</v>
      </c>
      <c r="B76" s="21" t="s">
        <v>59</v>
      </c>
      <c r="C76" s="21" t="s">
        <v>59</v>
      </c>
      <c r="D76" s="21" t="s">
        <v>59</v>
      </c>
      <c r="E76" s="21" t="s">
        <v>59</v>
      </c>
      <c r="F76" s="21" t="s">
        <v>59</v>
      </c>
      <c r="G76" s="21" t="s">
        <v>59</v>
      </c>
      <c r="H76" s="21" t="s">
        <v>59</v>
      </c>
      <c r="I76" s="25" t="s">
        <v>59</v>
      </c>
      <c r="J76" s="21" t="s">
        <v>59</v>
      </c>
      <c r="K76" s="25" t="s">
        <v>59</v>
      </c>
      <c r="L76" s="25" t="s">
        <v>59</v>
      </c>
      <c r="M76" s="25" t="s">
        <v>59</v>
      </c>
      <c r="N76" s="25" t="s">
        <v>59</v>
      </c>
      <c r="O76" s="25" t="s">
        <v>59</v>
      </c>
      <c r="P76" s="25" t="s">
        <v>59</v>
      </c>
      <c r="Q76" s="25" t="s">
        <v>59</v>
      </c>
      <c r="R76" s="25" t="s">
        <v>59</v>
      </c>
      <c r="S76" s="25" t="s">
        <v>59</v>
      </c>
      <c r="T76" s="88" t="s">
        <v>59</v>
      </c>
      <c r="U76" s="25" t="s">
        <v>59</v>
      </c>
    </row>
    <row r="77" spans="1:21">
      <c r="A77" s="21" t="s">
        <v>34</v>
      </c>
      <c r="B77" s="21" t="s">
        <v>59</v>
      </c>
      <c r="C77" s="21" t="s">
        <v>59</v>
      </c>
      <c r="D77" s="21" t="s">
        <v>59</v>
      </c>
      <c r="E77" s="21" t="s">
        <v>59</v>
      </c>
      <c r="F77" s="21" t="s">
        <v>59</v>
      </c>
      <c r="G77" s="21" t="s">
        <v>59</v>
      </c>
      <c r="H77" s="21" t="s">
        <v>59</v>
      </c>
      <c r="I77" s="25" t="s">
        <v>59</v>
      </c>
      <c r="J77" s="21" t="s">
        <v>59</v>
      </c>
      <c r="K77" s="25" t="s">
        <v>59</v>
      </c>
      <c r="L77" s="25" t="s">
        <v>59</v>
      </c>
      <c r="M77" s="25" t="s">
        <v>59</v>
      </c>
      <c r="N77" s="25" t="s">
        <v>59</v>
      </c>
      <c r="O77" s="25" t="s">
        <v>59</v>
      </c>
      <c r="P77" s="25" t="s">
        <v>59</v>
      </c>
      <c r="Q77" s="25" t="s">
        <v>59</v>
      </c>
      <c r="R77" s="25" t="s">
        <v>59</v>
      </c>
      <c r="S77" s="25" t="s">
        <v>59</v>
      </c>
      <c r="T77" s="88" t="s">
        <v>59</v>
      </c>
      <c r="U77" s="25" t="s">
        <v>59</v>
      </c>
    </row>
    <row r="78" spans="1:21">
      <c r="A78" s="21" t="s">
        <v>34</v>
      </c>
      <c r="B78" s="21" t="s">
        <v>59</v>
      </c>
      <c r="C78" s="21" t="s">
        <v>59</v>
      </c>
      <c r="D78" s="21" t="s">
        <v>59</v>
      </c>
      <c r="E78" s="21" t="s">
        <v>59</v>
      </c>
      <c r="F78" s="21" t="s">
        <v>59</v>
      </c>
      <c r="G78" s="21" t="s">
        <v>59</v>
      </c>
      <c r="H78" s="21" t="s">
        <v>59</v>
      </c>
      <c r="I78" s="25" t="s">
        <v>59</v>
      </c>
      <c r="J78" s="21" t="s">
        <v>59</v>
      </c>
      <c r="K78" s="25" t="s">
        <v>59</v>
      </c>
      <c r="L78" s="25" t="s">
        <v>59</v>
      </c>
      <c r="M78" s="25" t="s">
        <v>59</v>
      </c>
      <c r="N78" s="25" t="s">
        <v>59</v>
      </c>
      <c r="O78" s="25" t="s">
        <v>59</v>
      </c>
      <c r="P78" s="25" t="s">
        <v>59</v>
      </c>
      <c r="Q78" s="25" t="s">
        <v>59</v>
      </c>
      <c r="R78" s="25" t="s">
        <v>59</v>
      </c>
      <c r="S78" s="25" t="s">
        <v>59</v>
      </c>
      <c r="T78" s="88" t="s">
        <v>59</v>
      </c>
      <c r="U78" s="25" t="s">
        <v>59</v>
      </c>
    </row>
    <row r="79" spans="1:21">
      <c r="A79" s="21" t="s">
        <v>34</v>
      </c>
      <c r="B79" s="21" t="s">
        <v>59</v>
      </c>
      <c r="C79" s="21" t="s">
        <v>59</v>
      </c>
      <c r="D79" s="21" t="s">
        <v>59</v>
      </c>
      <c r="E79" s="21" t="s">
        <v>59</v>
      </c>
      <c r="F79" s="21" t="s">
        <v>59</v>
      </c>
      <c r="G79" s="21" t="s">
        <v>59</v>
      </c>
      <c r="H79" s="21" t="s">
        <v>59</v>
      </c>
      <c r="I79" s="25" t="s">
        <v>59</v>
      </c>
      <c r="J79" s="21" t="s">
        <v>59</v>
      </c>
      <c r="K79" s="25" t="s">
        <v>59</v>
      </c>
      <c r="L79" s="25" t="s">
        <v>59</v>
      </c>
      <c r="M79" s="25" t="s">
        <v>59</v>
      </c>
      <c r="N79" s="25" t="s">
        <v>59</v>
      </c>
      <c r="O79" s="25" t="s">
        <v>59</v>
      </c>
      <c r="P79" s="25" t="s">
        <v>59</v>
      </c>
      <c r="Q79" s="25" t="s">
        <v>59</v>
      </c>
      <c r="R79" s="25" t="s">
        <v>59</v>
      </c>
      <c r="S79" s="25" t="s">
        <v>59</v>
      </c>
      <c r="T79" s="88" t="s">
        <v>59</v>
      </c>
      <c r="U79" s="25" t="s">
        <v>59</v>
      </c>
    </row>
    <row r="80" spans="1:21">
      <c r="A80" s="21" t="s">
        <v>34</v>
      </c>
      <c r="B80" s="21" t="s">
        <v>59</v>
      </c>
      <c r="C80" s="21" t="s">
        <v>59</v>
      </c>
      <c r="D80" s="21" t="s">
        <v>59</v>
      </c>
      <c r="E80" s="21" t="s">
        <v>59</v>
      </c>
      <c r="F80" s="21" t="s">
        <v>59</v>
      </c>
      <c r="G80" s="21" t="s">
        <v>59</v>
      </c>
      <c r="H80" s="21" t="s">
        <v>59</v>
      </c>
      <c r="I80" s="25" t="s">
        <v>59</v>
      </c>
      <c r="J80" s="21" t="s">
        <v>59</v>
      </c>
      <c r="K80" s="25" t="s">
        <v>59</v>
      </c>
      <c r="L80" s="25" t="s">
        <v>59</v>
      </c>
      <c r="M80" s="25" t="s">
        <v>59</v>
      </c>
      <c r="N80" s="25" t="s">
        <v>59</v>
      </c>
      <c r="O80" s="25" t="s">
        <v>59</v>
      </c>
      <c r="P80" s="25" t="s">
        <v>59</v>
      </c>
      <c r="Q80" s="25" t="s">
        <v>59</v>
      </c>
      <c r="R80" s="25" t="s">
        <v>59</v>
      </c>
      <c r="S80" s="25" t="s">
        <v>59</v>
      </c>
      <c r="T80" s="88" t="s">
        <v>59</v>
      </c>
      <c r="U80" s="25" t="s">
        <v>59</v>
      </c>
    </row>
    <row r="81" spans="1:21">
      <c r="A81" s="21" t="s">
        <v>34</v>
      </c>
      <c r="B81" s="21" t="s">
        <v>59</v>
      </c>
      <c r="C81" s="21" t="s">
        <v>59</v>
      </c>
      <c r="D81" s="21" t="s">
        <v>59</v>
      </c>
      <c r="E81" s="21" t="s">
        <v>59</v>
      </c>
      <c r="F81" s="21" t="s">
        <v>59</v>
      </c>
      <c r="G81" s="21" t="s">
        <v>59</v>
      </c>
      <c r="H81" s="21" t="s">
        <v>59</v>
      </c>
      <c r="I81" s="25" t="s">
        <v>59</v>
      </c>
      <c r="J81" s="21" t="s">
        <v>59</v>
      </c>
      <c r="K81" s="25" t="s">
        <v>59</v>
      </c>
      <c r="L81" s="25" t="s">
        <v>59</v>
      </c>
      <c r="M81" s="25" t="s">
        <v>59</v>
      </c>
      <c r="N81" s="25" t="s">
        <v>59</v>
      </c>
      <c r="O81" s="25" t="s">
        <v>59</v>
      </c>
      <c r="P81" s="25" t="s">
        <v>59</v>
      </c>
      <c r="Q81" s="25" t="s">
        <v>59</v>
      </c>
      <c r="R81" s="25" t="s">
        <v>59</v>
      </c>
      <c r="S81" s="25" t="s">
        <v>59</v>
      </c>
      <c r="T81" s="88" t="s">
        <v>59</v>
      </c>
      <c r="U81" s="25" t="s">
        <v>59</v>
      </c>
    </row>
    <row r="82" spans="1:21">
      <c r="A82" s="21" t="s">
        <v>34</v>
      </c>
      <c r="B82" s="21" t="s">
        <v>59</v>
      </c>
      <c r="C82" s="21" t="s">
        <v>59</v>
      </c>
      <c r="D82" s="21" t="s">
        <v>59</v>
      </c>
      <c r="E82" s="21" t="s">
        <v>59</v>
      </c>
      <c r="F82" s="21" t="s">
        <v>59</v>
      </c>
      <c r="G82" s="21" t="s">
        <v>59</v>
      </c>
      <c r="H82" s="21" t="s">
        <v>59</v>
      </c>
      <c r="I82" s="25" t="s">
        <v>59</v>
      </c>
      <c r="J82" s="21" t="s">
        <v>59</v>
      </c>
      <c r="K82" s="25" t="s">
        <v>59</v>
      </c>
      <c r="L82" s="25" t="s">
        <v>59</v>
      </c>
      <c r="M82" s="25" t="s">
        <v>59</v>
      </c>
      <c r="N82" s="25" t="s">
        <v>59</v>
      </c>
      <c r="O82" s="25" t="s">
        <v>59</v>
      </c>
      <c r="P82" s="25" t="s">
        <v>59</v>
      </c>
      <c r="Q82" s="25" t="s">
        <v>59</v>
      </c>
      <c r="R82" s="25" t="s">
        <v>59</v>
      </c>
      <c r="S82" s="25" t="s">
        <v>59</v>
      </c>
      <c r="T82" s="88" t="s">
        <v>59</v>
      </c>
      <c r="U82" s="25" t="s">
        <v>59</v>
      </c>
    </row>
    <row r="83" spans="1:21">
      <c r="A83" s="21" t="s">
        <v>34</v>
      </c>
      <c r="B83" s="21" t="s">
        <v>59</v>
      </c>
      <c r="C83" s="21" t="s">
        <v>59</v>
      </c>
      <c r="D83" s="21" t="s">
        <v>59</v>
      </c>
      <c r="E83" s="21" t="s">
        <v>59</v>
      </c>
      <c r="F83" s="21" t="s">
        <v>59</v>
      </c>
      <c r="G83" s="21" t="s">
        <v>59</v>
      </c>
      <c r="H83" s="21" t="s">
        <v>59</v>
      </c>
      <c r="I83" s="25" t="s">
        <v>59</v>
      </c>
      <c r="J83" s="21" t="s">
        <v>59</v>
      </c>
      <c r="K83" s="25" t="s">
        <v>59</v>
      </c>
      <c r="L83" s="25" t="s">
        <v>59</v>
      </c>
      <c r="M83" s="25" t="s">
        <v>59</v>
      </c>
      <c r="N83" s="25" t="s">
        <v>59</v>
      </c>
      <c r="O83" s="25" t="s">
        <v>59</v>
      </c>
      <c r="P83" s="25" t="s">
        <v>59</v>
      </c>
      <c r="Q83" s="25" t="s">
        <v>59</v>
      </c>
      <c r="R83" s="25" t="s">
        <v>59</v>
      </c>
      <c r="S83" s="25" t="s">
        <v>59</v>
      </c>
      <c r="T83" s="88" t="s">
        <v>59</v>
      </c>
      <c r="U83" s="25" t="s">
        <v>59</v>
      </c>
    </row>
    <row r="84" spans="1:21">
      <c r="A84" s="21" t="s">
        <v>34</v>
      </c>
      <c r="B84" s="21" t="s">
        <v>59</v>
      </c>
      <c r="C84" s="21" t="s">
        <v>59</v>
      </c>
      <c r="D84" s="21" t="s">
        <v>59</v>
      </c>
      <c r="E84" s="21" t="s">
        <v>59</v>
      </c>
      <c r="F84" s="21" t="s">
        <v>59</v>
      </c>
      <c r="G84" s="21" t="s">
        <v>59</v>
      </c>
      <c r="H84" s="21" t="s">
        <v>59</v>
      </c>
      <c r="I84" s="25" t="s">
        <v>59</v>
      </c>
      <c r="J84" s="21" t="s">
        <v>59</v>
      </c>
      <c r="K84" s="25" t="s">
        <v>59</v>
      </c>
      <c r="L84" s="25" t="s">
        <v>59</v>
      </c>
      <c r="M84" s="25" t="s">
        <v>59</v>
      </c>
      <c r="N84" s="25" t="s">
        <v>59</v>
      </c>
      <c r="O84" s="25" t="s">
        <v>59</v>
      </c>
      <c r="P84" s="25" t="s">
        <v>59</v>
      </c>
      <c r="Q84" s="25" t="s">
        <v>59</v>
      </c>
      <c r="R84" s="25" t="s">
        <v>59</v>
      </c>
      <c r="S84" s="25" t="s">
        <v>59</v>
      </c>
      <c r="T84" s="88" t="s">
        <v>59</v>
      </c>
      <c r="U84" s="25" t="s">
        <v>59</v>
      </c>
    </row>
    <row r="85" spans="1:21">
      <c r="A85" s="21" t="s">
        <v>34</v>
      </c>
      <c r="B85" s="21" t="s">
        <v>59</v>
      </c>
      <c r="C85" s="21" t="s">
        <v>59</v>
      </c>
      <c r="D85" s="21" t="s">
        <v>59</v>
      </c>
      <c r="E85" s="21" t="s">
        <v>59</v>
      </c>
      <c r="F85" s="21" t="s">
        <v>59</v>
      </c>
      <c r="G85" s="21" t="s">
        <v>59</v>
      </c>
      <c r="H85" s="21" t="s">
        <v>59</v>
      </c>
      <c r="I85" s="25" t="s">
        <v>59</v>
      </c>
      <c r="J85" s="21" t="s">
        <v>59</v>
      </c>
      <c r="K85" s="25" t="s">
        <v>59</v>
      </c>
      <c r="L85" s="25" t="s">
        <v>59</v>
      </c>
      <c r="M85" s="25" t="s">
        <v>59</v>
      </c>
      <c r="N85" s="25" t="s">
        <v>59</v>
      </c>
      <c r="O85" s="25" t="s">
        <v>59</v>
      </c>
      <c r="P85" s="25" t="s">
        <v>59</v>
      </c>
      <c r="Q85" s="25" t="s">
        <v>59</v>
      </c>
      <c r="R85" s="25" t="s">
        <v>59</v>
      </c>
      <c r="S85" s="25" t="s">
        <v>59</v>
      </c>
      <c r="T85" s="88" t="s">
        <v>59</v>
      </c>
      <c r="U85" s="25" t="s">
        <v>59</v>
      </c>
    </row>
    <row r="86" spans="1:21">
      <c r="A86" s="21" t="s">
        <v>34</v>
      </c>
      <c r="B86" s="21" t="s">
        <v>59</v>
      </c>
      <c r="C86" s="21" t="s">
        <v>59</v>
      </c>
      <c r="D86" s="21" t="s">
        <v>59</v>
      </c>
      <c r="E86" s="21" t="s">
        <v>59</v>
      </c>
      <c r="F86" s="21" t="s">
        <v>59</v>
      </c>
      <c r="G86" s="21" t="s">
        <v>59</v>
      </c>
      <c r="H86" s="21" t="s">
        <v>59</v>
      </c>
      <c r="I86" s="25" t="s">
        <v>59</v>
      </c>
      <c r="J86" s="21" t="s">
        <v>59</v>
      </c>
      <c r="K86" s="25" t="s">
        <v>59</v>
      </c>
      <c r="L86" s="25" t="s">
        <v>59</v>
      </c>
      <c r="M86" s="25" t="s">
        <v>59</v>
      </c>
      <c r="N86" s="25" t="s">
        <v>59</v>
      </c>
      <c r="O86" s="25" t="s">
        <v>59</v>
      </c>
      <c r="P86" s="25" t="s">
        <v>59</v>
      </c>
      <c r="Q86" s="25" t="s">
        <v>59</v>
      </c>
      <c r="R86" s="25" t="s">
        <v>59</v>
      </c>
      <c r="S86" s="25" t="s">
        <v>59</v>
      </c>
      <c r="T86" s="88" t="s">
        <v>59</v>
      </c>
      <c r="U86" s="25" t="s">
        <v>59</v>
      </c>
    </row>
    <row r="87" spans="1:21">
      <c r="A87" s="21" t="s">
        <v>34</v>
      </c>
      <c r="B87" s="21" t="s">
        <v>59</v>
      </c>
      <c r="C87" s="21" t="s">
        <v>59</v>
      </c>
      <c r="D87" s="21" t="s">
        <v>59</v>
      </c>
      <c r="E87" s="21" t="s">
        <v>59</v>
      </c>
      <c r="F87" s="21" t="s">
        <v>59</v>
      </c>
      <c r="G87" s="21" t="s">
        <v>59</v>
      </c>
      <c r="H87" s="21" t="s">
        <v>59</v>
      </c>
      <c r="I87" s="25" t="s">
        <v>59</v>
      </c>
      <c r="J87" s="21" t="s">
        <v>59</v>
      </c>
      <c r="K87" s="25" t="s">
        <v>59</v>
      </c>
      <c r="L87" s="25" t="s">
        <v>59</v>
      </c>
      <c r="M87" s="25" t="s">
        <v>59</v>
      </c>
      <c r="N87" s="25" t="s">
        <v>59</v>
      </c>
      <c r="O87" s="25" t="s">
        <v>59</v>
      </c>
      <c r="P87" s="25" t="s">
        <v>59</v>
      </c>
      <c r="Q87" s="25" t="s">
        <v>59</v>
      </c>
      <c r="R87" s="25" t="s">
        <v>59</v>
      </c>
      <c r="S87" s="25" t="s">
        <v>59</v>
      </c>
      <c r="T87" s="88" t="s">
        <v>59</v>
      </c>
      <c r="U87" s="25" t="s">
        <v>59</v>
      </c>
    </row>
    <row r="88" spans="1:21">
      <c r="A88" s="21" t="s">
        <v>34</v>
      </c>
      <c r="B88" s="21" t="s">
        <v>59</v>
      </c>
      <c r="C88" s="21" t="s">
        <v>59</v>
      </c>
      <c r="D88" s="21" t="s">
        <v>59</v>
      </c>
      <c r="E88" s="21" t="s">
        <v>59</v>
      </c>
      <c r="F88" s="21" t="s">
        <v>59</v>
      </c>
      <c r="G88" s="21" t="s">
        <v>59</v>
      </c>
      <c r="H88" s="21" t="s">
        <v>59</v>
      </c>
      <c r="I88" s="25" t="s">
        <v>59</v>
      </c>
      <c r="J88" s="21" t="s">
        <v>59</v>
      </c>
      <c r="K88" s="25" t="s">
        <v>59</v>
      </c>
      <c r="L88" s="25" t="s">
        <v>59</v>
      </c>
      <c r="M88" s="25" t="s">
        <v>59</v>
      </c>
      <c r="N88" s="25" t="s">
        <v>59</v>
      </c>
      <c r="O88" s="25" t="s">
        <v>59</v>
      </c>
      <c r="P88" s="25" t="s">
        <v>59</v>
      </c>
      <c r="Q88" s="25" t="s">
        <v>59</v>
      </c>
      <c r="R88" s="25" t="s">
        <v>59</v>
      </c>
      <c r="S88" s="25" t="s">
        <v>59</v>
      </c>
      <c r="T88" s="88" t="s">
        <v>59</v>
      </c>
      <c r="U88" s="25" t="s">
        <v>59</v>
      </c>
    </row>
    <row r="89" spans="1:21">
      <c r="A89" s="21" t="s">
        <v>34</v>
      </c>
      <c r="B89" s="21" t="s">
        <v>59</v>
      </c>
      <c r="C89" s="21" t="s">
        <v>59</v>
      </c>
      <c r="D89" s="21" t="s">
        <v>59</v>
      </c>
      <c r="E89" s="21" t="s">
        <v>59</v>
      </c>
      <c r="F89" s="21" t="s">
        <v>59</v>
      </c>
      <c r="G89" s="21" t="s">
        <v>59</v>
      </c>
      <c r="H89" s="21" t="s">
        <v>59</v>
      </c>
      <c r="I89" s="25" t="s">
        <v>59</v>
      </c>
      <c r="J89" s="21" t="s">
        <v>59</v>
      </c>
      <c r="K89" s="25" t="s">
        <v>59</v>
      </c>
      <c r="L89" s="25" t="s">
        <v>59</v>
      </c>
      <c r="M89" s="25" t="s">
        <v>59</v>
      </c>
      <c r="N89" s="25" t="s">
        <v>59</v>
      </c>
      <c r="O89" s="25" t="s">
        <v>59</v>
      </c>
      <c r="P89" s="25" t="s">
        <v>59</v>
      </c>
      <c r="Q89" s="25" t="s">
        <v>59</v>
      </c>
      <c r="R89" s="25" t="s">
        <v>59</v>
      </c>
      <c r="S89" s="25" t="s">
        <v>59</v>
      </c>
      <c r="T89" s="88" t="s">
        <v>59</v>
      </c>
      <c r="U89" s="25" t="s">
        <v>59</v>
      </c>
    </row>
    <row r="90" spans="1:21">
      <c r="A90" s="21" t="s">
        <v>34</v>
      </c>
      <c r="B90" s="21" t="s">
        <v>59</v>
      </c>
      <c r="C90" s="21" t="s">
        <v>59</v>
      </c>
      <c r="D90" s="21" t="s">
        <v>59</v>
      </c>
      <c r="E90" s="21" t="s">
        <v>59</v>
      </c>
      <c r="F90" s="21" t="s">
        <v>59</v>
      </c>
      <c r="G90" s="21" t="s">
        <v>59</v>
      </c>
      <c r="H90" s="21" t="s">
        <v>59</v>
      </c>
      <c r="I90" s="25" t="s">
        <v>59</v>
      </c>
      <c r="J90" s="21" t="s">
        <v>59</v>
      </c>
      <c r="K90" s="25" t="s">
        <v>59</v>
      </c>
      <c r="L90" s="25" t="s">
        <v>59</v>
      </c>
      <c r="M90" s="25" t="s">
        <v>59</v>
      </c>
      <c r="N90" s="25" t="s">
        <v>59</v>
      </c>
      <c r="O90" s="25" t="s">
        <v>59</v>
      </c>
      <c r="P90" s="25" t="s">
        <v>59</v>
      </c>
      <c r="Q90" s="25" t="s">
        <v>59</v>
      </c>
      <c r="R90" s="25" t="s">
        <v>59</v>
      </c>
      <c r="S90" s="25" t="s">
        <v>59</v>
      </c>
      <c r="T90" s="88" t="s">
        <v>59</v>
      </c>
      <c r="U90" s="25" t="s">
        <v>59</v>
      </c>
    </row>
    <row r="91" spans="1:21">
      <c r="A91" s="21" t="s">
        <v>34</v>
      </c>
      <c r="B91" s="21" t="s">
        <v>59</v>
      </c>
      <c r="C91" s="21" t="s">
        <v>59</v>
      </c>
      <c r="D91" s="21" t="s">
        <v>59</v>
      </c>
      <c r="E91" s="21" t="s">
        <v>59</v>
      </c>
      <c r="F91" s="21" t="s">
        <v>59</v>
      </c>
      <c r="G91" s="21" t="s">
        <v>59</v>
      </c>
      <c r="H91" s="21" t="s">
        <v>59</v>
      </c>
      <c r="I91" s="25" t="s">
        <v>59</v>
      </c>
      <c r="J91" s="21" t="s">
        <v>59</v>
      </c>
      <c r="K91" s="25" t="s">
        <v>59</v>
      </c>
      <c r="L91" s="25" t="s">
        <v>59</v>
      </c>
      <c r="M91" s="25" t="s">
        <v>59</v>
      </c>
      <c r="N91" s="25" t="s">
        <v>59</v>
      </c>
      <c r="O91" s="25" t="s">
        <v>59</v>
      </c>
      <c r="P91" s="25" t="s">
        <v>59</v>
      </c>
      <c r="Q91" s="25" t="s">
        <v>59</v>
      </c>
      <c r="R91" s="25" t="s">
        <v>59</v>
      </c>
      <c r="S91" s="25" t="s">
        <v>59</v>
      </c>
      <c r="T91" s="88" t="s">
        <v>59</v>
      </c>
      <c r="U91" s="25" t="s">
        <v>59</v>
      </c>
    </row>
    <row r="92" spans="1:21">
      <c r="A92" s="21" t="s">
        <v>34</v>
      </c>
      <c r="B92" s="21" t="s">
        <v>59</v>
      </c>
      <c r="C92" s="21" t="s">
        <v>59</v>
      </c>
      <c r="D92" s="21" t="s">
        <v>59</v>
      </c>
      <c r="E92" s="21" t="s">
        <v>59</v>
      </c>
      <c r="F92" s="21" t="s">
        <v>59</v>
      </c>
      <c r="G92" s="21" t="s">
        <v>59</v>
      </c>
      <c r="H92" s="21" t="s">
        <v>59</v>
      </c>
      <c r="I92" s="25" t="s">
        <v>59</v>
      </c>
      <c r="J92" s="21" t="s">
        <v>59</v>
      </c>
      <c r="K92" s="25" t="s">
        <v>59</v>
      </c>
      <c r="L92" s="25" t="s">
        <v>59</v>
      </c>
      <c r="M92" s="25" t="s">
        <v>59</v>
      </c>
      <c r="N92" s="25" t="s">
        <v>59</v>
      </c>
      <c r="O92" s="25" t="s">
        <v>59</v>
      </c>
      <c r="P92" s="25" t="s">
        <v>59</v>
      </c>
      <c r="Q92" s="25" t="s">
        <v>59</v>
      </c>
      <c r="R92" s="25" t="s">
        <v>59</v>
      </c>
      <c r="S92" s="25" t="s">
        <v>59</v>
      </c>
      <c r="T92" s="88" t="s">
        <v>59</v>
      </c>
      <c r="U92" s="25" t="s">
        <v>59</v>
      </c>
    </row>
    <row r="93" spans="1:21">
      <c r="A93" s="21" t="s">
        <v>34</v>
      </c>
      <c r="B93" s="21" t="s">
        <v>59</v>
      </c>
      <c r="C93" s="21" t="s">
        <v>59</v>
      </c>
      <c r="D93" s="21" t="s">
        <v>59</v>
      </c>
      <c r="E93" s="21" t="s">
        <v>59</v>
      </c>
      <c r="F93" s="21" t="s">
        <v>59</v>
      </c>
      <c r="G93" s="21" t="s">
        <v>59</v>
      </c>
      <c r="H93" s="21" t="s">
        <v>59</v>
      </c>
      <c r="I93" s="25" t="s">
        <v>59</v>
      </c>
      <c r="J93" s="21" t="s">
        <v>59</v>
      </c>
      <c r="K93" s="25" t="s">
        <v>59</v>
      </c>
      <c r="L93" s="25" t="s">
        <v>59</v>
      </c>
      <c r="M93" s="25" t="s">
        <v>59</v>
      </c>
      <c r="N93" s="25" t="s">
        <v>59</v>
      </c>
      <c r="O93" s="25" t="s">
        <v>59</v>
      </c>
      <c r="P93" s="25" t="s">
        <v>59</v>
      </c>
      <c r="Q93" s="25" t="s">
        <v>59</v>
      </c>
      <c r="R93" s="25" t="s">
        <v>59</v>
      </c>
      <c r="S93" s="25" t="s">
        <v>59</v>
      </c>
      <c r="T93" s="88" t="s">
        <v>59</v>
      </c>
      <c r="U93" s="25" t="s">
        <v>59</v>
      </c>
    </row>
    <row r="94" spans="1:21">
      <c r="A94" s="21" t="s">
        <v>34</v>
      </c>
      <c r="B94" s="21" t="s">
        <v>59</v>
      </c>
      <c r="C94" s="21" t="s">
        <v>59</v>
      </c>
      <c r="D94" s="21" t="s">
        <v>59</v>
      </c>
      <c r="E94" s="21" t="s">
        <v>59</v>
      </c>
      <c r="F94" s="21" t="s">
        <v>59</v>
      </c>
      <c r="G94" s="21" t="s">
        <v>59</v>
      </c>
      <c r="H94" s="21" t="s">
        <v>59</v>
      </c>
      <c r="I94" s="25" t="s">
        <v>59</v>
      </c>
      <c r="J94" s="21" t="s">
        <v>59</v>
      </c>
      <c r="K94" s="25" t="s">
        <v>59</v>
      </c>
      <c r="L94" s="25" t="s">
        <v>59</v>
      </c>
      <c r="M94" s="25" t="s">
        <v>59</v>
      </c>
      <c r="N94" s="25" t="s">
        <v>59</v>
      </c>
      <c r="O94" s="25" t="s">
        <v>59</v>
      </c>
      <c r="P94" s="25" t="s">
        <v>59</v>
      </c>
      <c r="Q94" s="25" t="s">
        <v>59</v>
      </c>
      <c r="R94" s="25" t="s">
        <v>59</v>
      </c>
      <c r="S94" s="25" t="s">
        <v>59</v>
      </c>
      <c r="T94" s="88" t="s">
        <v>59</v>
      </c>
      <c r="U94" s="25" t="s">
        <v>59</v>
      </c>
    </row>
    <row r="95" spans="1:21">
      <c r="A95" s="21" t="s">
        <v>34</v>
      </c>
      <c r="B95" s="21" t="s">
        <v>59</v>
      </c>
      <c r="C95" s="21" t="s">
        <v>59</v>
      </c>
      <c r="D95" s="21" t="s">
        <v>59</v>
      </c>
      <c r="E95" s="21" t="s">
        <v>59</v>
      </c>
      <c r="F95" s="21" t="s">
        <v>59</v>
      </c>
      <c r="G95" s="21" t="s">
        <v>59</v>
      </c>
      <c r="H95" s="21" t="s">
        <v>59</v>
      </c>
      <c r="I95" s="25" t="s">
        <v>59</v>
      </c>
      <c r="J95" s="21" t="s">
        <v>59</v>
      </c>
      <c r="K95" s="25" t="s">
        <v>59</v>
      </c>
      <c r="L95" s="25" t="s">
        <v>59</v>
      </c>
      <c r="M95" s="25" t="s">
        <v>59</v>
      </c>
      <c r="N95" s="25" t="s">
        <v>59</v>
      </c>
      <c r="O95" s="25" t="s">
        <v>59</v>
      </c>
      <c r="P95" s="25" t="s">
        <v>59</v>
      </c>
      <c r="Q95" s="25" t="s">
        <v>59</v>
      </c>
      <c r="R95" s="25" t="s">
        <v>59</v>
      </c>
      <c r="S95" s="25" t="s">
        <v>59</v>
      </c>
      <c r="T95" s="88" t="s">
        <v>59</v>
      </c>
      <c r="U95" s="25" t="s">
        <v>59</v>
      </c>
    </row>
    <row r="96" spans="1:21">
      <c r="A96" s="21" t="s">
        <v>34</v>
      </c>
      <c r="B96" s="21" t="s">
        <v>59</v>
      </c>
      <c r="C96" s="21" t="s">
        <v>59</v>
      </c>
      <c r="D96" s="21" t="s">
        <v>59</v>
      </c>
      <c r="E96" s="21" t="s">
        <v>59</v>
      </c>
      <c r="F96" s="21" t="s">
        <v>59</v>
      </c>
      <c r="G96" s="21" t="s">
        <v>59</v>
      </c>
      <c r="H96" s="21" t="s">
        <v>59</v>
      </c>
      <c r="I96" s="25" t="s">
        <v>59</v>
      </c>
      <c r="J96" s="21" t="s">
        <v>59</v>
      </c>
      <c r="K96" s="25" t="s">
        <v>59</v>
      </c>
      <c r="L96" s="25" t="s">
        <v>59</v>
      </c>
      <c r="M96" s="25" t="s">
        <v>59</v>
      </c>
      <c r="N96" s="25" t="s">
        <v>59</v>
      </c>
      <c r="O96" s="25" t="s">
        <v>59</v>
      </c>
      <c r="P96" s="25" t="s">
        <v>59</v>
      </c>
      <c r="Q96" s="25" t="s">
        <v>59</v>
      </c>
      <c r="R96" s="25" t="s">
        <v>59</v>
      </c>
      <c r="S96" s="25" t="s">
        <v>59</v>
      </c>
      <c r="T96" s="88" t="s">
        <v>59</v>
      </c>
      <c r="U96" s="25" t="s">
        <v>59</v>
      </c>
    </row>
    <row r="97" spans="1:21">
      <c r="A97" s="21" t="s">
        <v>34</v>
      </c>
      <c r="B97" s="21" t="s">
        <v>59</v>
      </c>
      <c r="C97" s="21" t="s">
        <v>59</v>
      </c>
      <c r="D97" s="21" t="s">
        <v>59</v>
      </c>
      <c r="E97" s="21" t="s">
        <v>59</v>
      </c>
      <c r="F97" s="21" t="s">
        <v>59</v>
      </c>
      <c r="G97" s="21" t="s">
        <v>59</v>
      </c>
      <c r="H97" s="21" t="s">
        <v>59</v>
      </c>
      <c r="I97" s="25" t="s">
        <v>59</v>
      </c>
      <c r="J97" s="21" t="s">
        <v>59</v>
      </c>
      <c r="K97" s="25" t="s">
        <v>59</v>
      </c>
      <c r="L97" s="25" t="s">
        <v>59</v>
      </c>
      <c r="M97" s="25" t="s">
        <v>59</v>
      </c>
      <c r="N97" s="25" t="s">
        <v>59</v>
      </c>
      <c r="O97" s="25" t="s">
        <v>59</v>
      </c>
      <c r="P97" s="25" t="s">
        <v>59</v>
      </c>
      <c r="Q97" s="25" t="s">
        <v>59</v>
      </c>
      <c r="R97" s="25" t="s">
        <v>59</v>
      </c>
      <c r="S97" s="25" t="s">
        <v>59</v>
      </c>
      <c r="T97" s="88" t="s">
        <v>59</v>
      </c>
      <c r="U97" s="25" t="s">
        <v>59</v>
      </c>
    </row>
    <row r="98" spans="1:21">
      <c r="A98" s="21" t="s">
        <v>34</v>
      </c>
      <c r="B98" s="21" t="s">
        <v>59</v>
      </c>
      <c r="C98" s="21" t="s">
        <v>59</v>
      </c>
      <c r="D98" s="21" t="s">
        <v>59</v>
      </c>
      <c r="E98" s="21" t="s">
        <v>59</v>
      </c>
      <c r="F98" s="21" t="s">
        <v>59</v>
      </c>
      <c r="G98" s="21" t="s">
        <v>59</v>
      </c>
      <c r="H98" s="21" t="s">
        <v>59</v>
      </c>
      <c r="I98" s="25" t="s">
        <v>59</v>
      </c>
      <c r="J98" s="21" t="s">
        <v>59</v>
      </c>
      <c r="K98" s="25" t="s">
        <v>59</v>
      </c>
      <c r="L98" s="25" t="s">
        <v>59</v>
      </c>
      <c r="M98" s="25" t="s">
        <v>59</v>
      </c>
      <c r="N98" s="25" t="s">
        <v>59</v>
      </c>
      <c r="O98" s="25" t="s">
        <v>59</v>
      </c>
      <c r="P98" s="25" t="s">
        <v>59</v>
      </c>
      <c r="Q98" s="25" t="s">
        <v>59</v>
      </c>
      <c r="R98" s="25" t="s">
        <v>59</v>
      </c>
      <c r="S98" s="25" t="s">
        <v>59</v>
      </c>
      <c r="T98" s="88" t="s">
        <v>59</v>
      </c>
      <c r="U98" s="25" t="s">
        <v>59</v>
      </c>
    </row>
    <row r="99" spans="1:21">
      <c r="A99" s="21" t="s">
        <v>34</v>
      </c>
      <c r="B99" s="21" t="s">
        <v>59</v>
      </c>
      <c r="C99" s="21" t="s">
        <v>59</v>
      </c>
      <c r="D99" s="21" t="s">
        <v>59</v>
      </c>
      <c r="E99" s="21" t="s">
        <v>59</v>
      </c>
      <c r="F99" s="21" t="s">
        <v>59</v>
      </c>
      <c r="G99" s="21" t="s">
        <v>59</v>
      </c>
      <c r="H99" s="21" t="s">
        <v>59</v>
      </c>
      <c r="I99" s="25" t="s">
        <v>59</v>
      </c>
      <c r="J99" s="21" t="s">
        <v>59</v>
      </c>
      <c r="K99" s="25" t="s">
        <v>59</v>
      </c>
      <c r="L99" s="25" t="s">
        <v>59</v>
      </c>
      <c r="M99" s="25" t="s">
        <v>59</v>
      </c>
      <c r="N99" s="25" t="s">
        <v>59</v>
      </c>
      <c r="O99" s="25" t="s">
        <v>59</v>
      </c>
      <c r="P99" s="25" t="s">
        <v>59</v>
      </c>
      <c r="Q99" s="25" t="s">
        <v>59</v>
      </c>
      <c r="R99" s="25" t="s">
        <v>59</v>
      </c>
      <c r="S99" s="25" t="s">
        <v>59</v>
      </c>
      <c r="T99" s="88" t="s">
        <v>59</v>
      </c>
      <c r="U99" s="25" t="s">
        <v>59</v>
      </c>
    </row>
    <row r="100" spans="1:21">
      <c r="A100" s="21" t="s">
        <v>34</v>
      </c>
      <c r="B100" s="21" t="s">
        <v>59</v>
      </c>
      <c r="C100" s="21" t="s">
        <v>59</v>
      </c>
      <c r="D100" s="21" t="s">
        <v>59</v>
      </c>
      <c r="E100" s="21" t="s">
        <v>59</v>
      </c>
      <c r="F100" s="21" t="s">
        <v>59</v>
      </c>
      <c r="G100" s="21" t="s">
        <v>59</v>
      </c>
      <c r="H100" s="21" t="s">
        <v>59</v>
      </c>
      <c r="I100" s="25" t="s">
        <v>59</v>
      </c>
      <c r="J100" s="21" t="s">
        <v>59</v>
      </c>
      <c r="K100" s="25" t="s">
        <v>59</v>
      </c>
      <c r="L100" s="25" t="s">
        <v>59</v>
      </c>
      <c r="M100" s="25" t="s">
        <v>59</v>
      </c>
      <c r="N100" s="25" t="s">
        <v>59</v>
      </c>
      <c r="O100" s="25" t="s">
        <v>59</v>
      </c>
      <c r="P100" s="25" t="s">
        <v>59</v>
      </c>
      <c r="Q100" s="25" t="s">
        <v>59</v>
      </c>
      <c r="R100" s="25" t="s">
        <v>59</v>
      </c>
      <c r="S100" s="25" t="s">
        <v>59</v>
      </c>
      <c r="T100" s="88" t="s">
        <v>59</v>
      </c>
      <c r="U100" s="25" t="s">
        <v>59</v>
      </c>
    </row>
    <row r="101" spans="1:21">
      <c r="A101" s="21" t="s">
        <v>34</v>
      </c>
      <c r="B101" s="21" t="s">
        <v>59</v>
      </c>
      <c r="C101" s="21" t="s">
        <v>59</v>
      </c>
      <c r="D101" s="21" t="s">
        <v>59</v>
      </c>
      <c r="E101" s="21" t="s">
        <v>59</v>
      </c>
      <c r="F101" s="21" t="s">
        <v>59</v>
      </c>
      <c r="G101" s="21" t="s">
        <v>59</v>
      </c>
      <c r="H101" s="21" t="s">
        <v>59</v>
      </c>
      <c r="I101" s="25" t="s">
        <v>59</v>
      </c>
      <c r="J101" s="21" t="s">
        <v>59</v>
      </c>
      <c r="K101" s="25" t="s">
        <v>59</v>
      </c>
      <c r="L101" s="25" t="s">
        <v>59</v>
      </c>
      <c r="M101" s="25" t="s">
        <v>59</v>
      </c>
      <c r="N101" s="25" t="s">
        <v>59</v>
      </c>
      <c r="O101" s="25" t="s">
        <v>59</v>
      </c>
      <c r="P101" s="25" t="s">
        <v>59</v>
      </c>
      <c r="Q101" s="25" t="s">
        <v>59</v>
      </c>
      <c r="R101" s="25" t="s">
        <v>59</v>
      </c>
      <c r="S101" s="25" t="s">
        <v>59</v>
      </c>
      <c r="T101" s="88" t="s">
        <v>59</v>
      </c>
      <c r="U101" s="25" t="s">
        <v>59</v>
      </c>
    </row>
    <row r="102" spans="1:21">
      <c r="A102" s="21" t="s">
        <v>34</v>
      </c>
      <c r="B102" s="21" t="s">
        <v>59</v>
      </c>
      <c r="C102" s="21" t="s">
        <v>59</v>
      </c>
      <c r="D102" s="21" t="s">
        <v>59</v>
      </c>
      <c r="E102" s="21" t="s">
        <v>59</v>
      </c>
      <c r="F102" s="21" t="s">
        <v>59</v>
      </c>
      <c r="G102" s="21" t="s">
        <v>59</v>
      </c>
      <c r="H102" s="21" t="s">
        <v>59</v>
      </c>
      <c r="I102" s="25" t="s">
        <v>59</v>
      </c>
      <c r="J102" s="21" t="s">
        <v>59</v>
      </c>
      <c r="K102" s="25" t="s">
        <v>59</v>
      </c>
      <c r="L102" s="25" t="s">
        <v>59</v>
      </c>
      <c r="M102" s="25" t="s">
        <v>59</v>
      </c>
      <c r="N102" s="25" t="s">
        <v>59</v>
      </c>
      <c r="O102" s="25" t="s">
        <v>59</v>
      </c>
      <c r="P102" s="25" t="s">
        <v>59</v>
      </c>
      <c r="Q102" s="25" t="s">
        <v>59</v>
      </c>
      <c r="R102" s="25" t="s">
        <v>59</v>
      </c>
      <c r="S102" s="25" t="s">
        <v>59</v>
      </c>
      <c r="T102" s="88" t="s">
        <v>59</v>
      </c>
      <c r="U102" s="25" t="s">
        <v>59</v>
      </c>
    </row>
  </sheetData>
  <phoneticPr fontId="2" type="noConversion"/>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A18" sqref="A18"/>
    </sheetView>
  </sheetViews>
  <sheetFormatPr defaultColWidth="9.109375" defaultRowHeight="18"/>
  <cols>
    <col min="1" max="1" width="4.109375" style="43" customWidth="1"/>
    <col min="2" max="2" width="139.109375" style="34" customWidth="1"/>
    <col min="3" max="16384" width="9.109375" style="34"/>
  </cols>
  <sheetData>
    <row r="1" spans="1:2" ht="24.6">
      <c r="A1" s="39"/>
      <c r="B1" s="36" t="s">
        <v>88</v>
      </c>
    </row>
    <row r="2" spans="1:2" ht="21">
      <c r="A2" s="39"/>
      <c r="B2" s="37" t="s">
        <v>190</v>
      </c>
    </row>
    <row r="3" spans="1:2" ht="14.25" customHeight="1">
      <c r="A3" s="39"/>
      <c r="B3" s="38" t="s">
        <v>214</v>
      </c>
    </row>
    <row r="4" spans="1:2" ht="20.399999999999999">
      <c r="A4" s="41" t="s">
        <v>189</v>
      </c>
      <c r="B4" s="45"/>
    </row>
    <row r="5" spans="1:2" ht="36">
      <c r="A5" s="40">
        <v>1</v>
      </c>
      <c r="B5" s="44" t="s">
        <v>128</v>
      </c>
    </row>
    <row r="6" spans="1:2">
      <c r="A6" s="40">
        <v>2</v>
      </c>
      <c r="B6" s="44" t="s">
        <v>186</v>
      </c>
    </row>
    <row r="7" spans="1:2">
      <c r="A7" s="40">
        <v>3</v>
      </c>
      <c r="B7" s="44" t="s">
        <v>134</v>
      </c>
    </row>
    <row r="8" spans="1:2">
      <c r="A8" s="40" t="s">
        <v>59</v>
      </c>
      <c r="B8" s="44" t="s">
        <v>247</v>
      </c>
    </row>
    <row r="9" spans="1:2">
      <c r="A9" s="40">
        <v>4</v>
      </c>
      <c r="B9" s="44" t="s">
        <v>86</v>
      </c>
    </row>
    <row r="10" spans="1:2">
      <c r="A10" s="40">
        <v>5</v>
      </c>
      <c r="B10" s="44" t="s">
        <v>187</v>
      </c>
    </row>
    <row r="11" spans="1:2" ht="36">
      <c r="A11" s="40">
        <v>6</v>
      </c>
      <c r="B11" s="44" t="s">
        <v>188</v>
      </c>
    </row>
    <row r="12" spans="1:2">
      <c r="A12" s="40">
        <v>7</v>
      </c>
      <c r="B12" s="44" t="s">
        <v>133</v>
      </c>
    </row>
    <row r="13" spans="1:2" ht="21" customHeight="1">
      <c r="A13" s="40">
        <v>8</v>
      </c>
      <c r="B13" s="44" t="s">
        <v>87</v>
      </c>
    </row>
    <row r="14" spans="1:2">
      <c r="A14" s="42" t="s">
        <v>59</v>
      </c>
      <c r="B14" s="44" t="s">
        <v>59</v>
      </c>
    </row>
    <row r="15" spans="1:2">
      <c r="A15" s="42" t="s">
        <v>59</v>
      </c>
      <c r="B15" s="42" t="s">
        <v>59</v>
      </c>
    </row>
    <row r="16" spans="1:2">
      <c r="A16" s="42" t="s">
        <v>59</v>
      </c>
      <c r="B16" s="42" t="s">
        <v>59</v>
      </c>
    </row>
    <row r="17" spans="1:2">
      <c r="A17" s="42" t="s">
        <v>59</v>
      </c>
      <c r="B17" s="44" t="s">
        <v>59</v>
      </c>
    </row>
    <row r="18" spans="1:2">
      <c r="A18" s="42" t="s">
        <v>59</v>
      </c>
      <c r="B18" s="44" t="s">
        <v>59</v>
      </c>
    </row>
    <row r="19" spans="1:2">
      <c r="A19" s="42" t="s">
        <v>59</v>
      </c>
      <c r="B19" s="42" t="s">
        <v>59</v>
      </c>
    </row>
    <row r="20" spans="1:2">
      <c r="A20" s="42" t="s">
        <v>59</v>
      </c>
      <c r="B20" s="42" t="s">
        <v>59</v>
      </c>
    </row>
    <row r="21" spans="1:2">
      <c r="A21" s="42" t="s">
        <v>59</v>
      </c>
      <c r="B21" s="42" t="s">
        <v>59</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30</vt:i4>
      </vt:variant>
    </vt:vector>
  </HeadingPairs>
  <TitlesOfParts>
    <vt:vector size="35" baseType="lpstr">
      <vt:lpstr>Summary and Info</vt:lpstr>
      <vt:lpstr>AgendaSummary</vt:lpstr>
      <vt:lpstr>OFI1</vt:lpstr>
      <vt:lpstr>Export</vt:lpstr>
      <vt:lpstr>Instructions</vt:lpstr>
      <vt:lpstr>AgendaRowsMaximum</vt:lpstr>
      <vt:lpstr>AnnexLet</vt:lpstr>
      <vt:lpstr>AssLoc</vt:lpstr>
      <vt:lpstr>BlankTemplate</vt:lpstr>
      <vt:lpstr>CABName</vt:lpstr>
      <vt:lpstr>CABRepName</vt:lpstr>
      <vt:lpstr>City</vt:lpstr>
      <vt:lpstr>Cycle</vt:lpstr>
      <vt:lpstr>EvalOptions</vt:lpstr>
      <vt:lpstr>IssueDate</vt:lpstr>
      <vt:lpstr>Joint?</vt:lpstr>
      <vt:lpstr>JointWho</vt:lpstr>
      <vt:lpstr>Manager</vt:lpstr>
      <vt:lpstr>Manager_Title</vt:lpstr>
      <vt:lpstr>NCRCount</vt:lpstr>
      <vt:lpstr>NumSCC</vt:lpstr>
      <vt:lpstr>OFICount</vt:lpstr>
      <vt:lpstr>Pgm</vt:lpstr>
      <vt:lpstr>'OFI1'!Print_Area</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2013-02-14T17:42:53Z</cp:lastPrinted>
  <dcterms:created xsi:type="dcterms:W3CDTF">2007-04-03T17:49:40Z</dcterms:created>
  <dcterms:modified xsi:type="dcterms:W3CDTF">2013-07-31T14:37:33Z</dcterms:modified>
</cp:coreProperties>
</file>